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cathrin_wittig_ugent_be/Documents/UGent-PC/Cawittig/Documents/Sweden_2026/Supplementary Material/"/>
    </mc:Choice>
  </mc:AlternateContent>
  <xr:revisionPtr revIDLastSave="260" documentId="8_{001F7214-BFB3-4CD2-9367-7B72C9B7951E}" xr6:coauthVersionLast="47" xr6:coauthVersionMax="47" xr10:uidLastSave="{FBE6B470-A420-4D2E-AEB8-F0C3EA1342E9}"/>
  <bookViews>
    <workbookView xWindow="-108" yWindow="-108" windowWidth="23256" windowHeight="12456" activeTab="1" xr2:uid="{9D6BF406-B79C-4C1E-AA38-5BC008119D60}"/>
  </bookViews>
  <sheets>
    <sheet name="S6a" sheetId="1" r:id="rId1"/>
    <sheet name="S6b" sheetId="2" r:id="rId2"/>
    <sheet name="P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11" i="2"/>
  <c r="G10" i="2"/>
  <c r="G9" i="2"/>
  <c r="G5" i="2"/>
  <c r="G4" i="2"/>
  <c r="G3" i="2"/>
  <c r="E8" i="2"/>
  <c r="E7" i="2"/>
  <c r="E6" i="2"/>
  <c r="E11" i="2"/>
  <c r="E10" i="2"/>
  <c r="E9" i="2"/>
  <c r="E5" i="2"/>
  <c r="E4" i="2"/>
  <c r="E3" i="2"/>
  <c r="C8" i="2"/>
  <c r="C7" i="2"/>
  <c r="C6" i="2"/>
  <c r="C11" i="2"/>
  <c r="C10" i="2"/>
  <c r="C9" i="2"/>
  <c r="C5" i="2"/>
  <c r="C4" i="2"/>
  <c r="C3" i="2"/>
  <c r="H432" i="1" l="1"/>
  <c r="I432" i="1" s="1"/>
  <c r="J432" i="1" s="1"/>
  <c r="H415" i="1"/>
  <c r="I415" i="1" s="1"/>
  <c r="J415" i="1" s="1"/>
  <c r="H398" i="1"/>
  <c r="I398" i="1" s="1"/>
  <c r="J398" i="1" s="1"/>
  <c r="H379" i="1"/>
  <c r="I379" i="1" s="1"/>
  <c r="J379" i="1" s="1"/>
  <c r="H362" i="1"/>
  <c r="I362" i="1" s="1"/>
  <c r="J362" i="1" s="1"/>
  <c r="H346" i="1"/>
  <c r="I346" i="1" s="1"/>
  <c r="J346" i="1" s="1"/>
  <c r="H330" i="1"/>
  <c r="I330" i="1" s="1"/>
  <c r="J330" i="1" s="1"/>
  <c r="H313" i="1"/>
  <c r="I313" i="1" s="1"/>
  <c r="J313" i="1" s="1"/>
  <c r="H295" i="1"/>
  <c r="I295" i="1" s="1"/>
  <c r="J295" i="1" s="1"/>
  <c r="H276" i="1"/>
  <c r="I276" i="1" s="1"/>
  <c r="J276" i="1" s="1"/>
  <c r="H262" i="1"/>
  <c r="I262" i="1" s="1"/>
  <c r="J262" i="1" s="1"/>
  <c r="H248" i="1"/>
  <c r="I248" i="1" s="1"/>
  <c r="J248" i="1" s="1"/>
  <c r="H232" i="1"/>
  <c r="I232" i="1" s="1"/>
  <c r="J232" i="1" s="1"/>
  <c r="H218" i="1"/>
  <c r="I218" i="1" s="1"/>
  <c r="J218" i="1" s="1"/>
  <c r="H205" i="1"/>
  <c r="I205" i="1" s="1"/>
  <c r="J205" i="1" s="1"/>
  <c r="H192" i="1"/>
  <c r="I192" i="1" s="1"/>
  <c r="J192" i="1" s="1"/>
  <c r="H178" i="1"/>
  <c r="I178" i="1" s="1"/>
  <c r="J178" i="1" s="1"/>
  <c r="H163" i="1"/>
  <c r="I163" i="1" s="1"/>
  <c r="J163" i="1" s="1"/>
  <c r="H147" i="1"/>
  <c r="I147" i="1" s="1"/>
  <c r="J147" i="1" s="1"/>
  <c r="H131" i="1"/>
  <c r="I131" i="1" s="1"/>
  <c r="J131" i="1" s="1"/>
  <c r="H115" i="1"/>
  <c r="I115" i="1" s="1"/>
  <c r="J115" i="1" s="1"/>
  <c r="H97" i="1"/>
  <c r="I97" i="1" s="1"/>
  <c r="J97" i="1" s="1"/>
  <c r="H81" i="1"/>
  <c r="I81" i="1" s="1"/>
  <c r="J81" i="1" s="1"/>
  <c r="H66" i="1"/>
  <c r="I66" i="1" s="1"/>
  <c r="J66" i="1" s="1"/>
  <c r="H51" i="1"/>
  <c r="I51" i="1" s="1"/>
  <c r="J51" i="1" s="1"/>
  <c r="H35" i="1"/>
  <c r="I35" i="1" s="1"/>
  <c r="J35" i="1" s="1"/>
  <c r="H18" i="1"/>
  <c r="I18" i="1" s="1"/>
  <c r="J18" i="1" s="1"/>
  <c r="H179" i="1"/>
  <c r="H193" i="1"/>
  <c r="H164" i="1" l="1"/>
  <c r="I164" i="1" s="1"/>
  <c r="H19" i="1"/>
  <c r="I19" i="1" l="1"/>
  <c r="J19" i="1" s="1"/>
  <c r="H36" i="1"/>
  <c r="I36" i="1" s="1"/>
  <c r="J36" i="1" s="1"/>
  <c r="H296" i="1"/>
  <c r="I296" i="1" s="1"/>
  <c r="J296" i="1" s="1"/>
  <c r="H314" i="1"/>
  <c r="I314" i="1" s="1"/>
  <c r="J314" i="1" s="1"/>
  <c r="H331" i="1"/>
  <c r="I331" i="1" s="1"/>
  <c r="J331" i="1" s="1"/>
  <c r="H347" i="1"/>
  <c r="I347" i="1" s="1"/>
  <c r="J347" i="1" s="1"/>
  <c r="H363" i="1"/>
  <c r="I363" i="1" s="1"/>
  <c r="J363" i="1" s="1"/>
  <c r="H380" i="1"/>
  <c r="I380" i="1" s="1"/>
  <c r="J380" i="1" s="1"/>
  <c r="H399" i="1"/>
  <c r="I399" i="1" s="1"/>
  <c r="J399" i="1" s="1"/>
  <c r="H416" i="1"/>
  <c r="I416" i="1" s="1"/>
  <c r="J416" i="1" s="1"/>
  <c r="H433" i="1"/>
  <c r="I433" i="1" s="1"/>
  <c r="J433" i="1" s="1"/>
  <c r="H277" i="1"/>
  <c r="I277" i="1" s="1"/>
  <c r="J277" i="1" s="1"/>
  <c r="H263" i="1"/>
  <c r="I263" i="1" s="1"/>
  <c r="J263" i="1" s="1"/>
  <c r="H249" i="1"/>
  <c r="I249" i="1" s="1"/>
  <c r="J249" i="1" s="1"/>
  <c r="H233" i="1"/>
  <c r="I233" i="1" s="1"/>
  <c r="J233" i="1" s="1"/>
  <c r="H219" i="1"/>
  <c r="I219" i="1" s="1"/>
  <c r="J219" i="1" s="1"/>
  <c r="H206" i="1"/>
  <c r="I206" i="1" s="1"/>
  <c r="J206" i="1" s="1"/>
  <c r="I193" i="1"/>
  <c r="J193" i="1" s="1"/>
  <c r="I179" i="1"/>
  <c r="J179" i="1" s="1"/>
  <c r="J164" i="1"/>
  <c r="H148" i="1"/>
  <c r="I148" i="1" s="1"/>
  <c r="J148" i="1" s="1"/>
  <c r="H132" i="1"/>
  <c r="I132" i="1" s="1"/>
  <c r="J132" i="1" s="1"/>
  <c r="H116" i="1"/>
  <c r="I116" i="1" s="1"/>
  <c r="J116" i="1" s="1"/>
  <c r="H98" i="1"/>
  <c r="I98" i="1" s="1"/>
  <c r="J98" i="1" s="1"/>
  <c r="H82" i="1"/>
  <c r="I82" i="1" s="1"/>
  <c r="J82" i="1" s="1"/>
  <c r="H67" i="1"/>
  <c r="I67" i="1" s="1"/>
  <c r="J67" i="1" s="1"/>
  <c r="H52" i="1"/>
  <c r="I52" i="1" s="1"/>
  <c r="J52" i="1" s="1"/>
</calcChain>
</file>

<file path=xl/sharedStrings.xml><?xml version="1.0" encoding="utf-8"?>
<sst xmlns="http://schemas.openxmlformats.org/spreadsheetml/2006/main" count="899" uniqueCount="37">
  <si>
    <t>site</t>
  </si>
  <si>
    <t>depth</t>
  </si>
  <si>
    <t>var</t>
  </si>
  <si>
    <t>HF_H</t>
  </si>
  <si>
    <t>rFe</t>
  </si>
  <si>
    <t>HF_C</t>
  </si>
  <si>
    <t>HF_M</t>
  </si>
  <si>
    <t>BF_H</t>
  </si>
  <si>
    <t>BF_C</t>
  </si>
  <si>
    <t>BF_M</t>
  </si>
  <si>
    <t>GF_H</t>
  </si>
  <si>
    <t>GF_C</t>
  </si>
  <si>
    <t>GF_M</t>
  </si>
  <si>
    <t>FeS2</t>
  </si>
  <si>
    <t>val (µmol g-1)</t>
  </si>
  <si>
    <t>MAR (g m-2 yr-1)</t>
  </si>
  <si>
    <t>Burial rate (µmol m-2 yr-1)</t>
  </si>
  <si>
    <t>Total</t>
  </si>
  <si>
    <t>Burial rate (µmol m-2 d-1) Jburial</t>
  </si>
  <si>
    <t>rMn_ICPS</t>
  </si>
  <si>
    <t>Site</t>
  </si>
  <si>
    <t>HH</t>
  </si>
  <si>
    <t>HC</t>
  </si>
  <si>
    <t>HM</t>
  </si>
  <si>
    <t>BH</t>
  </si>
  <si>
    <t>BC</t>
  </si>
  <si>
    <t>BM</t>
  </si>
  <si>
    <t>GH</t>
  </si>
  <si>
    <t>GC</t>
  </si>
  <si>
    <t>GM</t>
  </si>
  <si>
    <t>Burialrates (mmol m-2 d-1)</t>
  </si>
  <si>
    <t>Burial rate (mmol m-2 d-1)</t>
  </si>
  <si>
    <t>Average</t>
  </si>
  <si>
    <t>SD</t>
  </si>
  <si>
    <r>
      <t>FeS</t>
    </r>
    <r>
      <rPr>
        <b/>
        <sz val="11"/>
        <color theme="1"/>
        <rFont val="Calibri"/>
        <family val="2"/>
      </rPr>
      <t>₂</t>
    </r>
    <r>
      <rPr>
        <b/>
        <sz val="11"/>
        <color theme="1"/>
        <rFont val="Aptos Narrow"/>
        <family val="2"/>
        <scheme val="minor"/>
      </rPr>
      <t xml:space="preserve"> - burial</t>
    </r>
  </si>
  <si>
    <t>rMn - burial</t>
  </si>
  <si>
    <t>rFe - burial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</si>
</sst>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0" xfId="0" applyNumberFormat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Hakefjord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S6b!$B$2</c:f>
              <c:strCache>
                <c:ptCount val="1"/>
                <c:pt idx="0">
                  <c:v>rFe - burial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S6b!$A$3:$A$5</c:f>
              <c:strCache>
                <c:ptCount val="3"/>
                <c:pt idx="0">
                  <c:v>HH</c:v>
                </c:pt>
                <c:pt idx="1">
                  <c:v>HC</c:v>
                </c:pt>
                <c:pt idx="2">
                  <c:v>HM</c:v>
                </c:pt>
              </c:strCache>
            </c:strRef>
          </c:cat>
          <c:val>
            <c:numRef>
              <c:f>S6b!$B$3:$B$5</c:f>
              <c:numCache>
                <c:formatCode>General</c:formatCode>
                <c:ptCount val="3"/>
                <c:pt idx="0">
                  <c:v>0.20291784592105003</c:v>
                </c:pt>
                <c:pt idx="1">
                  <c:v>0.58115787288396159</c:v>
                </c:pt>
                <c:pt idx="2">
                  <c:v>2.0375134539369464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822-45C3-97FC-B1FF02C338AB}"/>
            </c:ext>
          </c:extLst>
        </c:ser>
        <c:ser>
          <c:idx val="1"/>
          <c:order val="1"/>
          <c:tx>
            <c:strRef>
              <c:f>S6b!$D$2</c:f>
              <c:strCache>
                <c:ptCount val="1"/>
                <c:pt idx="0">
                  <c:v>FeS₂ - burial</c:v>
                </c:pt>
              </c:strCache>
            </c:strRef>
          </c:tx>
          <c:spPr>
            <a:solidFill>
              <a:sysClr val="windowText" lastClr="0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S6b!$A$3:$A$5</c:f>
              <c:strCache>
                <c:ptCount val="3"/>
                <c:pt idx="0">
                  <c:v>HH</c:v>
                </c:pt>
                <c:pt idx="1">
                  <c:v>HC</c:v>
                </c:pt>
                <c:pt idx="2">
                  <c:v>HM</c:v>
                </c:pt>
              </c:strCache>
            </c:strRef>
          </c:cat>
          <c:val>
            <c:numRef>
              <c:f>S6b!$D$3:$D$5</c:f>
              <c:numCache>
                <c:formatCode>0.000</c:formatCode>
                <c:ptCount val="3"/>
                <c:pt idx="0">
                  <c:v>0.52106027397260279</c:v>
                </c:pt>
                <c:pt idx="1">
                  <c:v>0.26496109589041095</c:v>
                </c:pt>
                <c:pt idx="2">
                  <c:v>0.72341369863013694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2-45C3-97FC-B1FF02C338AB}"/>
            </c:ext>
          </c:extLst>
        </c:ser>
        <c:ser>
          <c:idx val="2"/>
          <c:order val="2"/>
          <c:tx>
            <c:strRef>
              <c:f>S6b!$F$2</c:f>
              <c:strCache>
                <c:ptCount val="1"/>
                <c:pt idx="0">
                  <c:v>rMn - burial</c:v>
                </c:pt>
              </c:strCache>
            </c:strRef>
          </c:tx>
          <c:spPr>
            <a:solidFill>
              <a:srgbClr val="A02B93">
                <a:lumMod val="60000"/>
                <a:lumOff val="40000"/>
              </a:srgbClr>
            </a:solidFill>
            <a:ln>
              <a:solidFill>
                <a:srgbClr val="A02B93">
                  <a:lumMod val="60000"/>
                  <a:lumOff val="40000"/>
                </a:srgbClr>
              </a:solidFill>
            </a:ln>
            <a:effectLst/>
          </c:spPr>
          <c:invertIfNegative val="0"/>
          <c:cat>
            <c:strRef>
              <c:f>S6b!$A$3:$A$5</c:f>
              <c:strCache>
                <c:ptCount val="3"/>
                <c:pt idx="0">
                  <c:v>HH</c:v>
                </c:pt>
                <c:pt idx="1">
                  <c:v>HC</c:v>
                </c:pt>
                <c:pt idx="2">
                  <c:v>HM</c:v>
                </c:pt>
              </c:strCache>
            </c:strRef>
          </c:cat>
          <c:val>
            <c:numRef>
              <c:f>S6b!$F$3:$F$5</c:f>
              <c:numCache>
                <c:formatCode>General</c:formatCode>
                <c:ptCount val="3"/>
                <c:pt idx="0">
                  <c:v>3.8220519116963832E-3</c:v>
                </c:pt>
                <c:pt idx="1">
                  <c:v>9.9525796274912391E-3</c:v>
                </c:pt>
                <c:pt idx="2">
                  <c:v>5.3250894589383327E-2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2-45C3-97FC-B1FF02C3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838640"/>
        <c:axId val="196759088"/>
        <c:extLst/>
      </c:barChart>
      <c:catAx>
        <c:axId val="12528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9088"/>
        <c:crosses val="autoZero"/>
        <c:auto val="1"/>
        <c:lblAlgn val="ctr"/>
        <c:lblOffset val="100"/>
        <c:noMultiLvlLbl val="0"/>
      </c:catAx>
      <c:valAx>
        <c:axId val="196759088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mmol</a:t>
                </a:r>
                <a:r>
                  <a:rPr lang="en-GB" baseline="0"/>
                  <a:t>/m2/d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3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Gullmarfjord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S6b!$B$2</c:f>
              <c:strCache>
                <c:ptCount val="1"/>
                <c:pt idx="0">
                  <c:v>rFe - burial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S6b!$A$6:$A$8</c:f>
              <c:strCache>
                <c:ptCount val="3"/>
                <c:pt idx="0">
                  <c:v>GH</c:v>
                </c:pt>
                <c:pt idx="1">
                  <c:v>GC</c:v>
                </c:pt>
                <c:pt idx="2">
                  <c:v>GM</c:v>
                </c:pt>
              </c:strCache>
            </c:strRef>
          </c:cat>
          <c:val>
            <c:numRef>
              <c:f>S6b!$B$6:$B$8</c:f>
              <c:numCache>
                <c:formatCode>General</c:formatCode>
                <c:ptCount val="3"/>
                <c:pt idx="0">
                  <c:v>7.5900936637147004E-2</c:v>
                </c:pt>
                <c:pt idx="1">
                  <c:v>0.78825823425443453</c:v>
                </c:pt>
                <c:pt idx="2">
                  <c:v>0.69261410697163694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7A4-4BD3-A9D6-9A6A6CDB7C43}"/>
            </c:ext>
          </c:extLst>
        </c:ser>
        <c:ser>
          <c:idx val="1"/>
          <c:order val="1"/>
          <c:tx>
            <c:strRef>
              <c:f>S6b!$D$2</c:f>
              <c:strCache>
                <c:ptCount val="1"/>
                <c:pt idx="0">
                  <c:v>FeS₂ - burial</c:v>
                </c:pt>
              </c:strCache>
            </c:strRef>
          </c:tx>
          <c:spPr>
            <a:solidFill>
              <a:sysClr val="windowText" lastClr="0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S6b!$A$6:$A$8</c:f>
              <c:strCache>
                <c:ptCount val="3"/>
                <c:pt idx="0">
                  <c:v>GH</c:v>
                </c:pt>
                <c:pt idx="1">
                  <c:v>GC</c:v>
                </c:pt>
                <c:pt idx="2">
                  <c:v>GM</c:v>
                </c:pt>
              </c:strCache>
            </c:strRef>
          </c:cat>
          <c:val>
            <c:numRef>
              <c:f>S6b!$D$6:$D$8</c:f>
              <c:numCache>
                <c:formatCode>0.000</c:formatCode>
                <c:ptCount val="3"/>
                <c:pt idx="0">
                  <c:v>0.14378383561643834</c:v>
                </c:pt>
                <c:pt idx="1">
                  <c:v>0.11589041095890411</c:v>
                </c:pt>
                <c:pt idx="2">
                  <c:v>0.47276876712328764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4-4BD3-A9D6-9A6A6CDB7C43}"/>
            </c:ext>
          </c:extLst>
        </c:ser>
        <c:ser>
          <c:idx val="2"/>
          <c:order val="2"/>
          <c:tx>
            <c:strRef>
              <c:f>S6b!$F$2</c:f>
              <c:strCache>
                <c:ptCount val="1"/>
                <c:pt idx="0">
                  <c:v>rMn - burial</c:v>
                </c:pt>
              </c:strCache>
            </c:strRef>
          </c:tx>
          <c:spPr>
            <a:solidFill>
              <a:srgbClr val="A02B93">
                <a:lumMod val="60000"/>
                <a:lumOff val="40000"/>
              </a:srgbClr>
            </a:solidFill>
            <a:ln>
              <a:solidFill>
                <a:srgbClr val="A02B93">
                  <a:lumMod val="60000"/>
                  <a:lumOff val="40000"/>
                </a:srgbClr>
              </a:solidFill>
            </a:ln>
            <a:effectLst/>
          </c:spPr>
          <c:invertIfNegative val="0"/>
          <c:cat>
            <c:strRef>
              <c:f>S6b!$A$6:$A$8</c:f>
              <c:strCache>
                <c:ptCount val="3"/>
                <c:pt idx="0">
                  <c:v>GH</c:v>
                </c:pt>
                <c:pt idx="1">
                  <c:v>GC</c:v>
                </c:pt>
                <c:pt idx="2">
                  <c:v>GM</c:v>
                </c:pt>
              </c:strCache>
            </c:strRef>
          </c:cat>
          <c:val>
            <c:numRef>
              <c:f>S6b!$F$6:$F$8</c:f>
              <c:numCache>
                <c:formatCode>General</c:formatCode>
                <c:ptCount val="3"/>
                <c:pt idx="0">
                  <c:v>1.1770910848691335E-3</c:v>
                </c:pt>
                <c:pt idx="1">
                  <c:v>0.28321554104709779</c:v>
                </c:pt>
                <c:pt idx="2">
                  <c:v>1.8369584427117128E-2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A4-4BD3-A9D6-9A6A6CDB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838640"/>
        <c:axId val="196759088"/>
        <c:extLst/>
      </c:barChart>
      <c:catAx>
        <c:axId val="12528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9088"/>
        <c:crosses val="autoZero"/>
        <c:auto val="1"/>
        <c:lblAlgn val="ctr"/>
        <c:lblOffset val="100"/>
        <c:noMultiLvlLbl val="0"/>
      </c:catAx>
      <c:valAx>
        <c:axId val="196759088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mmol</a:t>
                </a:r>
                <a:r>
                  <a:rPr lang="en-GB" baseline="0"/>
                  <a:t>/m2/d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3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Byfjord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S6b!$B$2</c:f>
              <c:strCache>
                <c:ptCount val="1"/>
                <c:pt idx="0">
                  <c:v>rFe - burial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S6b!$A$9:$A$11</c:f>
              <c:strCache>
                <c:ptCount val="3"/>
                <c:pt idx="0">
                  <c:v>BH</c:v>
                </c:pt>
                <c:pt idx="1">
                  <c:v>BC</c:v>
                </c:pt>
                <c:pt idx="2">
                  <c:v>BM</c:v>
                </c:pt>
              </c:strCache>
            </c:strRef>
          </c:cat>
          <c:val>
            <c:numRef>
              <c:f>S6b!$B$9:$B$11</c:f>
              <c:numCache>
                <c:formatCode>General</c:formatCode>
                <c:ptCount val="3"/>
                <c:pt idx="0">
                  <c:v>0.13978512705131499</c:v>
                </c:pt>
                <c:pt idx="1">
                  <c:v>0.1420456796700138</c:v>
                </c:pt>
                <c:pt idx="2">
                  <c:v>0.298043282722739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E28-448E-89F3-511F787D263C}"/>
            </c:ext>
          </c:extLst>
        </c:ser>
        <c:ser>
          <c:idx val="1"/>
          <c:order val="1"/>
          <c:tx>
            <c:strRef>
              <c:f>S6b!$D$2</c:f>
              <c:strCache>
                <c:ptCount val="1"/>
                <c:pt idx="0">
                  <c:v>FeS₂ - burial</c:v>
                </c:pt>
              </c:strCache>
            </c:strRef>
          </c:tx>
          <c:spPr>
            <a:solidFill>
              <a:sysClr val="windowText" lastClr="0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S6b!$A$9:$A$11</c:f>
              <c:strCache>
                <c:ptCount val="3"/>
                <c:pt idx="0">
                  <c:v>BH</c:v>
                </c:pt>
                <c:pt idx="1">
                  <c:v>BC</c:v>
                </c:pt>
                <c:pt idx="2">
                  <c:v>BM</c:v>
                </c:pt>
              </c:strCache>
            </c:strRef>
          </c:cat>
          <c:val>
            <c:numRef>
              <c:f>S6b!$D$9:$D$11</c:f>
              <c:numCache>
                <c:formatCode>0.000</c:formatCode>
                <c:ptCount val="3"/>
                <c:pt idx="0">
                  <c:v>0.12553506849315069</c:v>
                </c:pt>
                <c:pt idx="1">
                  <c:v>0.30745643835616437</c:v>
                </c:pt>
                <c:pt idx="2">
                  <c:v>0.40064547945205481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28-448E-89F3-511F787D263C}"/>
            </c:ext>
          </c:extLst>
        </c:ser>
        <c:ser>
          <c:idx val="2"/>
          <c:order val="2"/>
          <c:tx>
            <c:strRef>
              <c:f>S6b!$F$2</c:f>
              <c:strCache>
                <c:ptCount val="1"/>
                <c:pt idx="0">
                  <c:v>rMn - burial</c:v>
                </c:pt>
              </c:strCache>
            </c:strRef>
          </c:tx>
          <c:spPr>
            <a:solidFill>
              <a:srgbClr val="A02B93">
                <a:lumMod val="60000"/>
                <a:lumOff val="40000"/>
              </a:srgbClr>
            </a:solidFill>
            <a:ln>
              <a:solidFill>
                <a:srgbClr val="A02B93">
                  <a:lumMod val="60000"/>
                  <a:lumOff val="40000"/>
                </a:srgbClr>
              </a:solidFill>
            </a:ln>
            <a:effectLst/>
          </c:spPr>
          <c:invertIfNegative val="0"/>
          <c:cat>
            <c:strRef>
              <c:f>S6b!$A$9:$A$11</c:f>
              <c:strCache>
                <c:ptCount val="3"/>
                <c:pt idx="0">
                  <c:v>BH</c:v>
                </c:pt>
                <c:pt idx="1">
                  <c:v>BC</c:v>
                </c:pt>
                <c:pt idx="2">
                  <c:v>BM</c:v>
                </c:pt>
              </c:strCache>
            </c:strRef>
          </c:cat>
          <c:val>
            <c:numRef>
              <c:f>S6b!$F$9:$F$11</c:f>
              <c:numCache>
                <c:formatCode>General</c:formatCode>
                <c:ptCount val="3"/>
                <c:pt idx="0">
                  <c:v>3.2226550146500269E-3</c:v>
                </c:pt>
                <c:pt idx="1">
                  <c:v>1.0469998716001884E-3</c:v>
                </c:pt>
                <c:pt idx="2">
                  <c:v>2.110595963052709E-3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28-448E-89F3-511F787D2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838640"/>
        <c:axId val="196759088"/>
        <c:extLst/>
      </c:barChart>
      <c:catAx>
        <c:axId val="12528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9088"/>
        <c:crosses val="autoZero"/>
        <c:auto val="1"/>
        <c:lblAlgn val="ctr"/>
        <c:lblOffset val="100"/>
        <c:noMultiLvlLbl val="0"/>
      </c:catAx>
      <c:valAx>
        <c:axId val="196759088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mmol</a:t>
                </a:r>
                <a:r>
                  <a:rPr lang="en-GB" baseline="0"/>
                  <a:t>/m2/d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3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S6b!$B$2</c:f>
              <c:strCache>
                <c:ptCount val="1"/>
                <c:pt idx="0">
                  <c:v>rFe - burial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S6b!$C$3:$C$11</c:f>
                <c:numCache>
                  <c:formatCode>General</c:formatCode>
                  <c:ptCount val="9"/>
                  <c:pt idx="0">
                    <c:v>1.4116024064073045E-2</c:v>
                  </c:pt>
                  <c:pt idx="1">
                    <c:v>3.898010123002181E-2</c:v>
                  </c:pt>
                  <c:pt idx="2">
                    <c:v>0.21675675041882408</c:v>
                  </c:pt>
                  <c:pt idx="3">
                    <c:v>9.0627984044354612E-3</c:v>
                  </c:pt>
                  <c:pt idx="4">
                    <c:v>5.2550548950295643E-2</c:v>
                  </c:pt>
                  <c:pt idx="5">
                    <c:v>6.8637434024216265E-2</c:v>
                  </c:pt>
                  <c:pt idx="6">
                    <c:v>1.189660655755871E-2</c:v>
                  </c:pt>
                  <c:pt idx="7">
                    <c:v>3.7380442018424683E-3</c:v>
                  </c:pt>
                  <c:pt idx="8">
                    <c:v>3.193320886315066E-2</c:v>
                  </c:pt>
                </c:numCache>
              </c:numRef>
            </c:plus>
            <c:minus>
              <c:numRef>
                <c:f>S6b!$C$3:$C$11</c:f>
                <c:numCache>
                  <c:formatCode>General</c:formatCode>
                  <c:ptCount val="9"/>
                  <c:pt idx="0">
                    <c:v>1.4116024064073045E-2</c:v>
                  </c:pt>
                  <c:pt idx="1">
                    <c:v>3.898010123002181E-2</c:v>
                  </c:pt>
                  <c:pt idx="2">
                    <c:v>0.21675675041882408</c:v>
                  </c:pt>
                  <c:pt idx="3">
                    <c:v>9.0627984044354612E-3</c:v>
                  </c:pt>
                  <c:pt idx="4">
                    <c:v>5.2550548950295643E-2</c:v>
                  </c:pt>
                  <c:pt idx="5">
                    <c:v>6.8637434024216265E-2</c:v>
                  </c:pt>
                  <c:pt idx="6">
                    <c:v>1.189660655755871E-2</c:v>
                  </c:pt>
                  <c:pt idx="7">
                    <c:v>3.7380442018424683E-3</c:v>
                  </c:pt>
                  <c:pt idx="8">
                    <c:v>3.193320886315066E-2</c:v>
                  </c:pt>
                </c:numCache>
              </c:numRef>
            </c:minus>
            <c:spPr>
              <a:noFill/>
              <a:ln w="6350" cap="flat" cmpd="sng" algn="ctr">
                <a:solidFill>
                  <a:srgbClr val="E8E8E8">
                    <a:lumMod val="75000"/>
                  </a:srgbClr>
                </a:solidFill>
                <a:round/>
              </a:ln>
              <a:effectLst/>
            </c:spPr>
          </c:errBars>
          <c:cat>
            <c:strRef>
              <c:f>S6b!$A$3:$A$11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S6b!$B$3:$B$11</c:f>
              <c:numCache>
                <c:formatCode>General</c:formatCode>
                <c:ptCount val="9"/>
                <c:pt idx="0">
                  <c:v>0.20291784592105003</c:v>
                </c:pt>
                <c:pt idx="1">
                  <c:v>0.58115787288396159</c:v>
                </c:pt>
                <c:pt idx="2">
                  <c:v>2.0375134539369464</c:v>
                </c:pt>
                <c:pt idx="3">
                  <c:v>7.5900936637147004E-2</c:v>
                </c:pt>
                <c:pt idx="4">
                  <c:v>0.78825823425443453</c:v>
                </c:pt>
                <c:pt idx="5">
                  <c:v>0.69261410697163694</c:v>
                </c:pt>
                <c:pt idx="6">
                  <c:v>0.13978512705131499</c:v>
                </c:pt>
                <c:pt idx="7">
                  <c:v>0.1420456796700138</c:v>
                </c:pt>
                <c:pt idx="8">
                  <c:v>0.298043282722739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91A-4811-B010-45BFDA55B178}"/>
            </c:ext>
          </c:extLst>
        </c:ser>
        <c:ser>
          <c:idx val="1"/>
          <c:order val="1"/>
          <c:tx>
            <c:strRef>
              <c:f>S6b!$D$2</c:f>
              <c:strCache>
                <c:ptCount val="1"/>
                <c:pt idx="0">
                  <c:v>FeS₂ - burial</c:v>
                </c:pt>
              </c:strCache>
            </c:strRef>
          </c:tx>
          <c:spPr>
            <a:solidFill>
              <a:sysClr val="windowText" lastClr="0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S6b!$E$3:$E$11</c:f>
                <c:numCache>
                  <c:formatCode>General</c:formatCode>
                  <c:ptCount val="9"/>
                  <c:pt idx="0">
                    <c:v>3.216438356164384E-2</c:v>
                  </c:pt>
                  <c:pt idx="1">
                    <c:v>1.464255707762557E-2</c:v>
                  </c:pt>
                  <c:pt idx="2">
                    <c:v>7.7273972602739729E-2</c:v>
                  </c:pt>
                  <c:pt idx="3">
                    <c:v>1.4111415525114154E-2</c:v>
                  </c:pt>
                  <c:pt idx="4">
                    <c:v>7.8200913242009139E-3</c:v>
                  </c:pt>
                  <c:pt idx="5">
                    <c:v>3.0828127853881278E-2</c:v>
                  </c:pt>
                  <c:pt idx="6">
                    <c:v>8.3324200913242018E-3</c:v>
                  </c:pt>
                  <c:pt idx="7">
                    <c:v>6.7367123287671235E-3</c:v>
                  </c:pt>
                  <c:pt idx="8">
                    <c:v>4.7392602739726036E-2</c:v>
                  </c:pt>
                </c:numCache>
              </c:numRef>
            </c:plus>
            <c:minus>
              <c:numRef>
                <c:f>S6b!$E$3:$E$11</c:f>
                <c:numCache>
                  <c:formatCode>General</c:formatCode>
                  <c:ptCount val="9"/>
                  <c:pt idx="0">
                    <c:v>3.216438356164384E-2</c:v>
                  </c:pt>
                  <c:pt idx="1">
                    <c:v>1.464255707762557E-2</c:v>
                  </c:pt>
                  <c:pt idx="2">
                    <c:v>7.7273972602739729E-2</c:v>
                  </c:pt>
                  <c:pt idx="3">
                    <c:v>1.4111415525114154E-2</c:v>
                  </c:pt>
                  <c:pt idx="4">
                    <c:v>7.8200913242009139E-3</c:v>
                  </c:pt>
                  <c:pt idx="5">
                    <c:v>3.0828127853881278E-2</c:v>
                  </c:pt>
                  <c:pt idx="6">
                    <c:v>8.3324200913242018E-3</c:v>
                  </c:pt>
                  <c:pt idx="7">
                    <c:v>6.7367123287671235E-3</c:v>
                  </c:pt>
                  <c:pt idx="8">
                    <c:v>4.7392602739726036E-2</c:v>
                  </c:pt>
                </c:numCache>
              </c:numRef>
            </c:minus>
            <c:spPr>
              <a:noFill/>
              <a:ln w="6350" cap="flat" cmpd="sng" algn="ctr">
                <a:solidFill>
                  <a:srgbClr val="E8E8E8">
                    <a:lumMod val="75000"/>
                  </a:srgbClr>
                </a:solidFill>
                <a:round/>
              </a:ln>
              <a:effectLst/>
            </c:spPr>
          </c:errBars>
          <c:cat>
            <c:strRef>
              <c:f>S6b!$A$3:$A$11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S6b!$D$3:$D$11</c:f>
              <c:numCache>
                <c:formatCode>0.000</c:formatCode>
                <c:ptCount val="9"/>
                <c:pt idx="0">
                  <c:v>0.52106027397260279</c:v>
                </c:pt>
                <c:pt idx="1">
                  <c:v>0.26496109589041095</c:v>
                </c:pt>
                <c:pt idx="2">
                  <c:v>0.72341369863013694</c:v>
                </c:pt>
                <c:pt idx="3">
                  <c:v>0.14378383561643834</c:v>
                </c:pt>
                <c:pt idx="4">
                  <c:v>0.11589041095890411</c:v>
                </c:pt>
                <c:pt idx="5">
                  <c:v>0.47276876712328764</c:v>
                </c:pt>
                <c:pt idx="6">
                  <c:v>0.12553506849315069</c:v>
                </c:pt>
                <c:pt idx="7">
                  <c:v>0.30745643835616437</c:v>
                </c:pt>
                <c:pt idx="8">
                  <c:v>0.40064547945205481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A-4811-B010-45BFDA55B178}"/>
            </c:ext>
          </c:extLst>
        </c:ser>
        <c:ser>
          <c:idx val="2"/>
          <c:order val="2"/>
          <c:tx>
            <c:strRef>
              <c:f>S6b!$F$2</c:f>
              <c:strCache>
                <c:ptCount val="1"/>
                <c:pt idx="0">
                  <c:v>rMn - burial</c:v>
                </c:pt>
              </c:strCache>
            </c:strRef>
          </c:tx>
          <c:spPr>
            <a:solidFill>
              <a:srgbClr val="A02B93">
                <a:lumMod val="60000"/>
                <a:lumOff val="40000"/>
              </a:srgbClr>
            </a:solidFill>
            <a:ln>
              <a:solidFill>
                <a:srgbClr val="A02B93">
                  <a:lumMod val="60000"/>
                  <a:lumOff val="40000"/>
                </a:srgb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S6b!$G$3:$G$11</c:f>
                <c:numCache>
                  <c:formatCode>General</c:formatCode>
                  <c:ptCount val="9"/>
                  <c:pt idx="0">
                    <c:v>2.658818721180093E-4</c:v>
                  </c:pt>
                  <c:pt idx="1">
                    <c:v>6.6755107257563187E-4</c:v>
                  </c:pt>
                  <c:pt idx="2">
                    <c:v>5.6649887861046104E-3</c:v>
                  </c:pt>
                  <c:pt idx="3">
                    <c:v>1.4054818923810552E-4</c:v>
                  </c:pt>
                  <c:pt idx="4">
                    <c:v>1.8881036069806519E-2</c:v>
                  </c:pt>
                  <c:pt idx="5">
                    <c:v>1.820409267552148E-3</c:v>
                  </c:pt>
                  <c:pt idx="6">
                    <c:v>2.7426851188510872E-4</c:v>
                  </c:pt>
                  <c:pt idx="7">
                    <c:v>2.7552628200004958E-5</c:v>
                  </c:pt>
                  <c:pt idx="8">
                    <c:v>2.2613528175564741E-4</c:v>
                  </c:pt>
                </c:numCache>
              </c:numRef>
            </c:plus>
            <c:minus>
              <c:numRef>
                <c:f>S6b!$G$3:$G$11</c:f>
                <c:numCache>
                  <c:formatCode>General</c:formatCode>
                  <c:ptCount val="9"/>
                  <c:pt idx="0">
                    <c:v>2.658818721180093E-4</c:v>
                  </c:pt>
                  <c:pt idx="1">
                    <c:v>6.6755107257563187E-4</c:v>
                  </c:pt>
                  <c:pt idx="2">
                    <c:v>5.6649887861046104E-3</c:v>
                  </c:pt>
                  <c:pt idx="3">
                    <c:v>1.4054818923810552E-4</c:v>
                  </c:pt>
                  <c:pt idx="4">
                    <c:v>1.8881036069806519E-2</c:v>
                  </c:pt>
                  <c:pt idx="5">
                    <c:v>1.820409267552148E-3</c:v>
                  </c:pt>
                  <c:pt idx="6">
                    <c:v>2.7426851188510872E-4</c:v>
                  </c:pt>
                  <c:pt idx="7">
                    <c:v>2.7552628200004958E-5</c:v>
                  </c:pt>
                  <c:pt idx="8">
                    <c:v>2.2613528175564741E-4</c:v>
                  </c:pt>
                </c:numCache>
              </c:numRef>
            </c:minus>
            <c:spPr>
              <a:noFill/>
              <a:ln w="6350" cap="flat" cmpd="sng" algn="ctr">
                <a:solidFill>
                  <a:srgbClr val="E8E8E8">
                    <a:lumMod val="75000"/>
                  </a:srgbClr>
                </a:solidFill>
                <a:round/>
              </a:ln>
              <a:effectLst/>
            </c:spPr>
          </c:errBars>
          <c:cat>
            <c:strRef>
              <c:f>S6b!$A$3:$A$11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S6b!$F$3:$F$11</c:f>
              <c:numCache>
                <c:formatCode>General</c:formatCode>
                <c:ptCount val="9"/>
                <c:pt idx="0">
                  <c:v>3.8220519116963832E-3</c:v>
                </c:pt>
                <c:pt idx="1">
                  <c:v>9.9525796274912391E-3</c:v>
                </c:pt>
                <c:pt idx="2">
                  <c:v>5.3250894589383327E-2</c:v>
                </c:pt>
                <c:pt idx="3">
                  <c:v>1.1770910848691335E-3</c:v>
                </c:pt>
                <c:pt idx="4">
                  <c:v>0.28321554104709779</c:v>
                </c:pt>
                <c:pt idx="5">
                  <c:v>1.8369584427117128E-2</c:v>
                </c:pt>
                <c:pt idx="6">
                  <c:v>3.2226550146500269E-3</c:v>
                </c:pt>
                <c:pt idx="7">
                  <c:v>1.0469998716001884E-3</c:v>
                </c:pt>
                <c:pt idx="8">
                  <c:v>2.110595963052709E-3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1A-4811-B010-45BFDA55B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838640"/>
        <c:axId val="196759088"/>
        <c:extLst/>
      </c:barChart>
      <c:catAx>
        <c:axId val="12528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9088"/>
        <c:crosses val="autoZero"/>
        <c:auto val="1"/>
        <c:lblAlgn val="ctr"/>
        <c:lblOffset val="100"/>
        <c:noMultiLvlLbl val="0"/>
      </c:catAx>
      <c:valAx>
        <c:axId val="196759088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mmol</a:t>
                </a:r>
                <a:r>
                  <a:rPr lang="en-GB" baseline="0"/>
                  <a:t>/m2/d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386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7620</xdr:rowOff>
    </xdr:from>
    <xdr:to>
      <xdr:col>8</xdr:col>
      <xdr:colOff>116477</xdr:colOff>
      <xdr:row>16</xdr:row>
      <xdr:rowOff>110763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F3418-AE4D-4059-A20B-7BE117590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207917</xdr:colOff>
      <xdr:row>16</xdr:row>
      <xdr:rowOff>103143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262305-CF63-4574-AD24-87472394D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207917</xdr:colOff>
      <xdr:row>16</xdr:row>
      <xdr:rowOff>103143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984F2F-39A4-48A3-B9D6-F64B01815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544286</xdr:colOff>
      <xdr:row>18</xdr:row>
      <xdr:rowOff>87086</xdr:rowOff>
    </xdr:from>
    <xdr:to>
      <xdr:col>8</xdr:col>
      <xdr:colOff>142603</xdr:colOff>
      <xdr:row>34</xdr:row>
      <xdr:rowOff>5172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4319C7-2874-495E-BD88-D0C59AF6C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D33-73F7-4BDA-82D1-96E541151BCA}">
  <dimension ref="A1:L433"/>
  <sheetViews>
    <sheetView zoomScale="70" zoomScaleNormal="70" workbookViewId="0">
      <pane ySplit="1" topLeftCell="A407" activePane="bottomLeft" state="frozen"/>
      <selection pane="bottomLeft" activeCell="E27" sqref="E27"/>
    </sheetView>
  </sheetViews>
  <sheetFormatPr defaultRowHeight="14.4" x14ac:dyDescent="0.3"/>
  <cols>
    <col min="4" max="4" width="14.109375" customWidth="1"/>
    <col min="5" max="6" width="13.77734375" customWidth="1"/>
    <col min="7" max="7" width="24.5546875" customWidth="1"/>
    <col min="8" max="8" width="23.5546875" customWidth="1"/>
    <col min="9" max="9" width="24.77734375" customWidth="1"/>
    <col min="10" max="10" width="18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33</v>
      </c>
      <c r="H1" t="s">
        <v>16</v>
      </c>
      <c r="I1" t="s">
        <v>18</v>
      </c>
      <c r="J1" t="s">
        <v>31</v>
      </c>
    </row>
    <row r="2" spans="1:10" x14ac:dyDescent="0.3">
      <c r="A2" t="s">
        <v>3</v>
      </c>
      <c r="B2">
        <v>1</v>
      </c>
      <c r="C2" t="s">
        <v>4</v>
      </c>
      <c r="D2" s="2">
        <v>135.69156241605799</v>
      </c>
    </row>
    <row r="3" spans="1:10" x14ac:dyDescent="0.3">
      <c r="A3" t="s">
        <v>3</v>
      </c>
      <c r="B3">
        <v>2</v>
      </c>
      <c r="C3" t="s">
        <v>4</v>
      </c>
      <c r="D3" s="2">
        <v>115.98528971552997</v>
      </c>
    </row>
    <row r="4" spans="1:10" x14ac:dyDescent="0.3">
      <c r="A4" t="s">
        <v>3</v>
      </c>
      <c r="B4">
        <v>3</v>
      </c>
      <c r="C4" t="s">
        <v>4</v>
      </c>
      <c r="D4" s="2">
        <v>96.508133679657732</v>
      </c>
    </row>
    <row r="5" spans="1:10" x14ac:dyDescent="0.3">
      <c r="A5" t="s">
        <v>3</v>
      </c>
      <c r="B5">
        <v>4</v>
      </c>
      <c r="C5" t="s">
        <v>4</v>
      </c>
      <c r="D5" s="2">
        <v>75.143526184925591</v>
      </c>
    </row>
    <row r="6" spans="1:10" x14ac:dyDescent="0.3">
      <c r="A6" t="s">
        <v>3</v>
      </c>
      <c r="B6">
        <v>5</v>
      </c>
      <c r="C6" t="s">
        <v>4</v>
      </c>
      <c r="D6" s="2">
        <v>81.829554917867853</v>
      </c>
    </row>
    <row r="7" spans="1:10" x14ac:dyDescent="0.3">
      <c r="A7" t="s">
        <v>3</v>
      </c>
      <c r="B7">
        <v>6</v>
      </c>
      <c r="C7" t="s">
        <v>4</v>
      </c>
      <c r="D7" s="2">
        <v>85.033810348920227</v>
      </c>
    </row>
    <row r="8" spans="1:10" x14ac:dyDescent="0.3">
      <c r="A8" t="s">
        <v>3</v>
      </c>
      <c r="B8">
        <v>7</v>
      </c>
      <c r="C8" t="s">
        <v>4</v>
      </c>
      <c r="D8" s="2">
        <v>90.695532579616824</v>
      </c>
    </row>
    <row r="9" spans="1:10" x14ac:dyDescent="0.3">
      <c r="A9" t="s">
        <v>3</v>
      </c>
      <c r="B9">
        <v>8</v>
      </c>
      <c r="C9" t="s">
        <v>4</v>
      </c>
      <c r="D9" s="2">
        <v>106.92276984775538</v>
      </c>
    </row>
    <row r="10" spans="1:10" x14ac:dyDescent="0.3">
      <c r="A10" t="s">
        <v>3</v>
      </c>
      <c r="B10">
        <v>9</v>
      </c>
      <c r="C10" t="s">
        <v>4</v>
      </c>
      <c r="D10" s="2">
        <v>88.987409790259079</v>
      </c>
    </row>
    <row r="11" spans="1:10" x14ac:dyDescent="0.3">
      <c r="A11" t="s">
        <v>3</v>
      </c>
      <c r="B11">
        <v>10</v>
      </c>
      <c r="C11" t="s">
        <v>4</v>
      </c>
      <c r="D11" s="2">
        <v>77.015144122945955</v>
      </c>
    </row>
    <row r="12" spans="1:10" x14ac:dyDescent="0.3">
      <c r="A12" t="s">
        <v>3</v>
      </c>
      <c r="B12">
        <v>11</v>
      </c>
      <c r="C12" t="s">
        <v>4</v>
      </c>
      <c r="D12" s="2">
        <v>67.105693505298888</v>
      </c>
    </row>
    <row r="13" spans="1:10" x14ac:dyDescent="0.3">
      <c r="A13" t="s">
        <v>3</v>
      </c>
      <c r="B13">
        <v>12</v>
      </c>
      <c r="C13" t="s">
        <v>4</v>
      </c>
      <c r="D13" s="2">
        <v>64.850543077020689</v>
      </c>
    </row>
    <row r="14" spans="1:10" x14ac:dyDescent="0.3">
      <c r="A14" t="s">
        <v>3</v>
      </c>
      <c r="B14">
        <v>13</v>
      </c>
      <c r="C14" t="s">
        <v>4</v>
      </c>
      <c r="D14" s="2">
        <v>64.973754256215017</v>
      </c>
    </row>
    <row r="15" spans="1:10" x14ac:dyDescent="0.3">
      <c r="A15" t="s">
        <v>3</v>
      </c>
      <c r="B15">
        <v>14</v>
      </c>
      <c r="C15" t="s">
        <v>4</v>
      </c>
      <c r="D15" s="2">
        <v>69.79133271163667</v>
      </c>
    </row>
    <row r="16" spans="1:10" x14ac:dyDescent="0.3">
      <c r="A16" t="s">
        <v>3</v>
      </c>
      <c r="B16">
        <v>15</v>
      </c>
      <c r="C16" t="s">
        <v>4</v>
      </c>
      <c r="D16" s="2">
        <v>70.403576875237476</v>
      </c>
    </row>
    <row r="17" spans="1:10" x14ac:dyDescent="0.3">
      <c r="A17" t="s">
        <v>3</v>
      </c>
      <c r="B17">
        <v>15</v>
      </c>
      <c r="C17" t="s">
        <v>4</v>
      </c>
      <c r="D17" s="2">
        <v>55.294769539058009</v>
      </c>
    </row>
    <row r="18" spans="1:10" x14ac:dyDescent="0.3">
      <c r="A18" t="s">
        <v>3</v>
      </c>
      <c r="B18">
        <v>15</v>
      </c>
      <c r="C18" t="s">
        <v>4</v>
      </c>
      <c r="D18" s="2">
        <v>67.514732962704301</v>
      </c>
      <c r="G18" t="s">
        <v>33</v>
      </c>
      <c r="H18">
        <f>(AVERAGE(D16:D18))*F19</f>
        <v>5152.3487833866611</v>
      </c>
      <c r="I18">
        <f>H18/365</f>
        <v>14.116024064073045</v>
      </c>
      <c r="J18">
        <f>I18/1000</f>
        <v>1.4116024064073045E-2</v>
      </c>
    </row>
    <row r="19" spans="1:10" s="1" customFormat="1" x14ac:dyDescent="0.3">
      <c r="A19" s="1" t="s">
        <v>3</v>
      </c>
      <c r="B19" s="1" t="s">
        <v>17</v>
      </c>
      <c r="C19" s="1" t="s">
        <v>4</v>
      </c>
      <c r="E19" s="1">
        <v>1150</v>
      </c>
      <c r="F19" s="1">
        <v>80</v>
      </c>
      <c r="G19" s="1" t="s">
        <v>32</v>
      </c>
      <c r="H19" s="1">
        <f>(AVERAGE(D16:D18))*E19</f>
        <v>74065.013761183262</v>
      </c>
      <c r="I19" s="1">
        <f>H19/365</f>
        <v>202.91784592105003</v>
      </c>
      <c r="J19" s="1">
        <f>I19/1000</f>
        <v>0.20291784592105003</v>
      </c>
    </row>
    <row r="20" spans="1:10" x14ac:dyDescent="0.3">
      <c r="A20" t="s">
        <v>5</v>
      </c>
      <c r="B20">
        <v>1</v>
      </c>
      <c r="C20" t="s">
        <v>4</v>
      </c>
      <c r="D20" s="2">
        <v>102.64219568570348</v>
      </c>
    </row>
    <row r="21" spans="1:10" x14ac:dyDescent="0.3">
      <c r="A21" t="s">
        <v>5</v>
      </c>
      <c r="B21">
        <v>2</v>
      </c>
      <c r="C21" t="s">
        <v>4</v>
      </c>
      <c r="D21" s="2">
        <v>109.25320535463389</v>
      </c>
    </row>
    <row r="22" spans="1:10" x14ac:dyDescent="0.3">
      <c r="A22" t="s">
        <v>5</v>
      </c>
      <c r="B22">
        <v>3</v>
      </c>
      <c r="C22" t="s">
        <v>4</v>
      </c>
      <c r="D22" s="2">
        <v>101.85391632012546</v>
      </c>
    </row>
    <row r="23" spans="1:10" x14ac:dyDescent="0.3">
      <c r="A23" t="s">
        <v>5</v>
      </c>
      <c r="B23">
        <v>4</v>
      </c>
      <c r="C23" t="s">
        <v>4</v>
      </c>
      <c r="D23" s="2">
        <v>97.744866293168585</v>
      </c>
    </row>
    <row r="24" spans="1:10" x14ac:dyDescent="0.3">
      <c r="A24" t="s">
        <v>5</v>
      </c>
      <c r="B24">
        <v>5</v>
      </c>
      <c r="C24" t="s">
        <v>4</v>
      </c>
      <c r="D24" s="2">
        <v>104.8727036488376</v>
      </c>
    </row>
    <row r="25" spans="1:10" x14ac:dyDescent="0.3">
      <c r="A25" t="s">
        <v>5</v>
      </c>
      <c r="B25">
        <v>6</v>
      </c>
      <c r="C25" t="s">
        <v>4</v>
      </c>
      <c r="D25" s="2">
        <v>114.16742015014403</v>
      </c>
    </row>
    <row r="26" spans="1:10" x14ac:dyDescent="0.3">
      <c r="A26" t="s">
        <v>5</v>
      </c>
      <c r="B26">
        <v>7</v>
      </c>
      <c r="C26" t="s">
        <v>4</v>
      </c>
      <c r="D26" s="2">
        <v>131.42270978578961</v>
      </c>
    </row>
    <row r="27" spans="1:10" x14ac:dyDescent="0.3">
      <c r="A27" t="s">
        <v>5</v>
      </c>
      <c r="B27">
        <v>8</v>
      </c>
      <c r="C27" t="s">
        <v>4</v>
      </c>
      <c r="D27" s="2">
        <v>124.70074589511664</v>
      </c>
    </row>
    <row r="28" spans="1:10" x14ac:dyDescent="0.3">
      <c r="A28" t="s">
        <v>5</v>
      </c>
      <c r="B28">
        <v>9</v>
      </c>
      <c r="C28" t="s">
        <v>4</v>
      </c>
      <c r="D28" s="2">
        <v>165.49023383405404</v>
      </c>
    </row>
    <row r="29" spans="1:10" x14ac:dyDescent="0.3">
      <c r="A29" t="s">
        <v>5</v>
      </c>
      <c r="B29">
        <v>10</v>
      </c>
      <c r="C29" t="s">
        <v>4</v>
      </c>
      <c r="D29" s="2">
        <v>139.20161766332541</v>
      </c>
    </row>
    <row r="30" spans="1:10" x14ac:dyDescent="0.3">
      <c r="A30" t="s">
        <v>5</v>
      </c>
      <c r="B30">
        <v>11</v>
      </c>
      <c r="C30" t="s">
        <v>4</v>
      </c>
      <c r="D30" s="2">
        <v>140.28085855722574</v>
      </c>
    </row>
    <row r="31" spans="1:10" x14ac:dyDescent="0.3">
      <c r="A31" t="s">
        <v>5</v>
      </c>
      <c r="B31">
        <v>12</v>
      </c>
      <c r="C31" t="s">
        <v>4</v>
      </c>
      <c r="D31" s="2">
        <v>113.27810785932884</v>
      </c>
    </row>
    <row r="32" spans="1:10" x14ac:dyDescent="0.3">
      <c r="A32" t="s">
        <v>5</v>
      </c>
      <c r="B32">
        <v>13</v>
      </c>
      <c r="C32" t="s">
        <v>4</v>
      </c>
      <c r="D32" s="2">
        <v>134.86293027281775</v>
      </c>
    </row>
    <row r="33" spans="1:10" x14ac:dyDescent="0.3">
      <c r="A33" t="s">
        <v>5</v>
      </c>
      <c r="B33">
        <v>14</v>
      </c>
      <c r="C33" t="s">
        <v>4</v>
      </c>
      <c r="D33" s="2">
        <v>128.36499078476703</v>
      </c>
    </row>
    <row r="34" spans="1:10" x14ac:dyDescent="0.3">
      <c r="A34" t="s">
        <v>5</v>
      </c>
      <c r="B34">
        <v>14</v>
      </c>
      <c r="C34" t="s">
        <v>4</v>
      </c>
      <c r="D34" s="2">
        <v>127.53006397831891</v>
      </c>
    </row>
    <row r="35" spans="1:10" x14ac:dyDescent="0.3">
      <c r="A35" t="s">
        <v>5</v>
      </c>
      <c r="B35">
        <v>14</v>
      </c>
      <c r="C35" t="s">
        <v>4</v>
      </c>
      <c r="D35" s="2">
        <v>132.13413475394941</v>
      </c>
      <c r="G35" t="s">
        <v>33</v>
      </c>
      <c r="H35">
        <f>(AVERAGE(D33:D35))*F36</f>
        <v>14227.736948957961</v>
      </c>
      <c r="I35">
        <f>H35/365</f>
        <v>38.980101230021809</v>
      </c>
      <c r="J35">
        <f>I35/1000</f>
        <v>3.898010123002181E-2</v>
      </c>
    </row>
    <row r="36" spans="1:10" s="1" customFormat="1" x14ac:dyDescent="0.3">
      <c r="A36" s="1" t="s">
        <v>5</v>
      </c>
      <c r="B36" s="1" t="s">
        <v>17</v>
      </c>
      <c r="C36" s="1" t="s">
        <v>4</v>
      </c>
      <c r="E36" s="1">
        <v>1640</v>
      </c>
      <c r="F36" s="1">
        <v>110</v>
      </c>
      <c r="G36" s="1" t="s">
        <v>32</v>
      </c>
      <c r="H36" s="1">
        <f>(AVERAGE(D33:D35))*E36</f>
        <v>212122.62360264597</v>
      </c>
      <c r="I36" s="1">
        <f>H36/365</f>
        <v>581.15787288396155</v>
      </c>
      <c r="J36" s="1">
        <f>I36/1000</f>
        <v>0.58115787288396159</v>
      </c>
    </row>
    <row r="37" spans="1:10" x14ac:dyDescent="0.3">
      <c r="A37" t="s">
        <v>6</v>
      </c>
      <c r="B37">
        <v>1</v>
      </c>
      <c r="C37" t="s">
        <v>4</v>
      </c>
      <c r="D37" s="2">
        <v>148.37981535137425</v>
      </c>
    </row>
    <row r="38" spans="1:10" x14ac:dyDescent="0.3">
      <c r="A38" t="s">
        <v>6</v>
      </c>
      <c r="B38">
        <v>2</v>
      </c>
      <c r="C38" t="s">
        <v>4</v>
      </c>
      <c r="D38" s="2">
        <v>122.38326769741261</v>
      </c>
    </row>
    <row r="39" spans="1:10" x14ac:dyDescent="0.3">
      <c r="A39" t="s">
        <v>6</v>
      </c>
      <c r="B39">
        <v>3</v>
      </c>
      <c r="C39" t="s">
        <v>4</v>
      </c>
      <c r="D39" s="2">
        <v>108.58473044300361</v>
      </c>
    </row>
    <row r="40" spans="1:10" x14ac:dyDescent="0.3">
      <c r="A40" t="s">
        <v>6</v>
      </c>
      <c r="B40">
        <v>4</v>
      </c>
      <c r="C40" t="s">
        <v>4</v>
      </c>
      <c r="D40" s="2">
        <v>111.81017959306568</v>
      </c>
    </row>
    <row r="41" spans="1:10" x14ac:dyDescent="0.3">
      <c r="A41" t="s">
        <v>6</v>
      </c>
      <c r="B41">
        <v>5</v>
      </c>
      <c r="C41" t="s">
        <v>4</v>
      </c>
      <c r="D41" s="2">
        <v>139.82781154656374</v>
      </c>
    </row>
    <row r="42" spans="1:10" x14ac:dyDescent="0.3">
      <c r="A42" t="s">
        <v>6</v>
      </c>
      <c r="B42">
        <v>6</v>
      </c>
      <c r="C42" t="s">
        <v>4</v>
      </c>
      <c r="D42" s="2">
        <v>109.47902113978022</v>
      </c>
    </row>
    <row r="43" spans="1:10" x14ac:dyDescent="0.3">
      <c r="A43" t="s">
        <v>6</v>
      </c>
      <c r="B43">
        <v>7</v>
      </c>
      <c r="C43" t="s">
        <v>4</v>
      </c>
      <c r="D43" s="2">
        <v>112.53854966712143</v>
      </c>
    </row>
    <row r="44" spans="1:10" x14ac:dyDescent="0.3">
      <c r="A44" t="s">
        <v>6</v>
      </c>
      <c r="B44">
        <v>8</v>
      </c>
      <c r="C44" t="s">
        <v>4</v>
      </c>
      <c r="D44" s="2">
        <v>111.97586157108069</v>
      </c>
    </row>
    <row r="45" spans="1:10" x14ac:dyDescent="0.3">
      <c r="A45" t="s">
        <v>6</v>
      </c>
      <c r="B45">
        <v>9</v>
      </c>
      <c r="C45" t="s">
        <v>4</v>
      </c>
      <c r="D45" s="2">
        <v>124.81739038576552</v>
      </c>
    </row>
    <row r="46" spans="1:10" x14ac:dyDescent="0.3">
      <c r="A46" t="s">
        <v>6</v>
      </c>
      <c r="B46">
        <v>10</v>
      </c>
      <c r="C46" t="s">
        <v>4</v>
      </c>
      <c r="D46" s="2">
        <v>119.05756021357082</v>
      </c>
    </row>
    <row r="47" spans="1:10" x14ac:dyDescent="0.3">
      <c r="A47" t="s">
        <v>6</v>
      </c>
      <c r="B47">
        <v>11</v>
      </c>
      <c r="C47" t="s">
        <v>4</v>
      </c>
      <c r="D47" s="2">
        <v>140.47003351150374</v>
      </c>
    </row>
    <row r="48" spans="1:10" x14ac:dyDescent="0.3">
      <c r="A48" t="s">
        <v>6</v>
      </c>
      <c r="B48">
        <v>12</v>
      </c>
      <c r="C48" t="s">
        <v>4</v>
      </c>
      <c r="D48" s="2">
        <v>138.33625231598285</v>
      </c>
    </row>
    <row r="49" spans="1:10" x14ac:dyDescent="0.3">
      <c r="A49" t="s">
        <v>6</v>
      </c>
      <c r="B49">
        <v>13</v>
      </c>
      <c r="C49" t="s">
        <v>4</v>
      </c>
      <c r="D49" s="2">
        <v>152.0395811564585</v>
      </c>
    </row>
    <row r="50" spans="1:10" x14ac:dyDescent="0.3">
      <c r="A50" t="s">
        <v>6</v>
      </c>
      <c r="B50">
        <v>13</v>
      </c>
      <c r="C50" t="s">
        <v>4</v>
      </c>
      <c r="D50" s="2">
        <v>162.0510006178086</v>
      </c>
    </row>
    <row r="51" spans="1:10" x14ac:dyDescent="0.3">
      <c r="A51" t="s">
        <v>6</v>
      </c>
      <c r="B51">
        <v>13</v>
      </c>
      <c r="C51" t="s">
        <v>4</v>
      </c>
      <c r="D51" s="2">
        <v>160.60670164295772</v>
      </c>
      <c r="G51" t="s">
        <v>33</v>
      </c>
      <c r="H51">
        <f>(AVERAGE(D49:D51))*F52</f>
        <v>79116.21390287079</v>
      </c>
      <c r="I51">
        <f>H51/365</f>
        <v>216.75675041882408</v>
      </c>
      <c r="J51">
        <f>I51/1000</f>
        <v>0.21675675041882408</v>
      </c>
    </row>
    <row r="52" spans="1:10" s="1" customFormat="1" x14ac:dyDescent="0.3">
      <c r="A52" s="1" t="s">
        <v>6</v>
      </c>
      <c r="B52" s="1" t="s">
        <v>17</v>
      </c>
      <c r="C52" s="1" t="s">
        <v>4</v>
      </c>
      <c r="E52" s="1">
        <v>4700</v>
      </c>
      <c r="F52" s="1">
        <v>500</v>
      </c>
      <c r="G52" s="1" t="s">
        <v>32</v>
      </c>
      <c r="H52" s="1">
        <f>(AVERAGE(D49:D51))*E52</f>
        <v>743692.41068698547</v>
      </c>
      <c r="I52" s="1">
        <f>H52/365</f>
        <v>2037.5134539369465</v>
      </c>
      <c r="J52" s="1">
        <f>I52/1000</f>
        <v>2.0375134539369464</v>
      </c>
    </row>
    <row r="53" spans="1:10" x14ac:dyDescent="0.3">
      <c r="A53" t="s">
        <v>7</v>
      </c>
      <c r="B53">
        <v>1</v>
      </c>
      <c r="C53" t="s">
        <v>4</v>
      </c>
      <c r="D53" s="2">
        <v>135.99978335792079</v>
      </c>
    </row>
    <row r="54" spans="1:10" x14ac:dyDescent="0.3">
      <c r="A54" t="s">
        <v>7</v>
      </c>
      <c r="B54">
        <v>2</v>
      </c>
      <c r="C54" t="s">
        <v>4</v>
      </c>
      <c r="D54" s="2">
        <v>104.23562956107911</v>
      </c>
    </row>
    <row r="55" spans="1:10" x14ac:dyDescent="0.3">
      <c r="A55" t="s">
        <v>7</v>
      </c>
      <c r="B55">
        <v>3</v>
      </c>
      <c r="C55" t="s">
        <v>4</v>
      </c>
      <c r="D55" s="2">
        <v>116.70315852448928</v>
      </c>
    </row>
    <row r="56" spans="1:10" x14ac:dyDescent="0.3">
      <c r="A56" t="s">
        <v>7</v>
      </c>
      <c r="B56">
        <v>4</v>
      </c>
      <c r="C56" t="s">
        <v>4</v>
      </c>
      <c r="D56" s="2">
        <v>119.77878183047781</v>
      </c>
    </row>
    <row r="57" spans="1:10" x14ac:dyDescent="0.3">
      <c r="A57" t="s">
        <v>7</v>
      </c>
      <c r="B57">
        <v>5</v>
      </c>
      <c r="C57" t="s">
        <v>4</v>
      </c>
      <c r="D57" s="2">
        <v>113.10356013715779</v>
      </c>
    </row>
    <row r="58" spans="1:10" x14ac:dyDescent="0.3">
      <c r="A58" t="s">
        <v>7</v>
      </c>
      <c r="B58">
        <v>6</v>
      </c>
      <c r="C58" t="s">
        <v>4</v>
      </c>
      <c r="D58" s="2">
        <v>103.80816274836418</v>
      </c>
    </row>
    <row r="59" spans="1:10" x14ac:dyDescent="0.3">
      <c r="A59" t="s">
        <v>7</v>
      </c>
      <c r="B59">
        <v>7</v>
      </c>
      <c r="C59" t="s">
        <v>4</v>
      </c>
      <c r="D59" s="2">
        <v>102.82032826776022</v>
      </c>
    </row>
    <row r="60" spans="1:10" x14ac:dyDescent="0.3">
      <c r="A60" t="s">
        <v>7</v>
      </c>
      <c r="B60">
        <v>8</v>
      </c>
      <c r="C60" t="s">
        <v>4</v>
      </c>
      <c r="D60" s="2">
        <v>94.62520865835657</v>
      </c>
    </row>
    <row r="61" spans="1:10" x14ac:dyDescent="0.3">
      <c r="A61" t="s">
        <v>7</v>
      </c>
      <c r="B61">
        <v>9</v>
      </c>
      <c r="C61" t="s">
        <v>4</v>
      </c>
      <c r="D61" s="2">
        <v>105.09458140598011</v>
      </c>
    </row>
    <row r="62" spans="1:10" x14ac:dyDescent="0.3">
      <c r="A62" t="s">
        <v>7</v>
      </c>
      <c r="B62">
        <v>10</v>
      </c>
      <c r="C62" t="s">
        <v>4</v>
      </c>
      <c r="D62" s="2">
        <v>108.51405557828656</v>
      </c>
    </row>
    <row r="63" spans="1:10" x14ac:dyDescent="0.3">
      <c r="A63" t="s">
        <v>7</v>
      </c>
      <c r="B63">
        <v>11</v>
      </c>
      <c r="C63" t="s">
        <v>4</v>
      </c>
      <c r="D63" s="2">
        <v>106.3672587894328</v>
      </c>
    </row>
    <row r="64" spans="1:10" x14ac:dyDescent="0.3">
      <c r="A64" t="s">
        <v>7</v>
      </c>
      <c r="B64">
        <v>12</v>
      </c>
      <c r="C64" t="s">
        <v>4</v>
      </c>
      <c r="D64" s="2">
        <v>112.88157369517145</v>
      </c>
    </row>
    <row r="65" spans="1:10" x14ac:dyDescent="0.3">
      <c r="A65" t="s">
        <v>7</v>
      </c>
      <c r="B65">
        <v>12</v>
      </c>
      <c r="C65" t="s">
        <v>4</v>
      </c>
      <c r="D65" s="2">
        <v>102.90734824310418</v>
      </c>
    </row>
    <row r="66" spans="1:10" x14ac:dyDescent="0.3">
      <c r="A66" t="s">
        <v>7</v>
      </c>
      <c r="B66">
        <v>12</v>
      </c>
      <c r="C66" t="s">
        <v>4</v>
      </c>
      <c r="D66" s="2">
        <v>109.8806825748941</v>
      </c>
      <c r="G66" t="s">
        <v>33</v>
      </c>
      <c r="H66">
        <f>(AVERAGE(D64:D66))*F67</f>
        <v>4342.2613935089294</v>
      </c>
      <c r="I66">
        <f>H66/365</f>
        <v>11.896606557558711</v>
      </c>
      <c r="J66">
        <f>I66/1000</f>
        <v>1.189660655755871E-2</v>
      </c>
    </row>
    <row r="67" spans="1:10" s="1" customFormat="1" x14ac:dyDescent="0.3">
      <c r="A67" s="1" t="s">
        <v>7</v>
      </c>
      <c r="B67" s="1" t="s">
        <v>17</v>
      </c>
      <c r="C67" s="1" t="s">
        <v>4</v>
      </c>
      <c r="E67" s="1">
        <v>470</v>
      </c>
      <c r="F67" s="1">
        <v>40</v>
      </c>
      <c r="G67" s="1" t="s">
        <v>32</v>
      </c>
      <c r="H67" s="1">
        <f>(AVERAGE(D64:D66))*E67</f>
        <v>51021.571373729923</v>
      </c>
      <c r="I67" s="1">
        <f>H67/365</f>
        <v>139.78512705131484</v>
      </c>
      <c r="J67" s="1">
        <f>I67/1000</f>
        <v>0.13978512705131485</v>
      </c>
    </row>
    <row r="68" spans="1:10" x14ac:dyDescent="0.3">
      <c r="A68" t="s">
        <v>8</v>
      </c>
      <c r="B68">
        <v>1</v>
      </c>
      <c r="C68" t="s">
        <v>4</v>
      </c>
      <c r="D68" s="2">
        <v>199.78814962177492</v>
      </c>
    </row>
    <row r="69" spans="1:10" x14ac:dyDescent="0.3">
      <c r="A69" t="s">
        <v>8</v>
      </c>
      <c r="B69">
        <v>2</v>
      </c>
      <c r="C69" t="s">
        <v>4</v>
      </c>
      <c r="D69" s="2">
        <v>251.36214169684715</v>
      </c>
    </row>
    <row r="70" spans="1:10" x14ac:dyDescent="0.3">
      <c r="A70" t="s">
        <v>8</v>
      </c>
      <c r="B70">
        <v>3</v>
      </c>
      <c r="C70" t="s">
        <v>4</v>
      </c>
      <c r="D70" s="2">
        <v>192.01454037676862</v>
      </c>
    </row>
    <row r="71" spans="1:10" x14ac:dyDescent="0.3">
      <c r="A71" t="s">
        <v>8</v>
      </c>
      <c r="B71">
        <v>4</v>
      </c>
      <c r="C71" t="s">
        <v>4</v>
      </c>
      <c r="D71" s="2">
        <v>211.66488889599421</v>
      </c>
    </row>
    <row r="72" spans="1:10" x14ac:dyDescent="0.3">
      <c r="A72" t="s">
        <v>8</v>
      </c>
      <c r="B72">
        <v>5</v>
      </c>
      <c r="C72" t="s">
        <v>4</v>
      </c>
      <c r="D72" s="2">
        <v>155.12940189497354</v>
      </c>
    </row>
    <row r="73" spans="1:10" x14ac:dyDescent="0.3">
      <c r="A73" t="s">
        <v>8</v>
      </c>
      <c r="B73">
        <v>6</v>
      </c>
      <c r="C73" t="s">
        <v>4</v>
      </c>
      <c r="D73" s="2">
        <v>156.53070930396996</v>
      </c>
    </row>
    <row r="74" spans="1:10" x14ac:dyDescent="0.3">
      <c r="A74" t="s">
        <v>8</v>
      </c>
      <c r="B74">
        <v>7</v>
      </c>
      <c r="C74" t="s">
        <v>4</v>
      </c>
      <c r="D74" s="2">
        <v>159.87807775463526</v>
      </c>
    </row>
    <row r="75" spans="1:10" x14ac:dyDescent="0.3">
      <c r="A75" t="s">
        <v>8</v>
      </c>
      <c r="B75">
        <v>8</v>
      </c>
      <c r="C75" t="s">
        <v>4</v>
      </c>
      <c r="D75" s="2">
        <v>173.4085957499077</v>
      </c>
    </row>
    <row r="76" spans="1:10" x14ac:dyDescent="0.3">
      <c r="A76" t="s">
        <v>8</v>
      </c>
      <c r="B76">
        <v>9</v>
      </c>
      <c r="C76" t="s">
        <v>4</v>
      </c>
      <c r="D76" s="2">
        <v>259.360162435559</v>
      </c>
    </row>
    <row r="77" spans="1:10" x14ac:dyDescent="0.3">
      <c r="A77" t="s">
        <v>8</v>
      </c>
      <c r="B77">
        <v>10</v>
      </c>
      <c r="C77" t="s">
        <v>4</v>
      </c>
      <c r="D77" s="2">
        <v>287.04319473390933</v>
      </c>
    </row>
    <row r="78" spans="1:10" x14ac:dyDescent="0.3">
      <c r="A78" t="s">
        <v>8</v>
      </c>
      <c r="B78">
        <v>11</v>
      </c>
      <c r="C78" t="s">
        <v>4</v>
      </c>
      <c r="D78" s="2">
        <v>167.84414236178966</v>
      </c>
    </row>
    <row r="79" spans="1:10" x14ac:dyDescent="0.3">
      <c r="A79" t="s">
        <v>8</v>
      </c>
      <c r="B79">
        <v>12</v>
      </c>
      <c r="C79" t="s">
        <v>4</v>
      </c>
      <c r="D79" s="2">
        <v>137.87627431587981</v>
      </c>
    </row>
    <row r="80" spans="1:10" x14ac:dyDescent="0.3">
      <c r="A80" t="s">
        <v>8</v>
      </c>
      <c r="B80">
        <v>12</v>
      </c>
      <c r="C80" t="s">
        <v>4</v>
      </c>
      <c r="D80" s="2">
        <v>139.49278145757086</v>
      </c>
    </row>
    <row r="81" spans="1:10" x14ac:dyDescent="0.3">
      <c r="A81" t="s">
        <v>8</v>
      </c>
      <c r="B81">
        <v>12</v>
      </c>
      <c r="C81" t="s">
        <v>4</v>
      </c>
      <c r="D81" s="2">
        <v>131.94678432829963</v>
      </c>
      <c r="G81" t="s">
        <v>33</v>
      </c>
      <c r="H81">
        <f>(AVERAGE(D79:D81))*F82</f>
        <v>1364.386133672501</v>
      </c>
      <c r="I81">
        <f>H81/365</f>
        <v>3.7380442018424684</v>
      </c>
      <c r="J81">
        <f>I81/1000</f>
        <v>3.7380442018424683E-3</v>
      </c>
    </row>
    <row r="82" spans="1:10" s="1" customFormat="1" x14ac:dyDescent="0.3">
      <c r="A82" s="1" t="s">
        <v>8</v>
      </c>
      <c r="B82" s="1" t="s">
        <v>17</v>
      </c>
      <c r="C82" s="1" t="s">
        <v>4</v>
      </c>
      <c r="E82" s="1">
        <v>380</v>
      </c>
      <c r="F82" s="1">
        <v>10</v>
      </c>
      <c r="G82" s="1" t="s">
        <v>32</v>
      </c>
      <c r="H82" s="1">
        <f>(AVERAGE(D79:D81))*E82</f>
        <v>51846.673079555039</v>
      </c>
      <c r="I82" s="1">
        <f>H82/365</f>
        <v>142.04567967001381</v>
      </c>
      <c r="J82" s="1">
        <f>I82/1000</f>
        <v>0.1420456796700138</v>
      </c>
    </row>
    <row r="83" spans="1:10" x14ac:dyDescent="0.3">
      <c r="A83" t="s">
        <v>9</v>
      </c>
      <c r="B83">
        <v>1</v>
      </c>
      <c r="C83" t="s">
        <v>4</v>
      </c>
      <c r="D83" s="2">
        <v>212.22551993474568</v>
      </c>
    </row>
    <row r="84" spans="1:10" x14ac:dyDescent="0.3">
      <c r="A84" t="s">
        <v>9</v>
      </c>
      <c r="B84">
        <v>2</v>
      </c>
      <c r="C84" t="s">
        <v>4</v>
      </c>
      <c r="D84" s="2">
        <v>201.23152310275259</v>
      </c>
    </row>
    <row r="85" spans="1:10" x14ac:dyDescent="0.3">
      <c r="A85" t="s">
        <v>9</v>
      </c>
      <c r="B85">
        <v>3</v>
      </c>
      <c r="C85" t="s">
        <v>4</v>
      </c>
      <c r="D85" s="2">
        <v>220.40101675057352</v>
      </c>
    </row>
    <row r="86" spans="1:10" x14ac:dyDescent="0.3">
      <c r="A86" t="s">
        <v>9</v>
      </c>
      <c r="B86">
        <v>4</v>
      </c>
      <c r="C86" t="s">
        <v>4</v>
      </c>
      <c r="D86" s="2">
        <v>179.25972068471617</v>
      </c>
    </row>
    <row r="87" spans="1:10" x14ac:dyDescent="0.3">
      <c r="A87" t="s">
        <v>9</v>
      </c>
      <c r="B87">
        <v>5</v>
      </c>
      <c r="C87" t="s">
        <v>4</v>
      </c>
      <c r="D87" s="2">
        <v>183.23693826910952</v>
      </c>
    </row>
    <row r="88" spans="1:10" x14ac:dyDescent="0.3">
      <c r="A88" t="s">
        <v>9</v>
      </c>
      <c r="B88">
        <v>6</v>
      </c>
      <c r="C88" t="s">
        <v>4</v>
      </c>
      <c r="D88" s="2">
        <v>171.71961395674356</v>
      </c>
    </row>
    <row r="89" spans="1:10" x14ac:dyDescent="0.3">
      <c r="A89" t="s">
        <v>9</v>
      </c>
      <c r="B89">
        <v>7</v>
      </c>
      <c r="C89" t="s">
        <v>4</v>
      </c>
      <c r="D89" s="2">
        <v>167.49455286291251</v>
      </c>
    </row>
    <row r="90" spans="1:10" x14ac:dyDescent="0.3">
      <c r="A90" t="s">
        <v>9</v>
      </c>
      <c r="B90">
        <v>8</v>
      </c>
      <c r="C90" t="s">
        <v>4</v>
      </c>
      <c r="D90" s="2">
        <v>159.93604091755901</v>
      </c>
    </row>
    <row r="91" spans="1:10" x14ac:dyDescent="0.3">
      <c r="A91" t="s">
        <v>9</v>
      </c>
      <c r="B91">
        <v>9</v>
      </c>
      <c r="C91" t="s">
        <v>4</v>
      </c>
      <c r="D91" s="2">
        <v>168.46852674777512</v>
      </c>
    </row>
    <row r="92" spans="1:10" x14ac:dyDescent="0.3">
      <c r="A92" t="s">
        <v>9</v>
      </c>
      <c r="B92">
        <v>10</v>
      </c>
      <c r="C92" t="s">
        <v>4</v>
      </c>
      <c r="D92" s="2">
        <v>175.87079679724155</v>
      </c>
    </row>
    <row r="93" spans="1:10" x14ac:dyDescent="0.3">
      <c r="A93" t="s">
        <v>9</v>
      </c>
      <c r="B93">
        <v>11</v>
      </c>
      <c r="C93" t="s">
        <v>4</v>
      </c>
      <c r="D93" s="2">
        <v>137.68915813272969</v>
      </c>
    </row>
    <row r="94" spans="1:10" x14ac:dyDescent="0.3">
      <c r="A94" t="s">
        <v>9</v>
      </c>
      <c r="B94">
        <v>12</v>
      </c>
      <c r="C94" t="s">
        <v>4</v>
      </c>
      <c r="D94" s="2">
        <v>144.15737318074707</v>
      </c>
    </row>
    <row r="95" spans="1:10" x14ac:dyDescent="0.3">
      <c r="A95" t="s">
        <v>9</v>
      </c>
      <c r="B95">
        <v>13</v>
      </c>
      <c r="C95" t="s">
        <v>4</v>
      </c>
      <c r="D95" s="2">
        <v>124.78512053260674</v>
      </c>
    </row>
    <row r="96" spans="1:10" x14ac:dyDescent="0.3">
      <c r="A96" t="s">
        <v>9</v>
      </c>
      <c r="B96">
        <v>13</v>
      </c>
      <c r="C96" t="s">
        <v>4</v>
      </c>
      <c r="D96" s="2">
        <v>139.69793696354964</v>
      </c>
    </row>
    <row r="97" spans="1:10" x14ac:dyDescent="0.3">
      <c r="A97" t="s">
        <v>9</v>
      </c>
      <c r="B97">
        <v>13</v>
      </c>
      <c r="C97" t="s">
        <v>4</v>
      </c>
      <c r="D97" s="2">
        <v>124.03765033884325</v>
      </c>
      <c r="G97" t="s">
        <v>33</v>
      </c>
      <c r="H97">
        <f>(AVERAGE(D95:D97))*F98</f>
        <v>11655.62123504999</v>
      </c>
      <c r="I97">
        <f>H97/365</f>
        <v>31.933208863150657</v>
      </c>
      <c r="J97">
        <f>I97/1000</f>
        <v>3.193320886315066E-2</v>
      </c>
    </row>
    <row r="98" spans="1:10" s="1" customFormat="1" x14ac:dyDescent="0.3">
      <c r="A98" s="1" t="s">
        <v>9</v>
      </c>
      <c r="B98" s="1" t="s">
        <v>17</v>
      </c>
      <c r="C98" s="1" t="s">
        <v>4</v>
      </c>
      <c r="E98" s="1">
        <v>840</v>
      </c>
      <c r="F98" s="1">
        <v>90</v>
      </c>
      <c r="G98" s="1" t="s">
        <v>32</v>
      </c>
      <c r="H98" s="1">
        <f>(AVERAGE(D95:D97))*E98</f>
        <v>108785.79819379991</v>
      </c>
      <c r="I98" s="1">
        <f>H98/365</f>
        <v>298.04328272273949</v>
      </c>
      <c r="J98" s="1">
        <f>I98/1000</f>
        <v>0.2980432827227395</v>
      </c>
    </row>
    <row r="99" spans="1:10" x14ac:dyDescent="0.3">
      <c r="A99" t="s">
        <v>10</v>
      </c>
      <c r="B99">
        <v>1</v>
      </c>
      <c r="C99" t="s">
        <v>4</v>
      </c>
      <c r="D99" s="2">
        <v>194.5077197892852</v>
      </c>
    </row>
    <row r="100" spans="1:10" x14ac:dyDescent="0.3">
      <c r="A100" t="s">
        <v>10</v>
      </c>
      <c r="B100">
        <v>2</v>
      </c>
      <c r="C100" t="s">
        <v>4</v>
      </c>
      <c r="D100" s="2">
        <v>177.70257457096289</v>
      </c>
    </row>
    <row r="101" spans="1:10" x14ac:dyDescent="0.3">
      <c r="A101" t="s">
        <v>10</v>
      </c>
      <c r="B101">
        <v>3</v>
      </c>
      <c r="C101" t="s">
        <v>4</v>
      </c>
      <c r="D101" s="2">
        <v>167.10350671332162</v>
      </c>
    </row>
    <row r="102" spans="1:10" x14ac:dyDescent="0.3">
      <c r="A102" t="s">
        <v>10</v>
      </c>
      <c r="B102">
        <v>4</v>
      </c>
      <c r="C102" t="s">
        <v>4</v>
      </c>
      <c r="D102" s="2">
        <v>155.3631074901902</v>
      </c>
    </row>
    <row r="103" spans="1:10" x14ac:dyDescent="0.3">
      <c r="A103" t="s">
        <v>10</v>
      </c>
      <c r="B103">
        <v>5</v>
      </c>
      <c r="C103" t="s">
        <v>4</v>
      </c>
      <c r="D103" s="2">
        <v>134.08526598486534</v>
      </c>
    </row>
    <row r="104" spans="1:10" x14ac:dyDescent="0.3">
      <c r="A104" t="s">
        <v>10</v>
      </c>
      <c r="B104">
        <v>6</v>
      </c>
      <c r="C104" t="s">
        <v>4</v>
      </c>
      <c r="D104" s="2">
        <v>115.60796454345329</v>
      </c>
    </row>
    <row r="105" spans="1:10" x14ac:dyDescent="0.3">
      <c r="A105" t="s">
        <v>10</v>
      </c>
      <c r="B105">
        <v>7</v>
      </c>
      <c r="C105" t="s">
        <v>4</v>
      </c>
      <c r="D105" s="2">
        <v>117.47682533399956</v>
      </c>
    </row>
    <row r="106" spans="1:10" x14ac:dyDescent="0.3">
      <c r="A106" t="s">
        <v>10</v>
      </c>
      <c r="B106">
        <v>8</v>
      </c>
      <c r="C106" t="s">
        <v>4</v>
      </c>
      <c r="D106" s="2">
        <v>121.47820816518146</v>
      </c>
    </row>
    <row r="107" spans="1:10" x14ac:dyDescent="0.3">
      <c r="A107" t="s">
        <v>10</v>
      </c>
      <c r="B107">
        <v>9</v>
      </c>
      <c r="C107" t="s">
        <v>4</v>
      </c>
      <c r="D107" s="2">
        <v>108.4136731627497</v>
      </c>
    </row>
    <row r="108" spans="1:10" x14ac:dyDescent="0.3">
      <c r="A108" t="s">
        <v>10</v>
      </c>
      <c r="B108">
        <v>10</v>
      </c>
      <c r="C108" t="s">
        <v>4</v>
      </c>
      <c r="D108" s="2">
        <v>102.23788041371698</v>
      </c>
    </row>
    <row r="109" spans="1:10" x14ac:dyDescent="0.3">
      <c r="A109" t="s">
        <v>10</v>
      </c>
      <c r="B109">
        <v>11</v>
      </c>
      <c r="C109" t="s">
        <v>4</v>
      </c>
      <c r="D109" s="2">
        <v>93.984332404839932</v>
      </c>
    </row>
    <row r="110" spans="1:10" x14ac:dyDescent="0.3">
      <c r="A110" t="s">
        <v>10</v>
      </c>
      <c r="B110">
        <v>12</v>
      </c>
      <c r="C110" t="s">
        <v>4</v>
      </c>
      <c r="D110" s="2">
        <v>88.046102059927918</v>
      </c>
    </row>
    <row r="111" spans="1:10" x14ac:dyDescent="0.3">
      <c r="A111" t="s">
        <v>10</v>
      </c>
      <c r="B111">
        <v>13</v>
      </c>
      <c r="C111" t="s">
        <v>4</v>
      </c>
      <c r="D111" s="2">
        <v>70.941482490572454</v>
      </c>
    </row>
    <row r="112" spans="1:10" x14ac:dyDescent="0.3">
      <c r="A112" t="s">
        <v>10</v>
      </c>
      <c r="B112">
        <v>14</v>
      </c>
      <c r="C112" t="s">
        <v>4</v>
      </c>
      <c r="D112" s="2">
        <v>51.354848940948997</v>
      </c>
    </row>
    <row r="113" spans="1:10" x14ac:dyDescent="0.3">
      <c r="A113" t="s">
        <v>10</v>
      </c>
      <c r="B113">
        <v>15</v>
      </c>
      <c r="C113" t="s">
        <v>4</v>
      </c>
      <c r="D113" s="2">
        <v>41.066043628638916</v>
      </c>
    </row>
    <row r="114" spans="1:10" x14ac:dyDescent="0.3">
      <c r="A114" t="s">
        <v>10</v>
      </c>
      <c r="B114">
        <v>15</v>
      </c>
      <c r="C114" t="s">
        <v>4</v>
      </c>
      <c r="D114" s="2">
        <v>41.190764116116696</v>
      </c>
    </row>
    <row r="115" spans="1:10" x14ac:dyDescent="0.3">
      <c r="A115" t="s">
        <v>10</v>
      </c>
      <c r="B115">
        <v>15</v>
      </c>
      <c r="C115" t="s">
        <v>4</v>
      </c>
      <c r="D115" s="2">
        <v>41.790245415954772</v>
      </c>
      <c r="G115" t="s">
        <v>33</v>
      </c>
      <c r="H115">
        <f>(AVERAGE(D113:D115))*F116</f>
        <v>3307.9214176189435</v>
      </c>
      <c r="I115">
        <f>H115/365</f>
        <v>9.0627984044354619</v>
      </c>
      <c r="J115">
        <f>I115/1000</f>
        <v>9.0627984044354612E-3</v>
      </c>
    </row>
    <row r="116" spans="1:10" s="1" customFormat="1" x14ac:dyDescent="0.3">
      <c r="A116" s="1" t="s">
        <v>10</v>
      </c>
      <c r="B116" s="1" t="s">
        <v>17</v>
      </c>
      <c r="C116" s="1" t="s">
        <v>4</v>
      </c>
      <c r="E116" s="1">
        <v>670</v>
      </c>
      <c r="F116" s="1">
        <v>80</v>
      </c>
      <c r="G116" s="1" t="s">
        <v>32</v>
      </c>
      <c r="H116" s="1">
        <f>(AVERAGE(D113:D115))*E116</f>
        <v>27703.841872558653</v>
      </c>
      <c r="I116" s="1">
        <f>H116/365</f>
        <v>75.900936637146998</v>
      </c>
      <c r="J116" s="1">
        <f>I116/1000</f>
        <v>7.5900936637147004E-2</v>
      </c>
    </row>
    <row r="117" spans="1:10" x14ac:dyDescent="0.3">
      <c r="A117" t="s">
        <v>11</v>
      </c>
      <c r="B117">
        <v>1</v>
      </c>
      <c r="C117" t="s">
        <v>4</v>
      </c>
      <c r="D117" s="2">
        <v>176.19296402738311</v>
      </c>
    </row>
    <row r="118" spans="1:10" x14ac:dyDescent="0.3">
      <c r="A118" t="s">
        <v>11</v>
      </c>
      <c r="B118">
        <v>2</v>
      </c>
      <c r="C118" t="s">
        <v>4</v>
      </c>
      <c r="D118" s="2">
        <v>191.71184008212023</v>
      </c>
    </row>
    <row r="119" spans="1:10" x14ac:dyDescent="0.3">
      <c r="A119" t="s">
        <v>11</v>
      </c>
      <c r="B119">
        <v>3</v>
      </c>
      <c r="C119" t="s">
        <v>4</v>
      </c>
      <c r="D119" s="2">
        <v>192.99061605076298</v>
      </c>
    </row>
    <row r="120" spans="1:10" x14ac:dyDescent="0.3">
      <c r="A120" t="s">
        <v>11</v>
      </c>
      <c r="B120">
        <v>4</v>
      </c>
      <c r="C120" t="s">
        <v>4</v>
      </c>
      <c r="D120" s="2">
        <v>191.71399479470011</v>
      </c>
    </row>
    <row r="121" spans="1:10" x14ac:dyDescent="0.3">
      <c r="A121" t="s">
        <v>11</v>
      </c>
      <c r="B121">
        <v>5</v>
      </c>
      <c r="C121" t="s">
        <v>4</v>
      </c>
      <c r="D121" s="2">
        <v>211.96519834459477</v>
      </c>
    </row>
    <row r="122" spans="1:10" x14ac:dyDescent="0.3">
      <c r="A122" t="s">
        <v>11</v>
      </c>
      <c r="B122">
        <v>6</v>
      </c>
      <c r="C122" t="s">
        <v>4</v>
      </c>
      <c r="D122" s="2">
        <v>166.40108666009485</v>
      </c>
    </row>
    <row r="123" spans="1:10" x14ac:dyDescent="0.3">
      <c r="A123" t="s">
        <v>11</v>
      </c>
      <c r="B123">
        <v>7</v>
      </c>
      <c r="C123" t="s">
        <v>4</v>
      </c>
      <c r="D123" s="2">
        <v>205.52323136118937</v>
      </c>
    </row>
    <row r="124" spans="1:10" x14ac:dyDescent="0.3">
      <c r="A124" t="s">
        <v>11</v>
      </c>
      <c r="B124">
        <v>8</v>
      </c>
      <c r="C124" t="s">
        <v>4</v>
      </c>
      <c r="D124" s="2">
        <v>216.16205776436425</v>
      </c>
    </row>
    <row r="125" spans="1:10" x14ac:dyDescent="0.3">
      <c r="A125" t="s">
        <v>11</v>
      </c>
      <c r="B125">
        <v>9</v>
      </c>
      <c r="C125" t="s">
        <v>4</v>
      </c>
      <c r="D125" s="2">
        <v>211.08366349645448</v>
      </c>
    </row>
    <row r="126" spans="1:10" x14ac:dyDescent="0.3">
      <c r="A126" t="s">
        <v>11</v>
      </c>
      <c r="B126">
        <v>10</v>
      </c>
      <c r="C126" t="s">
        <v>4</v>
      </c>
      <c r="D126" s="2">
        <v>181.13299256438128</v>
      </c>
    </row>
    <row r="127" spans="1:10" x14ac:dyDescent="0.3">
      <c r="A127" t="s">
        <v>11</v>
      </c>
      <c r="B127">
        <v>11</v>
      </c>
      <c r="C127" t="s">
        <v>4</v>
      </c>
      <c r="D127" s="2">
        <v>163.56113596261011</v>
      </c>
    </row>
    <row r="128" spans="1:10" x14ac:dyDescent="0.3">
      <c r="A128" t="s">
        <v>11</v>
      </c>
      <c r="B128">
        <v>12</v>
      </c>
      <c r="C128" t="s">
        <v>4</v>
      </c>
      <c r="D128" s="2">
        <v>195.75262130988997</v>
      </c>
    </row>
    <row r="129" spans="1:10" x14ac:dyDescent="0.3">
      <c r="A129" t="s">
        <v>11</v>
      </c>
      <c r="B129">
        <v>13</v>
      </c>
      <c r="C129" t="s">
        <v>4</v>
      </c>
      <c r="D129" s="2">
        <v>176.09975884177493</v>
      </c>
    </row>
    <row r="130" spans="1:10" x14ac:dyDescent="0.3">
      <c r="A130" t="s">
        <v>11</v>
      </c>
      <c r="B130">
        <v>13</v>
      </c>
      <c r="C130" t="s">
        <v>4</v>
      </c>
      <c r="D130" s="2">
        <v>184.2440218452287</v>
      </c>
    </row>
    <row r="131" spans="1:10" x14ac:dyDescent="0.3">
      <c r="A131" t="s">
        <v>11</v>
      </c>
      <c r="B131">
        <v>13</v>
      </c>
      <c r="C131" t="s">
        <v>4</v>
      </c>
      <c r="D131" s="2">
        <v>215.08473031873362</v>
      </c>
      <c r="G131" t="s">
        <v>33</v>
      </c>
      <c r="H131">
        <f>(AVERAGE(D129:D131))*F132</f>
        <v>19180.950366857909</v>
      </c>
      <c r="I131">
        <f>H131/365</f>
        <v>52.550548950295642</v>
      </c>
      <c r="J131">
        <f>I131/1000</f>
        <v>5.2550548950295643E-2</v>
      </c>
    </row>
    <row r="132" spans="1:10" s="1" customFormat="1" x14ac:dyDescent="0.3">
      <c r="A132" s="1" t="s">
        <v>11</v>
      </c>
      <c r="B132" s="1" t="s">
        <v>17</v>
      </c>
      <c r="C132" s="1" t="s">
        <v>4</v>
      </c>
      <c r="E132" s="1">
        <v>1500</v>
      </c>
      <c r="F132" s="1">
        <v>100</v>
      </c>
      <c r="G132" s="1" t="s">
        <v>32</v>
      </c>
      <c r="H132" s="1">
        <f>(AVERAGE(D129:D131))*E132</f>
        <v>287714.25550286862</v>
      </c>
      <c r="I132" s="1">
        <f>H132/365</f>
        <v>788.25823425443457</v>
      </c>
      <c r="J132" s="1">
        <f>I132/1000</f>
        <v>0.78825823425443453</v>
      </c>
    </row>
    <row r="133" spans="1:10" x14ac:dyDescent="0.3">
      <c r="A133" t="s">
        <v>12</v>
      </c>
      <c r="B133">
        <v>1</v>
      </c>
      <c r="C133" t="s">
        <v>4</v>
      </c>
      <c r="D133" s="2">
        <v>163.87643636272239</v>
      </c>
    </row>
    <row r="134" spans="1:10" x14ac:dyDescent="0.3">
      <c r="A134" t="s">
        <v>12</v>
      </c>
      <c r="B134">
        <v>2</v>
      </c>
      <c r="C134" t="s">
        <v>4</v>
      </c>
      <c r="D134" s="2">
        <v>131.88796542403423</v>
      </c>
    </row>
    <row r="135" spans="1:10" x14ac:dyDescent="0.3">
      <c r="A135" t="s">
        <v>12</v>
      </c>
      <c r="B135">
        <v>3</v>
      </c>
      <c r="C135" t="s">
        <v>4</v>
      </c>
      <c r="D135" s="2">
        <v>167.12895609659992</v>
      </c>
    </row>
    <row r="136" spans="1:10" x14ac:dyDescent="0.3">
      <c r="A136" t="s">
        <v>12</v>
      </c>
      <c r="B136">
        <v>4</v>
      </c>
      <c r="C136" t="s">
        <v>4</v>
      </c>
      <c r="D136" s="2">
        <v>133.8942643854497</v>
      </c>
    </row>
    <row r="137" spans="1:10" x14ac:dyDescent="0.3">
      <c r="A137" t="s">
        <v>12</v>
      </c>
      <c r="B137">
        <v>5</v>
      </c>
      <c r="C137" t="s">
        <v>4</v>
      </c>
      <c r="D137" s="2">
        <v>141.04582682582114</v>
      </c>
    </row>
    <row r="138" spans="1:10" x14ac:dyDescent="0.3">
      <c r="A138" t="s">
        <v>12</v>
      </c>
      <c r="B138">
        <v>6</v>
      </c>
      <c r="C138" t="s">
        <v>4</v>
      </c>
      <c r="D138" s="2">
        <v>122.27675646857905</v>
      </c>
    </row>
    <row r="139" spans="1:10" x14ac:dyDescent="0.3">
      <c r="A139" t="s">
        <v>12</v>
      </c>
      <c r="B139">
        <v>7</v>
      </c>
      <c r="C139" t="s">
        <v>4</v>
      </c>
      <c r="D139" s="2">
        <v>110.96013639832094</v>
      </c>
    </row>
    <row r="140" spans="1:10" x14ac:dyDescent="0.3">
      <c r="A140" t="s">
        <v>12</v>
      </c>
      <c r="B140">
        <v>8</v>
      </c>
      <c r="C140" t="s">
        <v>4</v>
      </c>
      <c r="D140" s="2">
        <v>102.19898233807611</v>
      </c>
    </row>
    <row r="141" spans="1:10" x14ac:dyDescent="0.3">
      <c r="A141" t="s">
        <v>12</v>
      </c>
      <c r="B141">
        <v>9</v>
      </c>
      <c r="C141" t="s">
        <v>4</v>
      </c>
      <c r="D141" s="2">
        <v>104.4240778094665</v>
      </c>
    </row>
    <row r="142" spans="1:10" x14ac:dyDescent="0.3">
      <c r="A142" t="s">
        <v>12</v>
      </c>
      <c r="B142">
        <v>10</v>
      </c>
      <c r="C142" t="s">
        <v>4</v>
      </c>
      <c r="D142" s="2">
        <v>101.58782850125995</v>
      </c>
    </row>
    <row r="143" spans="1:10" x14ac:dyDescent="0.3">
      <c r="A143" t="s">
        <v>12</v>
      </c>
      <c r="B143">
        <v>11</v>
      </c>
      <c r="C143" t="s">
        <v>4</v>
      </c>
      <c r="D143" s="2">
        <v>119.01401598265662</v>
      </c>
    </row>
    <row r="144" spans="1:10" x14ac:dyDescent="0.3">
      <c r="A144" t="s">
        <v>12</v>
      </c>
      <c r="B144">
        <v>12</v>
      </c>
      <c r="C144" t="s">
        <v>4</v>
      </c>
      <c r="D144" s="2">
        <v>115.73148204472974</v>
      </c>
    </row>
    <row r="145" spans="1:10" x14ac:dyDescent="0.3">
      <c r="A145" t="s">
        <v>12</v>
      </c>
      <c r="B145">
        <v>13</v>
      </c>
      <c r="C145" t="s">
        <v>4</v>
      </c>
      <c r="D145" s="2">
        <v>110.35321553705209</v>
      </c>
    </row>
    <row r="146" spans="1:10" x14ac:dyDescent="0.3">
      <c r="A146" t="s">
        <v>12</v>
      </c>
      <c r="B146">
        <v>13</v>
      </c>
      <c r="C146" t="s">
        <v>4</v>
      </c>
      <c r="D146" s="2">
        <v>115.55572755949557</v>
      </c>
    </row>
    <row r="147" spans="1:10" x14ac:dyDescent="0.3">
      <c r="A147" t="s">
        <v>12</v>
      </c>
      <c r="B147">
        <v>13</v>
      </c>
      <c r="C147" t="s">
        <v>4</v>
      </c>
      <c r="D147" s="2">
        <v>115.71828534216516</v>
      </c>
      <c r="G147" t="s">
        <v>33</v>
      </c>
      <c r="H147">
        <f>(AVERAGE(D145:D147))*F148</f>
        <v>25052.663418838936</v>
      </c>
      <c r="I147">
        <f>H147/365</f>
        <v>68.637434024216262</v>
      </c>
      <c r="J147">
        <f>I147/1000</f>
        <v>6.8637434024216265E-2</v>
      </c>
    </row>
    <row r="148" spans="1:10" s="1" customFormat="1" x14ac:dyDescent="0.3">
      <c r="A148" s="1" t="s">
        <v>12</v>
      </c>
      <c r="B148" s="1" t="s">
        <v>17</v>
      </c>
      <c r="C148" s="1" t="s">
        <v>4</v>
      </c>
      <c r="E148" s="1">
        <v>2220</v>
      </c>
      <c r="F148" s="1">
        <v>220</v>
      </c>
      <c r="G148" s="1" t="s">
        <v>32</v>
      </c>
      <c r="H148" s="1">
        <f>(AVERAGE(D145:D147))*E148</f>
        <v>252804.14904464746</v>
      </c>
      <c r="I148" s="1">
        <f>H148/365</f>
        <v>692.61410697163694</v>
      </c>
      <c r="J148" s="1">
        <f>I148/1000</f>
        <v>0.69261410697163694</v>
      </c>
    </row>
    <row r="149" spans="1:10" x14ac:dyDescent="0.3">
      <c r="A149" t="s">
        <v>3</v>
      </c>
      <c r="B149">
        <v>1</v>
      </c>
      <c r="C149" t="s">
        <v>13</v>
      </c>
      <c r="D149">
        <v>15.31</v>
      </c>
    </row>
    <row r="150" spans="1:10" x14ac:dyDescent="0.3">
      <c r="A150" t="s">
        <v>3</v>
      </c>
      <c r="B150">
        <v>2</v>
      </c>
      <c r="C150" t="s">
        <v>13</v>
      </c>
      <c r="D150">
        <v>2.23</v>
      </c>
    </row>
    <row r="151" spans="1:10" x14ac:dyDescent="0.3">
      <c r="A151" t="s">
        <v>3</v>
      </c>
      <c r="B151">
        <v>3</v>
      </c>
      <c r="C151" t="s">
        <v>13</v>
      </c>
      <c r="D151">
        <v>31.15</v>
      </c>
    </row>
    <row r="152" spans="1:10" x14ac:dyDescent="0.3">
      <c r="A152" t="s">
        <v>3</v>
      </c>
      <c r="B152">
        <v>4</v>
      </c>
      <c r="C152" t="s">
        <v>13</v>
      </c>
      <c r="D152">
        <v>-5.74</v>
      </c>
    </row>
    <row r="153" spans="1:10" x14ac:dyDescent="0.3">
      <c r="A153" t="s">
        <v>3</v>
      </c>
      <c r="B153">
        <v>5</v>
      </c>
      <c r="C153" t="s">
        <v>13</v>
      </c>
      <c r="D153">
        <v>45.19</v>
      </c>
    </row>
    <row r="154" spans="1:10" x14ac:dyDescent="0.3">
      <c r="A154" t="s">
        <v>3</v>
      </c>
      <c r="B154">
        <v>6</v>
      </c>
      <c r="C154" t="s">
        <v>13</v>
      </c>
      <c r="D154">
        <v>45.26</v>
      </c>
    </row>
    <row r="155" spans="1:10" x14ac:dyDescent="0.3">
      <c r="A155" t="s">
        <v>3</v>
      </c>
      <c r="B155">
        <v>7</v>
      </c>
      <c r="C155" t="s">
        <v>13</v>
      </c>
      <c r="D155">
        <v>49.33</v>
      </c>
    </row>
    <row r="156" spans="1:10" x14ac:dyDescent="0.3">
      <c r="A156" t="s">
        <v>3</v>
      </c>
      <c r="B156">
        <v>8</v>
      </c>
      <c r="C156" t="s">
        <v>13</v>
      </c>
      <c r="D156">
        <v>70.459999999999994</v>
      </c>
    </row>
    <row r="157" spans="1:10" x14ac:dyDescent="0.3">
      <c r="A157" t="s">
        <v>3</v>
      </c>
      <c r="B157">
        <v>9</v>
      </c>
      <c r="C157" t="s">
        <v>13</v>
      </c>
      <c r="D157">
        <v>99.79</v>
      </c>
    </row>
    <row r="158" spans="1:10" x14ac:dyDescent="0.3">
      <c r="A158" t="s">
        <v>3</v>
      </c>
      <c r="B158">
        <v>10</v>
      </c>
      <c r="C158" t="s">
        <v>13</v>
      </c>
      <c r="D158">
        <v>137.53</v>
      </c>
    </row>
    <row r="159" spans="1:10" x14ac:dyDescent="0.3">
      <c r="A159" t="s">
        <v>3</v>
      </c>
      <c r="B159">
        <v>11</v>
      </c>
      <c r="C159" t="s">
        <v>13</v>
      </c>
      <c r="D159">
        <v>129.43</v>
      </c>
    </row>
    <row r="160" spans="1:10" x14ac:dyDescent="0.3">
      <c r="A160" t="s">
        <v>3</v>
      </c>
      <c r="B160">
        <v>12</v>
      </c>
      <c r="C160" t="s">
        <v>13</v>
      </c>
      <c r="D160">
        <v>97.07</v>
      </c>
    </row>
    <row r="161" spans="1:10" x14ac:dyDescent="0.3">
      <c r="A161" t="s">
        <v>3</v>
      </c>
      <c r="B161">
        <v>13</v>
      </c>
      <c r="C161" t="s">
        <v>13</v>
      </c>
      <c r="D161">
        <v>155.49</v>
      </c>
    </row>
    <row r="162" spans="1:10" x14ac:dyDescent="0.3">
      <c r="A162" t="s">
        <v>3</v>
      </c>
      <c r="B162">
        <v>14</v>
      </c>
      <c r="C162" t="s">
        <v>13</v>
      </c>
      <c r="D162">
        <v>119.38</v>
      </c>
    </row>
    <row r="163" spans="1:10" x14ac:dyDescent="0.3">
      <c r="A163" t="s">
        <v>3</v>
      </c>
      <c r="B163">
        <v>15</v>
      </c>
      <c r="C163" t="s">
        <v>13</v>
      </c>
      <c r="D163">
        <v>165.38</v>
      </c>
      <c r="G163" t="s">
        <v>33</v>
      </c>
      <c r="H163">
        <f>(AVERAGE(D161:D163))*F164</f>
        <v>11740</v>
      </c>
      <c r="I163">
        <f>H163/365</f>
        <v>32.164383561643838</v>
      </c>
      <c r="J163">
        <f>I163/1000</f>
        <v>3.216438356164384E-2</v>
      </c>
    </row>
    <row r="164" spans="1:10" s="1" customFormat="1" x14ac:dyDescent="0.3">
      <c r="E164" s="1">
        <v>1150</v>
      </c>
      <c r="F164" s="1">
        <v>80</v>
      </c>
      <c r="G164" s="1" t="s">
        <v>32</v>
      </c>
      <c r="H164" s="1">
        <f>D163*E164</f>
        <v>190187</v>
      </c>
      <c r="I164" s="1">
        <f>H164/365</f>
        <v>521.06027397260277</v>
      </c>
      <c r="J164" s="1">
        <f>I164/1000</f>
        <v>0.52106027397260279</v>
      </c>
    </row>
    <row r="165" spans="1:10" x14ac:dyDescent="0.3">
      <c r="A165" t="s">
        <v>5</v>
      </c>
      <c r="B165">
        <v>1</v>
      </c>
      <c r="C165" t="s">
        <v>13</v>
      </c>
      <c r="D165">
        <v>-3.94</v>
      </c>
    </row>
    <row r="166" spans="1:10" x14ac:dyDescent="0.3">
      <c r="A166" t="s">
        <v>5</v>
      </c>
      <c r="B166">
        <v>2</v>
      </c>
      <c r="C166" t="s">
        <v>13</v>
      </c>
      <c r="D166">
        <v>8.64</v>
      </c>
    </row>
    <row r="167" spans="1:10" x14ac:dyDescent="0.3">
      <c r="A167" t="s">
        <v>5</v>
      </c>
      <c r="B167">
        <v>3</v>
      </c>
      <c r="C167" t="s">
        <v>13</v>
      </c>
      <c r="D167">
        <v>23.27</v>
      </c>
    </row>
    <row r="168" spans="1:10" x14ac:dyDescent="0.3">
      <c r="A168" t="s">
        <v>5</v>
      </c>
      <c r="B168">
        <v>4</v>
      </c>
      <c r="C168" t="s">
        <v>13</v>
      </c>
      <c r="D168">
        <v>32.68</v>
      </c>
    </row>
    <row r="169" spans="1:10" x14ac:dyDescent="0.3">
      <c r="A169" t="s">
        <v>5</v>
      </c>
      <c r="B169">
        <v>5</v>
      </c>
      <c r="C169" t="s">
        <v>13</v>
      </c>
      <c r="D169">
        <v>35.97</v>
      </c>
    </row>
    <row r="170" spans="1:10" x14ac:dyDescent="0.3">
      <c r="A170" t="s">
        <v>5</v>
      </c>
      <c r="B170">
        <v>6</v>
      </c>
      <c r="C170" t="s">
        <v>13</v>
      </c>
      <c r="D170">
        <v>34.35</v>
      </c>
    </row>
    <row r="171" spans="1:10" x14ac:dyDescent="0.3">
      <c r="A171" t="s">
        <v>5</v>
      </c>
      <c r="B171">
        <v>7</v>
      </c>
      <c r="C171" t="s">
        <v>13</v>
      </c>
      <c r="D171">
        <v>44</v>
      </c>
    </row>
    <row r="172" spans="1:10" x14ac:dyDescent="0.3">
      <c r="A172" t="s">
        <v>5</v>
      </c>
      <c r="B172">
        <v>8</v>
      </c>
      <c r="C172" t="s">
        <v>13</v>
      </c>
      <c r="D172">
        <v>21.58</v>
      </c>
    </row>
    <row r="173" spans="1:10" x14ac:dyDescent="0.3">
      <c r="A173" t="s">
        <v>5</v>
      </c>
      <c r="B173">
        <v>9</v>
      </c>
      <c r="C173" t="s">
        <v>13</v>
      </c>
      <c r="D173">
        <v>52.82</v>
      </c>
    </row>
    <row r="174" spans="1:10" x14ac:dyDescent="0.3">
      <c r="A174" t="s">
        <v>5</v>
      </c>
      <c r="B174">
        <v>10</v>
      </c>
      <c r="C174" t="s">
        <v>13</v>
      </c>
      <c r="D174">
        <v>84.27</v>
      </c>
    </row>
    <row r="175" spans="1:10" x14ac:dyDescent="0.3">
      <c r="A175" t="s">
        <v>5</v>
      </c>
      <c r="B175">
        <v>11</v>
      </c>
      <c r="C175" t="s">
        <v>13</v>
      </c>
      <c r="D175">
        <v>81.31</v>
      </c>
    </row>
    <row r="176" spans="1:10" x14ac:dyDescent="0.3">
      <c r="A176" t="s">
        <v>5</v>
      </c>
      <c r="B176">
        <v>12</v>
      </c>
      <c r="C176" t="s">
        <v>13</v>
      </c>
      <c r="D176">
        <v>85.03</v>
      </c>
    </row>
    <row r="177" spans="1:10" x14ac:dyDescent="0.3">
      <c r="A177" t="s">
        <v>5</v>
      </c>
      <c r="B177">
        <v>13</v>
      </c>
      <c r="C177" t="s">
        <v>13</v>
      </c>
      <c r="D177">
        <v>1.76</v>
      </c>
    </row>
    <row r="178" spans="1:10" x14ac:dyDescent="0.3">
      <c r="A178" t="s">
        <v>5</v>
      </c>
      <c r="B178">
        <v>14</v>
      </c>
      <c r="C178" t="s">
        <v>13</v>
      </c>
      <c r="D178">
        <v>58.97</v>
      </c>
      <c r="G178" t="s">
        <v>33</v>
      </c>
      <c r="H178">
        <f>(AVERAGE(D176:D178))*F179</f>
        <v>5344.5333333333328</v>
      </c>
      <c r="I178">
        <f>H178/365</f>
        <v>14.64255707762557</v>
      </c>
      <c r="J178">
        <f>I178/1000</f>
        <v>1.464255707762557E-2</v>
      </c>
    </row>
    <row r="179" spans="1:10" s="1" customFormat="1" x14ac:dyDescent="0.3">
      <c r="E179" s="1">
        <v>1640</v>
      </c>
      <c r="F179" s="1">
        <v>110</v>
      </c>
      <c r="G179" s="1" t="s">
        <v>32</v>
      </c>
      <c r="H179" s="1">
        <f>D178*E179</f>
        <v>96710.8</v>
      </c>
      <c r="I179" s="1">
        <f>H179/365</f>
        <v>264.96109589041095</v>
      </c>
      <c r="J179" s="1">
        <f>I179/1000</f>
        <v>0.26496109589041095</v>
      </c>
    </row>
    <row r="180" spans="1:10" x14ac:dyDescent="0.3">
      <c r="A180" t="s">
        <v>6</v>
      </c>
      <c r="B180">
        <v>1</v>
      </c>
      <c r="C180" t="s">
        <v>13</v>
      </c>
      <c r="D180">
        <v>8.85</v>
      </c>
    </row>
    <row r="181" spans="1:10" x14ac:dyDescent="0.3">
      <c r="A181" t="s">
        <v>6</v>
      </c>
      <c r="B181">
        <v>2</v>
      </c>
      <c r="C181" t="s">
        <v>13</v>
      </c>
      <c r="D181">
        <v>20.3</v>
      </c>
    </row>
    <row r="182" spans="1:10" x14ac:dyDescent="0.3">
      <c r="A182" t="s">
        <v>6</v>
      </c>
      <c r="B182">
        <v>3</v>
      </c>
      <c r="C182" t="s">
        <v>13</v>
      </c>
      <c r="D182">
        <v>23.81</v>
      </c>
    </row>
    <row r="183" spans="1:10" x14ac:dyDescent="0.3">
      <c r="A183" t="s">
        <v>6</v>
      </c>
      <c r="B183">
        <v>4</v>
      </c>
      <c r="C183" t="s">
        <v>13</v>
      </c>
      <c r="D183">
        <v>27.93</v>
      </c>
    </row>
    <row r="184" spans="1:10" x14ac:dyDescent="0.3">
      <c r="A184" t="s">
        <v>6</v>
      </c>
      <c r="B184">
        <v>5</v>
      </c>
      <c r="C184" t="s">
        <v>13</v>
      </c>
      <c r="D184">
        <v>27.08</v>
      </c>
    </row>
    <row r="185" spans="1:10" x14ac:dyDescent="0.3">
      <c r="A185" t="s">
        <v>6</v>
      </c>
      <c r="B185">
        <v>6</v>
      </c>
      <c r="C185" t="s">
        <v>13</v>
      </c>
      <c r="D185">
        <v>28.59</v>
      </c>
    </row>
    <row r="186" spans="1:10" x14ac:dyDescent="0.3">
      <c r="A186" t="s">
        <v>6</v>
      </c>
      <c r="B186">
        <v>7</v>
      </c>
      <c r="C186" t="s">
        <v>13</v>
      </c>
      <c r="D186">
        <v>44.33</v>
      </c>
    </row>
    <row r="187" spans="1:10" x14ac:dyDescent="0.3">
      <c r="A187" t="s">
        <v>6</v>
      </c>
      <c r="B187">
        <v>8</v>
      </c>
      <c r="C187" t="s">
        <v>13</v>
      </c>
      <c r="D187">
        <v>45.5</v>
      </c>
    </row>
    <row r="188" spans="1:10" x14ac:dyDescent="0.3">
      <c r="A188" t="s">
        <v>6</v>
      </c>
      <c r="B188">
        <v>9</v>
      </c>
      <c r="C188" t="s">
        <v>13</v>
      </c>
      <c r="D188">
        <v>44.82</v>
      </c>
    </row>
    <row r="189" spans="1:10" x14ac:dyDescent="0.3">
      <c r="A189" t="s">
        <v>6</v>
      </c>
      <c r="B189">
        <v>10</v>
      </c>
      <c r="C189" t="s">
        <v>13</v>
      </c>
      <c r="D189">
        <v>56.66</v>
      </c>
    </row>
    <row r="190" spans="1:10" x14ac:dyDescent="0.3">
      <c r="A190" t="s">
        <v>6</v>
      </c>
      <c r="B190">
        <v>11</v>
      </c>
      <c r="C190" t="s">
        <v>13</v>
      </c>
      <c r="D190">
        <v>61.49</v>
      </c>
    </row>
    <row r="191" spans="1:10" x14ac:dyDescent="0.3">
      <c r="A191" t="s">
        <v>6</v>
      </c>
      <c r="B191">
        <v>12</v>
      </c>
      <c r="C191" t="s">
        <v>13</v>
      </c>
      <c r="D191">
        <v>51.56</v>
      </c>
    </row>
    <row r="192" spans="1:10" x14ac:dyDescent="0.3">
      <c r="A192" t="s">
        <v>6</v>
      </c>
      <c r="B192">
        <v>13</v>
      </c>
      <c r="C192" t="s">
        <v>13</v>
      </c>
      <c r="D192">
        <v>56.18</v>
      </c>
      <c r="G192" t="s">
        <v>33</v>
      </c>
      <c r="H192">
        <f>(AVERAGE(D190:D192))*F193</f>
        <v>28205.000000000004</v>
      </c>
      <c r="I192">
        <f>H192/365</f>
        <v>77.273972602739732</v>
      </c>
      <c r="J192">
        <f>I192/1000</f>
        <v>7.7273972602739729E-2</v>
      </c>
    </row>
    <row r="193" spans="1:10" s="1" customFormat="1" x14ac:dyDescent="0.3">
      <c r="E193" s="1">
        <v>4700</v>
      </c>
      <c r="F193" s="1">
        <v>500</v>
      </c>
      <c r="G193" s="1" t="s">
        <v>32</v>
      </c>
      <c r="H193" s="1">
        <f>D192*E193</f>
        <v>264046</v>
      </c>
      <c r="I193" s="1">
        <f>H193/365</f>
        <v>723.41369863013699</v>
      </c>
      <c r="J193" s="1">
        <f>I193/1000</f>
        <v>0.72341369863013694</v>
      </c>
    </row>
    <row r="194" spans="1:10" x14ac:dyDescent="0.3">
      <c r="A194" t="s">
        <v>7</v>
      </c>
      <c r="B194">
        <v>1</v>
      </c>
      <c r="C194" t="s">
        <v>13</v>
      </c>
      <c r="D194">
        <v>77.069999999999993</v>
      </c>
    </row>
    <row r="195" spans="1:10" x14ac:dyDescent="0.3">
      <c r="A195" t="s">
        <v>7</v>
      </c>
      <c r="B195">
        <v>2</v>
      </c>
      <c r="C195" t="s">
        <v>13</v>
      </c>
      <c r="D195">
        <v>77.91</v>
      </c>
    </row>
    <row r="196" spans="1:10" x14ac:dyDescent="0.3">
      <c r="A196" t="s">
        <v>7</v>
      </c>
      <c r="B196">
        <v>3</v>
      </c>
      <c r="C196" t="s">
        <v>13</v>
      </c>
      <c r="D196">
        <v>87.66</v>
      </c>
    </row>
    <row r="197" spans="1:10" x14ac:dyDescent="0.3">
      <c r="A197" t="s">
        <v>7</v>
      </c>
      <c r="B197">
        <v>4</v>
      </c>
      <c r="C197" t="s">
        <v>13</v>
      </c>
      <c r="D197">
        <v>62.79</v>
      </c>
    </row>
    <row r="198" spans="1:10" x14ac:dyDescent="0.3">
      <c r="A198" t="s">
        <v>7</v>
      </c>
      <c r="B198">
        <v>5</v>
      </c>
      <c r="C198" t="s">
        <v>13</v>
      </c>
      <c r="D198">
        <v>58.89</v>
      </c>
    </row>
    <row r="199" spans="1:10" x14ac:dyDescent="0.3">
      <c r="A199" t="s">
        <v>7</v>
      </c>
      <c r="B199">
        <v>6</v>
      </c>
      <c r="C199" t="s">
        <v>13</v>
      </c>
      <c r="D199">
        <v>98.36</v>
      </c>
    </row>
    <row r="200" spans="1:10" x14ac:dyDescent="0.3">
      <c r="A200" t="s">
        <v>7</v>
      </c>
      <c r="B200">
        <v>7</v>
      </c>
      <c r="C200" t="s">
        <v>13</v>
      </c>
      <c r="D200">
        <v>125.49</v>
      </c>
    </row>
    <row r="201" spans="1:10" x14ac:dyDescent="0.3">
      <c r="A201" t="s">
        <v>7</v>
      </c>
      <c r="B201">
        <v>8</v>
      </c>
      <c r="C201" t="s">
        <v>13</v>
      </c>
      <c r="D201">
        <v>84.71</v>
      </c>
    </row>
    <row r="202" spans="1:10" x14ac:dyDescent="0.3">
      <c r="A202" t="s">
        <v>7</v>
      </c>
      <c r="B202">
        <v>9</v>
      </c>
      <c r="C202" t="s">
        <v>13</v>
      </c>
      <c r="D202">
        <v>40.97</v>
      </c>
    </row>
    <row r="203" spans="1:10" x14ac:dyDescent="0.3">
      <c r="A203" t="s">
        <v>7</v>
      </c>
      <c r="B203">
        <v>10</v>
      </c>
      <c r="C203" t="s">
        <v>13</v>
      </c>
      <c r="D203">
        <v>55.36</v>
      </c>
    </row>
    <row r="204" spans="1:10" x14ac:dyDescent="0.3">
      <c r="A204" t="s">
        <v>7</v>
      </c>
      <c r="B204">
        <v>11</v>
      </c>
      <c r="C204" t="s">
        <v>13</v>
      </c>
      <c r="D204">
        <v>75.25</v>
      </c>
    </row>
    <row r="205" spans="1:10" x14ac:dyDescent="0.3">
      <c r="A205" t="s">
        <v>7</v>
      </c>
      <c r="B205">
        <v>12</v>
      </c>
      <c r="C205" t="s">
        <v>13</v>
      </c>
      <c r="D205">
        <v>97.49</v>
      </c>
      <c r="G205" t="s">
        <v>33</v>
      </c>
      <c r="H205">
        <f>(AVERAGE(D203:D205))*F206</f>
        <v>3041.3333333333339</v>
      </c>
      <c r="I205">
        <f>H205/365</f>
        <v>8.3324200913242024</v>
      </c>
      <c r="J205">
        <f>I205/1000</f>
        <v>8.3324200913242018E-3</v>
      </c>
    </row>
    <row r="206" spans="1:10" s="1" customFormat="1" x14ac:dyDescent="0.3">
      <c r="E206" s="1">
        <v>470</v>
      </c>
      <c r="F206" s="1">
        <v>40</v>
      </c>
      <c r="G206" s="1" t="s">
        <v>32</v>
      </c>
      <c r="H206" s="1">
        <f>D205*E206</f>
        <v>45820.299999999996</v>
      </c>
      <c r="I206" s="1">
        <f>H206/365</f>
        <v>125.53506849315067</v>
      </c>
      <c r="J206" s="1">
        <f>I206/1000</f>
        <v>0.12553506849315069</v>
      </c>
    </row>
    <row r="207" spans="1:10" x14ac:dyDescent="0.3">
      <c r="A207" t="s">
        <v>8</v>
      </c>
      <c r="B207">
        <v>1</v>
      </c>
      <c r="C207" t="s">
        <v>13</v>
      </c>
      <c r="D207">
        <v>136.76</v>
      </c>
    </row>
    <row r="208" spans="1:10" x14ac:dyDescent="0.3">
      <c r="A208" t="s">
        <v>8</v>
      </c>
      <c r="B208">
        <v>2</v>
      </c>
      <c r="C208" t="s">
        <v>13</v>
      </c>
      <c r="D208">
        <v>179.24</v>
      </c>
    </row>
    <row r="209" spans="1:10" x14ac:dyDescent="0.3">
      <c r="A209" t="s">
        <v>8</v>
      </c>
      <c r="B209">
        <v>3</v>
      </c>
      <c r="C209" t="s">
        <v>13</v>
      </c>
      <c r="D209">
        <v>189.77</v>
      </c>
    </row>
    <row r="210" spans="1:10" x14ac:dyDescent="0.3">
      <c r="A210" t="s">
        <v>8</v>
      </c>
      <c r="B210">
        <v>4</v>
      </c>
      <c r="C210" t="s">
        <v>13</v>
      </c>
      <c r="D210">
        <v>188.5</v>
      </c>
    </row>
    <row r="211" spans="1:10" x14ac:dyDescent="0.3">
      <c r="A211" t="s">
        <v>8</v>
      </c>
      <c r="B211">
        <v>5</v>
      </c>
      <c r="C211" t="s">
        <v>13</v>
      </c>
      <c r="D211">
        <v>171.07</v>
      </c>
    </row>
    <row r="212" spans="1:10" x14ac:dyDescent="0.3">
      <c r="A212" t="s">
        <v>8</v>
      </c>
      <c r="B212">
        <v>6</v>
      </c>
      <c r="C212" t="s">
        <v>13</v>
      </c>
      <c r="D212">
        <v>208.26</v>
      </c>
    </row>
    <row r="213" spans="1:10" x14ac:dyDescent="0.3">
      <c r="A213" t="s">
        <v>8</v>
      </c>
      <c r="B213">
        <v>7</v>
      </c>
      <c r="C213" t="s">
        <v>13</v>
      </c>
      <c r="D213">
        <v>210.19</v>
      </c>
    </row>
    <row r="214" spans="1:10" x14ac:dyDescent="0.3">
      <c r="A214" t="s">
        <v>8</v>
      </c>
      <c r="B214">
        <v>8</v>
      </c>
      <c r="C214" t="s">
        <v>13</v>
      </c>
      <c r="D214">
        <v>239.69</v>
      </c>
    </row>
    <row r="215" spans="1:10" x14ac:dyDescent="0.3">
      <c r="A215" t="s">
        <v>8</v>
      </c>
      <c r="B215">
        <v>9</v>
      </c>
      <c r="C215" t="s">
        <v>13</v>
      </c>
      <c r="D215">
        <v>300.29000000000002</v>
      </c>
    </row>
    <row r="216" spans="1:10" x14ac:dyDescent="0.3">
      <c r="A216" t="s">
        <v>8</v>
      </c>
      <c r="B216">
        <v>10</v>
      </c>
      <c r="C216" t="s">
        <v>13</v>
      </c>
      <c r="D216">
        <v>185.77</v>
      </c>
    </row>
    <row r="217" spans="1:10" x14ac:dyDescent="0.3">
      <c r="A217" t="s">
        <v>8</v>
      </c>
      <c r="B217">
        <v>11</v>
      </c>
      <c r="C217" t="s">
        <v>13</v>
      </c>
      <c r="D217">
        <v>256.58</v>
      </c>
    </row>
    <row r="218" spans="1:10" x14ac:dyDescent="0.3">
      <c r="A218" t="s">
        <v>8</v>
      </c>
      <c r="B218">
        <v>12</v>
      </c>
      <c r="C218" t="s">
        <v>13</v>
      </c>
      <c r="D218">
        <v>295.32</v>
      </c>
      <c r="G218" t="s">
        <v>33</v>
      </c>
      <c r="H218">
        <f>(AVERAGE(D216:D218))*F219</f>
        <v>2458.9</v>
      </c>
      <c r="I218">
        <f>H218/365</f>
        <v>6.7367123287671236</v>
      </c>
      <c r="J218">
        <f>I218/1000</f>
        <v>6.7367123287671235E-3</v>
      </c>
    </row>
    <row r="219" spans="1:10" s="1" customFormat="1" x14ac:dyDescent="0.3">
      <c r="E219" s="1">
        <v>380</v>
      </c>
      <c r="F219" s="1">
        <v>10</v>
      </c>
      <c r="G219" s="1" t="s">
        <v>32</v>
      </c>
      <c r="H219" s="1">
        <f>D218*E219</f>
        <v>112221.59999999999</v>
      </c>
      <c r="I219" s="1">
        <f>H219/365</f>
        <v>307.45643835616437</v>
      </c>
      <c r="J219" s="1">
        <f>I219/1000</f>
        <v>0.30745643835616437</v>
      </c>
    </row>
    <row r="220" spans="1:10" x14ac:dyDescent="0.3">
      <c r="A220" t="s">
        <v>9</v>
      </c>
      <c r="B220">
        <v>1</v>
      </c>
      <c r="C220" t="s">
        <v>13</v>
      </c>
      <c r="D220">
        <v>132.72999999999999</v>
      </c>
    </row>
    <row r="221" spans="1:10" x14ac:dyDescent="0.3">
      <c r="A221" t="s">
        <v>9</v>
      </c>
      <c r="B221">
        <v>2</v>
      </c>
      <c r="C221" t="s">
        <v>13</v>
      </c>
      <c r="D221">
        <v>156.29</v>
      </c>
    </row>
    <row r="222" spans="1:10" x14ac:dyDescent="0.3">
      <c r="A222" t="s">
        <v>9</v>
      </c>
      <c r="B222">
        <v>3</v>
      </c>
      <c r="C222" t="s">
        <v>13</v>
      </c>
      <c r="D222">
        <v>150.80000000000001</v>
      </c>
    </row>
    <row r="223" spans="1:10" x14ac:dyDescent="0.3">
      <c r="A223" t="s">
        <v>9</v>
      </c>
      <c r="B223">
        <v>4</v>
      </c>
      <c r="C223" t="s">
        <v>13</v>
      </c>
      <c r="D223">
        <v>159.79</v>
      </c>
    </row>
    <row r="224" spans="1:10" x14ac:dyDescent="0.3">
      <c r="A224" t="s">
        <v>9</v>
      </c>
      <c r="B224">
        <v>5</v>
      </c>
      <c r="C224" t="s">
        <v>13</v>
      </c>
      <c r="D224">
        <v>109.97</v>
      </c>
    </row>
    <row r="225" spans="1:10" x14ac:dyDescent="0.3">
      <c r="A225" t="s">
        <v>9</v>
      </c>
      <c r="B225">
        <v>6</v>
      </c>
      <c r="C225" t="s">
        <v>13</v>
      </c>
      <c r="D225">
        <v>174.46</v>
      </c>
    </row>
    <row r="226" spans="1:10" x14ac:dyDescent="0.3">
      <c r="A226" t="s">
        <v>9</v>
      </c>
      <c r="B226">
        <v>7</v>
      </c>
      <c r="C226" t="s">
        <v>13</v>
      </c>
      <c r="D226">
        <v>124.45</v>
      </c>
    </row>
    <row r="227" spans="1:10" x14ac:dyDescent="0.3">
      <c r="A227" t="s">
        <v>9</v>
      </c>
      <c r="B227">
        <v>8</v>
      </c>
      <c r="C227" t="s">
        <v>13</v>
      </c>
      <c r="D227">
        <v>148.6</v>
      </c>
    </row>
    <row r="228" spans="1:10" x14ac:dyDescent="0.3">
      <c r="A228" t="s">
        <v>9</v>
      </c>
      <c r="B228">
        <v>9</v>
      </c>
      <c r="C228" t="s">
        <v>13</v>
      </c>
      <c r="D228">
        <v>165.63</v>
      </c>
    </row>
    <row r="229" spans="1:10" x14ac:dyDescent="0.3">
      <c r="A229" t="s">
        <v>9</v>
      </c>
      <c r="B229">
        <v>10</v>
      </c>
      <c r="C229" t="s">
        <v>13</v>
      </c>
      <c r="D229">
        <v>220.41</v>
      </c>
    </row>
    <row r="230" spans="1:10" x14ac:dyDescent="0.3">
      <c r="A230" t="s">
        <v>9</v>
      </c>
      <c r="B230">
        <v>11</v>
      </c>
      <c r="C230" t="s">
        <v>13</v>
      </c>
      <c r="D230">
        <v>191.54</v>
      </c>
    </row>
    <row r="231" spans="1:10" x14ac:dyDescent="0.3">
      <c r="A231" t="s">
        <v>9</v>
      </c>
      <c r="B231">
        <v>12</v>
      </c>
      <c r="C231" t="s">
        <v>13</v>
      </c>
      <c r="D231">
        <v>210.98</v>
      </c>
    </row>
    <row r="232" spans="1:10" x14ac:dyDescent="0.3">
      <c r="A232" t="s">
        <v>9</v>
      </c>
      <c r="B232">
        <v>13</v>
      </c>
      <c r="C232" t="s">
        <v>13</v>
      </c>
      <c r="D232">
        <v>174.09</v>
      </c>
      <c r="G232" t="s">
        <v>33</v>
      </c>
      <c r="H232">
        <f>(AVERAGE(D230:D232))*F233</f>
        <v>17298.300000000003</v>
      </c>
      <c r="I232">
        <f>H232/365</f>
        <v>47.392602739726037</v>
      </c>
      <c r="J232">
        <f>I232/1000</f>
        <v>4.7392602739726036E-2</v>
      </c>
    </row>
    <row r="233" spans="1:10" s="1" customFormat="1" x14ac:dyDescent="0.3">
      <c r="E233" s="1">
        <v>840</v>
      </c>
      <c r="F233" s="1">
        <v>90</v>
      </c>
      <c r="G233" s="1" t="s">
        <v>32</v>
      </c>
      <c r="H233" s="1">
        <f>D232*E233</f>
        <v>146235.6</v>
      </c>
      <c r="I233" s="1">
        <f>H233/365</f>
        <v>400.64547945205481</v>
      </c>
      <c r="J233" s="1">
        <f>I233/1000</f>
        <v>0.40064547945205481</v>
      </c>
    </row>
    <row r="234" spans="1:10" x14ac:dyDescent="0.3">
      <c r="A234" t="s">
        <v>10</v>
      </c>
      <c r="B234">
        <v>1</v>
      </c>
      <c r="C234" t="s">
        <v>13</v>
      </c>
      <c r="D234">
        <v>8.4</v>
      </c>
    </row>
    <row r="235" spans="1:10" x14ac:dyDescent="0.3">
      <c r="A235" t="s">
        <v>10</v>
      </c>
      <c r="B235">
        <v>2</v>
      </c>
      <c r="C235" t="s">
        <v>13</v>
      </c>
      <c r="D235">
        <v>5.77</v>
      </c>
    </row>
    <row r="236" spans="1:10" x14ac:dyDescent="0.3">
      <c r="A236" t="s">
        <v>10</v>
      </c>
      <c r="B236">
        <v>3</v>
      </c>
      <c r="C236" t="s">
        <v>13</v>
      </c>
      <c r="D236">
        <v>5.21</v>
      </c>
    </row>
    <row r="237" spans="1:10" x14ac:dyDescent="0.3">
      <c r="A237" t="s">
        <v>10</v>
      </c>
      <c r="B237">
        <v>4</v>
      </c>
      <c r="C237" t="s">
        <v>13</v>
      </c>
      <c r="D237">
        <v>5</v>
      </c>
    </row>
    <row r="238" spans="1:10" x14ac:dyDescent="0.3">
      <c r="A238" t="s">
        <v>10</v>
      </c>
      <c r="B238">
        <v>5</v>
      </c>
      <c r="C238" t="s">
        <v>13</v>
      </c>
      <c r="D238">
        <v>6.79</v>
      </c>
    </row>
    <row r="239" spans="1:10" x14ac:dyDescent="0.3">
      <c r="A239" t="s">
        <v>10</v>
      </c>
      <c r="B239">
        <v>6</v>
      </c>
      <c r="C239" t="s">
        <v>13</v>
      </c>
      <c r="D239">
        <v>2.81</v>
      </c>
    </row>
    <row r="240" spans="1:10" x14ac:dyDescent="0.3">
      <c r="A240" t="s">
        <v>10</v>
      </c>
      <c r="B240">
        <v>7</v>
      </c>
      <c r="C240" t="s">
        <v>13</v>
      </c>
      <c r="D240">
        <v>2.92</v>
      </c>
    </row>
    <row r="241" spans="1:10" x14ac:dyDescent="0.3">
      <c r="A241" t="s">
        <v>10</v>
      </c>
      <c r="B241">
        <v>8</v>
      </c>
      <c r="C241" t="s">
        <v>13</v>
      </c>
      <c r="D241">
        <v>2.0299999999999998</v>
      </c>
    </row>
    <row r="242" spans="1:10" x14ac:dyDescent="0.3">
      <c r="A242" t="s">
        <v>10</v>
      </c>
      <c r="B242">
        <v>9</v>
      </c>
      <c r="C242" t="s">
        <v>13</v>
      </c>
      <c r="D242">
        <v>13.69</v>
      </c>
    </row>
    <row r="243" spans="1:10" x14ac:dyDescent="0.3">
      <c r="A243" t="s">
        <v>10</v>
      </c>
      <c r="B243">
        <v>10</v>
      </c>
      <c r="C243" t="s">
        <v>13</v>
      </c>
      <c r="D243">
        <v>12.6</v>
      </c>
    </row>
    <row r="244" spans="1:10" x14ac:dyDescent="0.3">
      <c r="A244" t="s">
        <v>10</v>
      </c>
      <c r="B244">
        <v>11</v>
      </c>
      <c r="C244" t="s">
        <v>13</v>
      </c>
      <c r="D244">
        <v>15.33</v>
      </c>
    </row>
    <row r="245" spans="1:10" x14ac:dyDescent="0.3">
      <c r="A245" t="s">
        <v>10</v>
      </c>
      <c r="B245">
        <v>12</v>
      </c>
      <c r="C245" t="s">
        <v>13</v>
      </c>
      <c r="D245">
        <v>43.9</v>
      </c>
    </row>
    <row r="246" spans="1:10" x14ac:dyDescent="0.3">
      <c r="A246" t="s">
        <v>10</v>
      </c>
      <c r="B246">
        <v>13</v>
      </c>
      <c r="C246" t="s">
        <v>13</v>
      </c>
      <c r="D246">
        <v>58.28</v>
      </c>
    </row>
    <row r="247" spans="1:10" x14ac:dyDescent="0.3">
      <c r="A247" t="s">
        <v>10</v>
      </c>
      <c r="B247">
        <v>14</v>
      </c>
      <c r="C247" t="s">
        <v>13</v>
      </c>
      <c r="D247">
        <v>56.54</v>
      </c>
    </row>
    <row r="248" spans="1:10" x14ac:dyDescent="0.3">
      <c r="A248" t="s">
        <v>10</v>
      </c>
      <c r="B248">
        <v>15</v>
      </c>
      <c r="C248" t="s">
        <v>13</v>
      </c>
      <c r="D248">
        <v>78.33</v>
      </c>
      <c r="G248" t="s">
        <v>33</v>
      </c>
      <c r="H248">
        <f>(AVERAGE(D246:D248))*F249</f>
        <v>5150.6666666666661</v>
      </c>
      <c r="I248">
        <f>H248/365</f>
        <v>14.111415525114154</v>
      </c>
      <c r="J248">
        <f>I248/1000</f>
        <v>1.4111415525114154E-2</v>
      </c>
    </row>
    <row r="249" spans="1:10" s="1" customFormat="1" x14ac:dyDescent="0.3">
      <c r="E249" s="1">
        <v>670</v>
      </c>
      <c r="F249" s="1">
        <v>80</v>
      </c>
      <c r="G249" s="1" t="s">
        <v>32</v>
      </c>
      <c r="H249" s="1">
        <f>D248*E249</f>
        <v>52481.1</v>
      </c>
      <c r="I249" s="1">
        <f>H249/365</f>
        <v>143.78383561643835</v>
      </c>
      <c r="J249" s="1">
        <f>I249/1000</f>
        <v>0.14378383561643834</v>
      </c>
    </row>
    <row r="250" spans="1:10" x14ac:dyDescent="0.3">
      <c r="A250" t="s">
        <v>11</v>
      </c>
      <c r="B250">
        <v>1</v>
      </c>
      <c r="C250" t="s">
        <v>13</v>
      </c>
      <c r="D250">
        <v>-0.36</v>
      </c>
    </row>
    <row r="251" spans="1:10" x14ac:dyDescent="0.3">
      <c r="A251" t="s">
        <v>11</v>
      </c>
      <c r="B251">
        <v>2</v>
      </c>
      <c r="C251" t="s">
        <v>13</v>
      </c>
      <c r="D251">
        <v>0.76</v>
      </c>
    </row>
    <row r="252" spans="1:10" x14ac:dyDescent="0.3">
      <c r="A252" t="s">
        <v>11</v>
      </c>
      <c r="B252">
        <v>3</v>
      </c>
      <c r="C252" t="s">
        <v>13</v>
      </c>
      <c r="D252">
        <v>5.04</v>
      </c>
    </row>
    <row r="253" spans="1:10" x14ac:dyDescent="0.3">
      <c r="A253" t="s">
        <v>11</v>
      </c>
      <c r="B253">
        <v>4</v>
      </c>
      <c r="C253" t="s">
        <v>13</v>
      </c>
      <c r="D253">
        <v>7.5</v>
      </c>
    </row>
    <row r="254" spans="1:10" x14ac:dyDescent="0.3">
      <c r="A254" t="s">
        <v>11</v>
      </c>
      <c r="B254">
        <v>5</v>
      </c>
      <c r="C254" t="s">
        <v>13</v>
      </c>
      <c r="D254">
        <v>18.09</v>
      </c>
    </row>
    <row r="255" spans="1:10" x14ac:dyDescent="0.3">
      <c r="A255" t="s">
        <v>11</v>
      </c>
      <c r="B255">
        <v>6</v>
      </c>
      <c r="C255" t="s">
        <v>13</v>
      </c>
      <c r="D255">
        <v>32.78</v>
      </c>
    </row>
    <row r="256" spans="1:10" x14ac:dyDescent="0.3">
      <c r="A256" t="s">
        <v>11</v>
      </c>
      <c r="B256">
        <v>7</v>
      </c>
      <c r="C256" t="s">
        <v>13</v>
      </c>
      <c r="D256">
        <v>47.51</v>
      </c>
    </row>
    <row r="257" spans="1:10" x14ac:dyDescent="0.3">
      <c r="A257" t="s">
        <v>11</v>
      </c>
      <c r="B257">
        <v>8</v>
      </c>
      <c r="C257" t="s">
        <v>13</v>
      </c>
      <c r="D257">
        <v>75.459999999999994</v>
      </c>
    </row>
    <row r="258" spans="1:10" x14ac:dyDescent="0.3">
      <c r="A258" t="s">
        <v>11</v>
      </c>
      <c r="B258">
        <v>9</v>
      </c>
      <c r="C258" t="s">
        <v>13</v>
      </c>
      <c r="D258">
        <v>56.39</v>
      </c>
    </row>
    <row r="259" spans="1:10" x14ac:dyDescent="0.3">
      <c r="A259" t="s">
        <v>11</v>
      </c>
      <c r="B259">
        <v>10</v>
      </c>
      <c r="C259" t="s">
        <v>13</v>
      </c>
      <c r="D259">
        <v>58.54</v>
      </c>
    </row>
    <row r="260" spans="1:10" x14ac:dyDescent="0.3">
      <c r="A260" t="s">
        <v>11</v>
      </c>
      <c r="B260">
        <v>11</v>
      </c>
      <c r="C260" t="s">
        <v>13</v>
      </c>
      <c r="D260">
        <v>34.590000000000003</v>
      </c>
    </row>
    <row r="261" spans="1:10" x14ac:dyDescent="0.3">
      <c r="A261" t="s">
        <v>11</v>
      </c>
      <c r="B261">
        <v>12</v>
      </c>
      <c r="C261" t="s">
        <v>13</v>
      </c>
      <c r="D261">
        <v>22.84</v>
      </c>
    </row>
    <row r="262" spans="1:10" x14ac:dyDescent="0.3">
      <c r="A262" t="s">
        <v>11</v>
      </c>
      <c r="B262">
        <v>13</v>
      </c>
      <c r="C262" t="s">
        <v>13</v>
      </c>
      <c r="D262">
        <v>28.2</v>
      </c>
      <c r="G262" t="s">
        <v>33</v>
      </c>
      <c r="H262">
        <f>(AVERAGE(D260:D262))*F263</f>
        <v>2854.3333333333335</v>
      </c>
      <c r="I262">
        <f>H262/365</f>
        <v>7.8200913242009138</v>
      </c>
      <c r="J262">
        <f>I262/1000</f>
        <v>7.8200913242009139E-3</v>
      </c>
    </row>
    <row r="263" spans="1:10" s="1" customFormat="1" x14ac:dyDescent="0.3">
      <c r="E263" s="1">
        <v>1500</v>
      </c>
      <c r="F263" s="1">
        <v>100</v>
      </c>
      <c r="G263" s="1" t="s">
        <v>32</v>
      </c>
      <c r="H263" s="1">
        <f>D262*E263</f>
        <v>42300</v>
      </c>
      <c r="I263" s="1">
        <f>H263/365</f>
        <v>115.89041095890411</v>
      </c>
      <c r="J263" s="1">
        <f>I263/1000</f>
        <v>0.11589041095890411</v>
      </c>
    </row>
    <row r="264" spans="1:10" x14ac:dyDescent="0.3">
      <c r="A264" t="s">
        <v>12</v>
      </c>
      <c r="B264">
        <v>1</v>
      </c>
      <c r="C264" t="s">
        <v>13</v>
      </c>
      <c r="D264">
        <v>-0.67</v>
      </c>
    </row>
    <row r="265" spans="1:10" x14ac:dyDescent="0.3">
      <c r="A265" t="s">
        <v>12</v>
      </c>
      <c r="B265">
        <v>2</v>
      </c>
      <c r="C265" t="s">
        <v>13</v>
      </c>
      <c r="D265">
        <v>1.75</v>
      </c>
    </row>
    <row r="266" spans="1:10" x14ac:dyDescent="0.3">
      <c r="A266" t="s">
        <v>12</v>
      </c>
      <c r="B266">
        <v>3</v>
      </c>
      <c r="C266" t="s">
        <v>13</v>
      </c>
      <c r="D266">
        <v>4.01</v>
      </c>
    </row>
    <row r="267" spans="1:10" x14ac:dyDescent="0.3">
      <c r="A267" t="s">
        <v>12</v>
      </c>
      <c r="B267">
        <v>4</v>
      </c>
      <c r="C267" t="s">
        <v>13</v>
      </c>
      <c r="D267">
        <v>2.84</v>
      </c>
    </row>
    <row r="268" spans="1:10" x14ac:dyDescent="0.3">
      <c r="A268" t="s">
        <v>12</v>
      </c>
      <c r="B268">
        <v>5</v>
      </c>
      <c r="C268" t="s">
        <v>13</v>
      </c>
      <c r="D268">
        <v>1.62</v>
      </c>
    </row>
    <row r="269" spans="1:10" x14ac:dyDescent="0.3">
      <c r="A269" t="s">
        <v>12</v>
      </c>
      <c r="B269">
        <v>6</v>
      </c>
      <c r="C269" t="s">
        <v>13</v>
      </c>
      <c r="D269">
        <v>2.35</v>
      </c>
    </row>
    <row r="270" spans="1:10" x14ac:dyDescent="0.3">
      <c r="A270" t="s">
        <v>12</v>
      </c>
      <c r="B270">
        <v>7</v>
      </c>
      <c r="C270" t="s">
        <v>13</v>
      </c>
      <c r="D270">
        <v>6.57</v>
      </c>
    </row>
    <row r="271" spans="1:10" x14ac:dyDescent="0.3">
      <c r="A271" t="s">
        <v>12</v>
      </c>
      <c r="B271">
        <v>8</v>
      </c>
      <c r="C271" t="s">
        <v>13</v>
      </c>
      <c r="D271">
        <v>8.44</v>
      </c>
    </row>
    <row r="272" spans="1:10" x14ac:dyDescent="0.3">
      <c r="A272" t="s">
        <v>12</v>
      </c>
      <c r="B272">
        <v>9</v>
      </c>
      <c r="C272" t="s">
        <v>13</v>
      </c>
      <c r="D272">
        <v>9.33</v>
      </c>
    </row>
    <row r="273" spans="1:10" x14ac:dyDescent="0.3">
      <c r="A273" t="s">
        <v>12</v>
      </c>
      <c r="B273">
        <v>10</v>
      </c>
      <c r="C273" t="s">
        <v>13</v>
      </c>
      <c r="D273">
        <v>12.19</v>
      </c>
    </row>
    <row r="274" spans="1:10" x14ac:dyDescent="0.3">
      <c r="A274" t="s">
        <v>12</v>
      </c>
      <c r="B274">
        <v>11</v>
      </c>
      <c r="C274" t="s">
        <v>13</v>
      </c>
      <c r="D274">
        <v>32.590000000000003</v>
      </c>
    </row>
    <row r="275" spans="1:10" x14ac:dyDescent="0.3">
      <c r="A275" t="s">
        <v>12</v>
      </c>
      <c r="B275">
        <v>12</v>
      </c>
      <c r="C275" t="s">
        <v>13</v>
      </c>
      <c r="D275">
        <v>43.12</v>
      </c>
    </row>
    <row r="276" spans="1:10" x14ac:dyDescent="0.3">
      <c r="A276" t="s">
        <v>12</v>
      </c>
      <c r="B276">
        <v>13</v>
      </c>
      <c r="C276" t="s">
        <v>13</v>
      </c>
      <c r="D276">
        <v>77.73</v>
      </c>
      <c r="G276" t="s">
        <v>33</v>
      </c>
      <c r="H276">
        <f>(AVERAGE(D274:D276))*F277</f>
        <v>11252.266666666666</v>
      </c>
      <c r="I276">
        <f>H276/365</f>
        <v>30.828127853881277</v>
      </c>
      <c r="J276">
        <f>I276/1000</f>
        <v>3.0828127853881278E-2</v>
      </c>
    </row>
    <row r="277" spans="1:10" s="1" customFormat="1" x14ac:dyDescent="0.3">
      <c r="E277" s="1">
        <v>2220</v>
      </c>
      <c r="F277" s="1">
        <v>220</v>
      </c>
      <c r="G277" s="1" t="s">
        <v>32</v>
      </c>
      <c r="H277" s="1">
        <f>D276*E277</f>
        <v>172560.6</v>
      </c>
      <c r="I277" s="1">
        <f>H277/365</f>
        <v>472.76876712328766</v>
      </c>
      <c r="J277" s="1">
        <f>I277/1000</f>
        <v>0.47276876712328764</v>
      </c>
    </row>
    <row r="279" spans="1:10" x14ac:dyDescent="0.3">
      <c r="A279" t="s">
        <v>3</v>
      </c>
      <c r="B279">
        <v>0.5</v>
      </c>
      <c r="C279" t="s">
        <v>19</v>
      </c>
      <c r="D279" s="2">
        <v>9.475041589997609</v>
      </c>
    </row>
    <row r="280" spans="1:10" x14ac:dyDescent="0.3">
      <c r="A280" t="s">
        <v>3</v>
      </c>
      <c r="B280">
        <v>1.5</v>
      </c>
      <c r="C280" t="s">
        <v>19</v>
      </c>
      <c r="D280" s="2">
        <v>1.7787024751735923</v>
      </c>
    </row>
    <row r="281" spans="1:10" x14ac:dyDescent="0.3">
      <c r="A281" t="s">
        <v>3</v>
      </c>
      <c r="B281">
        <v>2.5</v>
      </c>
      <c r="C281" t="s">
        <v>19</v>
      </c>
      <c r="D281" s="2">
        <v>1.2071540196531887</v>
      </c>
    </row>
    <row r="282" spans="1:10" x14ac:dyDescent="0.3">
      <c r="A282" t="s">
        <v>3</v>
      </c>
      <c r="B282">
        <v>3.5</v>
      </c>
      <c r="C282" t="s">
        <v>19</v>
      </c>
      <c r="D282" s="2">
        <v>1.4822932097808315</v>
      </c>
    </row>
    <row r="283" spans="1:10" x14ac:dyDescent="0.3">
      <c r="A283" t="s">
        <v>3</v>
      </c>
      <c r="B283">
        <v>4.5</v>
      </c>
      <c r="C283" t="s">
        <v>19</v>
      </c>
      <c r="D283" s="2">
        <v>1.5603741832208287</v>
      </c>
    </row>
    <row r="284" spans="1:10" x14ac:dyDescent="0.3">
      <c r="A284" t="s">
        <v>3</v>
      </c>
      <c r="B284">
        <v>5.5</v>
      </c>
      <c r="C284" t="s">
        <v>19</v>
      </c>
      <c r="D284" s="2">
        <v>1.28183201380539</v>
      </c>
    </row>
    <row r="285" spans="1:10" x14ac:dyDescent="0.3">
      <c r="A285" t="s">
        <v>3</v>
      </c>
      <c r="B285">
        <v>6.5</v>
      </c>
      <c r="C285" t="s">
        <v>19</v>
      </c>
      <c r="D285" s="2">
        <v>1.2655446670126058</v>
      </c>
    </row>
    <row r="286" spans="1:10" x14ac:dyDescent="0.3">
      <c r="A286" t="s">
        <v>3</v>
      </c>
      <c r="B286">
        <v>7.5</v>
      </c>
      <c r="C286" t="s">
        <v>19</v>
      </c>
      <c r="D286" s="2">
        <v>1.3273577090537692</v>
      </c>
    </row>
    <row r="287" spans="1:10" x14ac:dyDescent="0.3">
      <c r="A287" t="s">
        <v>3</v>
      </c>
      <c r="B287">
        <v>8.5</v>
      </c>
      <c r="C287" t="s">
        <v>19</v>
      </c>
      <c r="D287" s="2">
        <v>1.134891880629556</v>
      </c>
    </row>
    <row r="288" spans="1:10" x14ac:dyDescent="0.3">
      <c r="A288" t="s">
        <v>3</v>
      </c>
      <c r="B288">
        <v>9.5</v>
      </c>
      <c r="C288" t="s">
        <v>19</v>
      </c>
      <c r="D288" s="2">
        <v>1.0714793610994049</v>
      </c>
    </row>
    <row r="289" spans="1:10" x14ac:dyDescent="0.3">
      <c r="A289" t="s">
        <v>3</v>
      </c>
      <c r="B289">
        <v>10.5</v>
      </c>
      <c r="C289" t="s">
        <v>19</v>
      </c>
      <c r="D289" s="2">
        <v>1.1435667467194457</v>
      </c>
    </row>
    <row r="290" spans="1:10" x14ac:dyDescent="0.3">
      <c r="A290" t="s">
        <v>3</v>
      </c>
      <c r="B290">
        <v>11.5</v>
      </c>
      <c r="C290" t="s">
        <v>19</v>
      </c>
      <c r="D290" s="2">
        <v>1.1678844450023631</v>
      </c>
    </row>
    <row r="291" spans="1:10" x14ac:dyDescent="0.3">
      <c r="A291" t="s">
        <v>3</v>
      </c>
      <c r="B291">
        <v>12.5</v>
      </c>
      <c r="C291" t="s">
        <v>19</v>
      </c>
      <c r="D291" s="2">
        <v>1.1795282156359539</v>
      </c>
    </row>
    <row r="292" spans="1:10" x14ac:dyDescent="0.3">
      <c r="A292" t="s">
        <v>3</v>
      </c>
      <c r="B292">
        <v>13.5</v>
      </c>
      <c r="C292" t="s">
        <v>19</v>
      </c>
      <c r="D292" s="2">
        <v>1.269690257690846</v>
      </c>
    </row>
    <row r="293" spans="1:10" x14ac:dyDescent="0.3">
      <c r="A293" t="s">
        <v>3</v>
      </c>
      <c r="B293">
        <v>14.5</v>
      </c>
      <c r="C293" t="s">
        <v>19</v>
      </c>
      <c r="D293" s="2">
        <v>1.3243879830420902</v>
      </c>
    </row>
    <row r="294" spans="1:10" x14ac:dyDescent="0.3">
      <c r="A294" t="s">
        <v>3</v>
      </c>
      <c r="B294">
        <v>14.5</v>
      </c>
      <c r="C294" t="s">
        <v>19</v>
      </c>
      <c r="D294" s="2">
        <v>1.0509275587340889</v>
      </c>
    </row>
    <row r="295" spans="1:10" x14ac:dyDescent="0.3">
      <c r="A295" t="s">
        <v>3</v>
      </c>
      <c r="B295">
        <v>14.5</v>
      </c>
      <c r="C295" t="s">
        <v>19</v>
      </c>
      <c r="D295" s="2">
        <v>1.2639425828390727</v>
      </c>
      <c r="G295" t="s">
        <v>33</v>
      </c>
      <c r="H295">
        <f>(AVERAGE(D293:D295))*F296</f>
        <v>97.046883323073388</v>
      </c>
      <c r="I295">
        <f>H295/365</f>
        <v>0.26588187211800929</v>
      </c>
      <c r="J295">
        <f>I295/1000</f>
        <v>2.658818721180093E-4</v>
      </c>
    </row>
    <row r="296" spans="1:10" s="1" customFormat="1" x14ac:dyDescent="0.3">
      <c r="D296" s="4"/>
      <c r="E296" s="1">
        <v>1150</v>
      </c>
      <c r="F296" s="1">
        <v>80</v>
      </c>
      <c r="G296" s="1" t="s">
        <v>32</v>
      </c>
      <c r="H296" s="1">
        <f>(AVERAGE(D293:D295))*E296</f>
        <v>1395.0489477691799</v>
      </c>
      <c r="I296" s="1">
        <f>H296/365</f>
        <v>3.8220519116963834</v>
      </c>
      <c r="J296" s="1">
        <f>I296/1000</f>
        <v>3.8220519116963832E-3</v>
      </c>
    </row>
    <row r="297" spans="1:10" x14ac:dyDescent="0.3">
      <c r="D297" s="2"/>
    </row>
    <row r="298" spans="1:10" x14ac:dyDescent="0.3">
      <c r="A298" t="s">
        <v>5</v>
      </c>
      <c r="B298">
        <v>0.5</v>
      </c>
      <c r="C298" t="s">
        <v>19</v>
      </c>
      <c r="D298" s="2">
        <v>4.8755327869877076</v>
      </c>
    </row>
    <row r="299" spans="1:10" x14ac:dyDescent="0.3">
      <c r="A299" t="s">
        <v>5</v>
      </c>
      <c r="B299">
        <v>1.5</v>
      </c>
      <c r="C299" t="s">
        <v>19</v>
      </c>
      <c r="D299" s="2">
        <v>2.8665278307748525</v>
      </c>
    </row>
    <row r="300" spans="1:10" x14ac:dyDescent="0.3">
      <c r="A300" t="s">
        <v>5</v>
      </c>
      <c r="B300">
        <v>2.5</v>
      </c>
      <c r="C300" t="s">
        <v>19</v>
      </c>
      <c r="D300" s="2">
        <v>2.891271372018005</v>
      </c>
    </row>
    <row r="301" spans="1:10" x14ac:dyDescent="0.3">
      <c r="A301" t="s">
        <v>5</v>
      </c>
      <c r="B301">
        <v>3.5</v>
      </c>
      <c r="C301" t="s">
        <v>19</v>
      </c>
      <c r="D301" s="2">
        <v>2.2762978331886989</v>
      </c>
    </row>
    <row r="302" spans="1:10" x14ac:dyDescent="0.3">
      <c r="A302" t="s">
        <v>5</v>
      </c>
      <c r="B302">
        <v>4.5</v>
      </c>
      <c r="C302" t="s">
        <v>19</v>
      </c>
      <c r="D302" s="2">
        <v>2.3794872124928386</v>
      </c>
    </row>
    <row r="303" spans="1:10" x14ac:dyDescent="0.3">
      <c r="A303" t="s">
        <v>5</v>
      </c>
      <c r="B303">
        <v>5.5</v>
      </c>
      <c r="C303" t="s">
        <v>19</v>
      </c>
      <c r="D303" s="2">
        <v>2.5487601277849317</v>
      </c>
    </row>
    <row r="304" spans="1:10" x14ac:dyDescent="0.3">
      <c r="A304" t="s">
        <v>5</v>
      </c>
      <c r="B304">
        <v>6.5</v>
      </c>
      <c r="C304" t="s">
        <v>19</v>
      </c>
      <c r="D304" s="2">
        <v>2.4889977701275763</v>
      </c>
    </row>
    <row r="305" spans="1:10" x14ac:dyDescent="0.3">
      <c r="A305" t="s">
        <v>5</v>
      </c>
      <c r="B305">
        <v>7.5</v>
      </c>
      <c r="C305" t="s">
        <v>19</v>
      </c>
      <c r="D305" s="2">
        <v>2.1688513383335351</v>
      </c>
    </row>
    <row r="306" spans="1:10" x14ac:dyDescent="0.3">
      <c r="A306" t="s">
        <v>5</v>
      </c>
      <c r="B306">
        <v>8.5</v>
      </c>
      <c r="C306" t="s">
        <v>19</v>
      </c>
      <c r="D306" s="2">
        <v>2.5446340240276304</v>
      </c>
    </row>
    <row r="307" spans="1:10" x14ac:dyDescent="0.3">
      <c r="A307" t="s">
        <v>5</v>
      </c>
      <c r="B307">
        <v>9.5</v>
      </c>
      <c r="C307" t="s">
        <v>19</v>
      </c>
      <c r="D307" s="2">
        <v>2.1089065462910042</v>
      </c>
    </row>
    <row r="308" spans="1:10" x14ac:dyDescent="0.3">
      <c r="A308" t="s">
        <v>5</v>
      </c>
      <c r="B308">
        <v>10.5</v>
      </c>
      <c r="C308" t="s">
        <v>19</v>
      </c>
      <c r="D308" s="2">
        <v>2.2560735134891443</v>
      </c>
    </row>
    <row r="309" spans="1:10" x14ac:dyDescent="0.3">
      <c r="A309" t="s">
        <v>5</v>
      </c>
      <c r="B309">
        <v>11.5</v>
      </c>
      <c r="C309" t="s">
        <v>19</v>
      </c>
      <c r="D309" s="2">
        <v>1.9522517103067447</v>
      </c>
    </row>
    <row r="310" spans="1:10" x14ac:dyDescent="0.3">
      <c r="A310" t="s">
        <v>5</v>
      </c>
      <c r="B310">
        <v>12.5</v>
      </c>
      <c r="C310" t="s">
        <v>19</v>
      </c>
      <c r="D310" s="2">
        <v>2.3068223029068777</v>
      </c>
    </row>
    <row r="311" spans="1:10" x14ac:dyDescent="0.3">
      <c r="A311" t="s">
        <v>5</v>
      </c>
      <c r="B311">
        <v>13.5</v>
      </c>
      <c r="C311" t="s">
        <v>19</v>
      </c>
      <c r="D311" s="2">
        <v>2.2351469106502275</v>
      </c>
    </row>
    <row r="312" spans="1:10" x14ac:dyDescent="0.3">
      <c r="A312" t="s">
        <v>5</v>
      </c>
      <c r="B312">
        <v>13.5</v>
      </c>
      <c r="C312" t="s">
        <v>19</v>
      </c>
      <c r="D312" s="2">
        <v>2.1860048841751163</v>
      </c>
    </row>
    <row r="313" spans="1:10" x14ac:dyDescent="0.3">
      <c r="A313" t="s">
        <v>5</v>
      </c>
      <c r="B313">
        <v>13.5</v>
      </c>
      <c r="C313" t="s">
        <v>19</v>
      </c>
      <c r="D313" s="2">
        <v>2.224015700359355</v>
      </c>
      <c r="G313" t="s">
        <v>33</v>
      </c>
      <c r="H313">
        <f>(AVERAGE(D311:D313))*F314</f>
        <v>243.65614149010563</v>
      </c>
      <c r="I313">
        <f>H313/365</f>
        <v>0.66755107257563184</v>
      </c>
      <c r="J313">
        <f>I313/1000</f>
        <v>6.6755107257563187E-4</v>
      </c>
    </row>
    <row r="314" spans="1:10" s="1" customFormat="1" x14ac:dyDescent="0.3">
      <c r="D314" s="4"/>
      <c r="E314" s="1">
        <v>1640</v>
      </c>
      <c r="F314" s="1">
        <v>110</v>
      </c>
      <c r="G314" s="1" t="s">
        <v>32</v>
      </c>
      <c r="H314" s="1">
        <f>(AVERAGE(D311:D313))*E314</f>
        <v>3632.6915640343022</v>
      </c>
      <c r="I314" s="1">
        <f>H314/365</f>
        <v>9.9525796274912395</v>
      </c>
      <c r="J314" s="1">
        <f>I314/1000</f>
        <v>9.9525796274912391E-3</v>
      </c>
    </row>
    <row r="315" spans="1:10" x14ac:dyDescent="0.3">
      <c r="D315" s="2"/>
    </row>
    <row r="316" spans="1:10" x14ac:dyDescent="0.3">
      <c r="A316" t="s">
        <v>6</v>
      </c>
      <c r="B316">
        <v>0.5</v>
      </c>
      <c r="C316" t="s">
        <v>19</v>
      </c>
      <c r="D316" s="2">
        <v>21.229994673546425</v>
      </c>
    </row>
    <row r="317" spans="1:10" x14ac:dyDescent="0.3">
      <c r="A317" t="s">
        <v>6</v>
      </c>
      <c r="B317">
        <v>1.5</v>
      </c>
      <c r="C317" t="s">
        <v>19</v>
      </c>
      <c r="D317" s="2">
        <v>5.0684178644220532</v>
      </c>
    </row>
    <row r="318" spans="1:10" x14ac:dyDescent="0.3">
      <c r="A318" t="s">
        <v>6</v>
      </c>
      <c r="B318">
        <v>2.5</v>
      </c>
      <c r="C318" t="s">
        <v>19</v>
      </c>
      <c r="D318" s="2">
        <v>3.100571044921772</v>
      </c>
    </row>
    <row r="319" spans="1:10" x14ac:dyDescent="0.3">
      <c r="A319" t="s">
        <v>6</v>
      </c>
      <c r="B319">
        <v>3.5</v>
      </c>
      <c r="C319" t="s">
        <v>19</v>
      </c>
      <c r="D319" s="2">
        <v>2.875570630180575</v>
      </c>
    </row>
    <row r="320" spans="1:10" x14ac:dyDescent="0.3">
      <c r="A320" t="s">
        <v>6</v>
      </c>
      <c r="B320">
        <v>4.5</v>
      </c>
      <c r="C320" t="s">
        <v>19</v>
      </c>
      <c r="D320" s="2">
        <v>3.011306834352895</v>
      </c>
    </row>
    <row r="321" spans="1:10" x14ac:dyDescent="0.3">
      <c r="A321" t="s">
        <v>6</v>
      </c>
      <c r="B321">
        <v>5.5</v>
      </c>
      <c r="C321" t="s">
        <v>19</v>
      </c>
      <c r="D321" s="2">
        <v>2.5662997837138479</v>
      </c>
    </row>
    <row r="322" spans="1:10" x14ac:dyDescent="0.3">
      <c r="A322" t="s">
        <v>6</v>
      </c>
      <c r="B322">
        <v>6.5</v>
      </c>
      <c r="C322" t="s">
        <v>19</v>
      </c>
      <c r="D322" s="2">
        <v>2.4265628856515384</v>
      </c>
    </row>
    <row r="323" spans="1:10" x14ac:dyDescent="0.3">
      <c r="A323" t="s">
        <v>6</v>
      </c>
      <c r="B323">
        <v>7.5</v>
      </c>
      <c r="C323" t="s">
        <v>19</v>
      </c>
      <c r="D323" s="2">
        <v>2.5218155060428002</v>
      </c>
    </row>
    <row r="324" spans="1:10" x14ac:dyDescent="0.3">
      <c r="A324" t="s">
        <v>6</v>
      </c>
      <c r="B324">
        <v>8.5</v>
      </c>
      <c r="C324" t="s">
        <v>19</v>
      </c>
      <c r="D324" s="2">
        <v>2.5960756883159886</v>
      </c>
    </row>
    <row r="325" spans="1:10" x14ac:dyDescent="0.3">
      <c r="A325" t="s">
        <v>6</v>
      </c>
      <c r="B325">
        <v>9.5</v>
      </c>
      <c r="C325" t="s">
        <v>19</v>
      </c>
      <c r="D325" s="2">
        <v>2.4612287229811431</v>
      </c>
    </row>
    <row r="326" spans="1:10" x14ac:dyDescent="0.3">
      <c r="A326" t="s">
        <v>6</v>
      </c>
      <c r="B326">
        <v>10.5</v>
      </c>
      <c r="C326" t="s">
        <v>19</v>
      </c>
      <c r="D326" s="2">
        <v>2.7310655151247678</v>
      </c>
    </row>
    <row r="327" spans="1:10" x14ac:dyDescent="0.3">
      <c r="A327" t="s">
        <v>6</v>
      </c>
      <c r="B327">
        <v>11.5</v>
      </c>
      <c r="C327" t="s">
        <v>19</v>
      </c>
      <c r="D327" s="2">
        <v>3.3226645292378238</v>
      </c>
    </row>
    <row r="328" spans="1:10" x14ac:dyDescent="0.3">
      <c r="A328" t="s">
        <v>6</v>
      </c>
      <c r="B328">
        <v>12.5</v>
      </c>
      <c r="C328" t="s">
        <v>19</v>
      </c>
      <c r="D328" s="2">
        <v>3.9442203356332795</v>
      </c>
    </row>
    <row r="329" spans="1:10" x14ac:dyDescent="0.3">
      <c r="A329" t="s">
        <v>6</v>
      </c>
      <c r="B329">
        <v>12.5</v>
      </c>
      <c r="C329" t="s">
        <v>19</v>
      </c>
      <c r="D329" s="2">
        <v>4.3322163076974363</v>
      </c>
    </row>
    <row r="330" spans="1:10" x14ac:dyDescent="0.3">
      <c r="A330" t="s">
        <v>6</v>
      </c>
      <c r="B330">
        <v>12.5</v>
      </c>
      <c r="C330" t="s">
        <v>19</v>
      </c>
      <c r="D330" s="2">
        <v>4.1298887982383787</v>
      </c>
      <c r="G330" t="s">
        <v>33</v>
      </c>
      <c r="H330">
        <f>(AVERAGE(D328:D330))*F331</f>
        <v>2067.7209069281826</v>
      </c>
      <c r="I330">
        <f>H330/365</f>
        <v>5.66498878610461</v>
      </c>
      <c r="J330">
        <f>I330/1000</f>
        <v>5.6649887861046104E-3</v>
      </c>
    </row>
    <row r="331" spans="1:10" s="1" customFormat="1" x14ac:dyDescent="0.3">
      <c r="D331" s="4"/>
      <c r="E331" s="1">
        <v>4700</v>
      </c>
      <c r="F331" s="1">
        <v>500</v>
      </c>
      <c r="G331" s="1" t="s">
        <v>32</v>
      </c>
      <c r="H331" s="1">
        <f>(AVERAGE(D328:D330))*E331</f>
        <v>19436.576525124914</v>
      </c>
      <c r="I331" s="1">
        <f>H331/365</f>
        <v>53.250894589383329</v>
      </c>
      <c r="J331" s="1">
        <f>I331/1000</f>
        <v>5.3250894589383327E-2</v>
      </c>
    </row>
    <row r="332" spans="1:10" x14ac:dyDescent="0.3">
      <c r="D332" s="2"/>
    </row>
    <row r="333" spans="1:10" x14ac:dyDescent="0.3">
      <c r="A333" t="s">
        <v>7</v>
      </c>
      <c r="B333">
        <v>0.5</v>
      </c>
      <c r="C333" t="s">
        <v>19</v>
      </c>
      <c r="D333" s="2">
        <v>1.4949852455980599</v>
      </c>
    </row>
    <row r="334" spans="1:10" x14ac:dyDescent="0.3">
      <c r="A334" t="s">
        <v>7</v>
      </c>
      <c r="B334">
        <v>1.5</v>
      </c>
      <c r="C334" t="s">
        <v>19</v>
      </c>
      <c r="D334" s="2">
        <v>1.3947298680730125</v>
      </c>
    </row>
    <row r="335" spans="1:10" x14ac:dyDescent="0.3">
      <c r="A335" t="s">
        <v>7</v>
      </c>
      <c r="B335">
        <v>2.5</v>
      </c>
      <c r="C335" t="s">
        <v>19</v>
      </c>
      <c r="D335" s="2">
        <v>1.6878414905735675</v>
      </c>
    </row>
    <row r="336" spans="1:10" x14ac:dyDescent="0.3">
      <c r="A336" t="s">
        <v>7</v>
      </c>
      <c r="B336">
        <v>3.5</v>
      </c>
      <c r="C336" t="s">
        <v>19</v>
      </c>
      <c r="D336" s="2">
        <v>2.0460901752905829</v>
      </c>
    </row>
    <row r="337" spans="1:12" x14ac:dyDescent="0.3">
      <c r="A337" t="s">
        <v>7</v>
      </c>
      <c r="B337">
        <v>4.5</v>
      </c>
      <c r="C337" t="s">
        <v>19</v>
      </c>
      <c r="D337" s="2">
        <v>2.0436623049145517</v>
      </c>
    </row>
    <row r="338" spans="1:12" x14ac:dyDescent="0.3">
      <c r="A338" t="s">
        <v>7</v>
      </c>
      <c r="B338">
        <v>5.5</v>
      </c>
      <c r="C338" t="s">
        <v>19</v>
      </c>
      <c r="D338" s="2">
        <v>1.9758365539283431</v>
      </c>
    </row>
    <row r="339" spans="1:12" x14ac:dyDescent="0.3">
      <c r="A339" t="s">
        <v>7</v>
      </c>
      <c r="B339">
        <v>6.5</v>
      </c>
      <c r="C339" t="s">
        <v>19</v>
      </c>
      <c r="D339" s="2">
        <v>2.4122389436840379</v>
      </c>
    </row>
    <row r="340" spans="1:12" x14ac:dyDescent="0.3">
      <c r="A340" t="s">
        <v>7</v>
      </c>
      <c r="B340">
        <v>7.5</v>
      </c>
      <c r="C340" t="s">
        <v>19</v>
      </c>
      <c r="D340" s="2">
        <v>1.9947076509562356</v>
      </c>
    </row>
    <row r="341" spans="1:12" x14ac:dyDescent="0.3">
      <c r="A341" t="s">
        <v>7</v>
      </c>
      <c r="B341">
        <v>8.5</v>
      </c>
      <c r="C341" t="s">
        <v>19</v>
      </c>
      <c r="D341" s="2">
        <v>3.7927119617268694</v>
      </c>
    </row>
    <row r="342" spans="1:12" x14ac:dyDescent="0.3">
      <c r="A342" t="s">
        <v>7</v>
      </c>
      <c r="B342">
        <v>9.5</v>
      </c>
      <c r="C342" t="s">
        <v>19</v>
      </c>
      <c r="D342" s="2">
        <v>2.8547227074296484</v>
      </c>
    </row>
    <row r="343" spans="1:12" x14ac:dyDescent="0.3">
      <c r="A343" t="s">
        <v>7</v>
      </c>
      <c r="B343">
        <v>10.5</v>
      </c>
      <c r="C343" t="s">
        <v>19</v>
      </c>
      <c r="D343" s="2">
        <v>3.7273372394662361</v>
      </c>
    </row>
    <row r="344" spans="1:12" x14ac:dyDescent="0.3">
      <c r="A344" t="s">
        <v>7</v>
      </c>
      <c r="B344">
        <v>11.5</v>
      </c>
      <c r="C344" t="s">
        <v>19</v>
      </c>
      <c r="D344" s="2">
        <v>2.5620744360891257</v>
      </c>
    </row>
    <row r="345" spans="1:12" x14ac:dyDescent="0.3">
      <c r="A345" t="s">
        <v>7</v>
      </c>
      <c r="B345">
        <v>11.5</v>
      </c>
      <c r="C345" t="s">
        <v>19</v>
      </c>
      <c r="D345" s="2">
        <v>2.4109613299440658</v>
      </c>
    </row>
    <row r="346" spans="1:12" x14ac:dyDescent="0.3">
      <c r="A346" t="s">
        <v>7</v>
      </c>
      <c r="B346">
        <v>11.5</v>
      </c>
      <c r="C346" t="s">
        <v>19</v>
      </c>
      <c r="D346" s="2">
        <v>2.5350647468216594</v>
      </c>
      <c r="G346" t="s">
        <v>33</v>
      </c>
      <c r="H346">
        <f>(AVERAGE(D344:D346))*F347</f>
        <v>100.10800683806467</v>
      </c>
      <c r="I346">
        <f>H346/365</f>
        <v>0.2742685118851087</v>
      </c>
      <c r="J346">
        <f>I346/1000</f>
        <v>2.7426851188510872E-4</v>
      </c>
    </row>
    <row r="347" spans="1:12" s="1" customFormat="1" x14ac:dyDescent="0.3">
      <c r="E347" s="1">
        <v>470</v>
      </c>
      <c r="F347" s="1">
        <v>40</v>
      </c>
      <c r="G347" s="1" t="s">
        <v>32</v>
      </c>
      <c r="H347" s="1">
        <f>(AVERAGE(D344:D346))*E347</f>
        <v>1176.2690803472599</v>
      </c>
      <c r="I347" s="1">
        <f>H347/365</f>
        <v>3.222655014650027</v>
      </c>
      <c r="J347" s="1">
        <f>I347/1000</f>
        <v>3.2226550146500269E-3</v>
      </c>
    </row>
    <row r="349" spans="1:12" x14ac:dyDescent="0.3">
      <c r="A349" t="s">
        <v>8</v>
      </c>
      <c r="B349">
        <v>0.5</v>
      </c>
      <c r="C349" t="s">
        <v>19</v>
      </c>
      <c r="D349" s="2">
        <v>1.2052895127329257</v>
      </c>
      <c r="L349" s="2"/>
    </row>
    <row r="350" spans="1:12" x14ac:dyDescent="0.3">
      <c r="A350" t="s">
        <v>8</v>
      </c>
      <c r="B350">
        <v>1.5</v>
      </c>
      <c r="C350" t="s">
        <v>19</v>
      </c>
      <c r="D350" s="2">
        <v>1.0967111842365063</v>
      </c>
      <c r="L350" s="2"/>
    </row>
    <row r="351" spans="1:12" x14ac:dyDescent="0.3">
      <c r="A351" t="s">
        <v>8</v>
      </c>
      <c r="B351">
        <v>2.5</v>
      </c>
      <c r="C351" t="s">
        <v>19</v>
      </c>
      <c r="D351" s="2">
        <v>1.0222890855699689</v>
      </c>
    </row>
    <row r="352" spans="1:12" x14ac:dyDescent="0.3">
      <c r="A352" t="s">
        <v>8</v>
      </c>
      <c r="B352">
        <v>3.5</v>
      </c>
      <c r="C352" t="s">
        <v>19</v>
      </c>
      <c r="D352" s="2">
        <v>1.1497848186442341</v>
      </c>
    </row>
    <row r="353" spans="1:12" x14ac:dyDescent="0.3">
      <c r="A353" t="s">
        <v>8</v>
      </c>
      <c r="B353">
        <v>4.5</v>
      </c>
      <c r="C353" t="s">
        <v>19</v>
      </c>
      <c r="D353" s="2">
        <v>1.1067620415354082</v>
      </c>
    </row>
    <row r="354" spans="1:12" x14ac:dyDescent="0.3">
      <c r="A354" t="s">
        <v>8</v>
      </c>
      <c r="B354">
        <v>5.5</v>
      </c>
      <c r="C354" t="s">
        <v>19</v>
      </c>
      <c r="D354" s="2">
        <v>1.3711020687247262</v>
      </c>
    </row>
    <row r="355" spans="1:12" x14ac:dyDescent="0.3">
      <c r="A355" t="s">
        <v>8</v>
      </c>
      <c r="B355">
        <v>6.5</v>
      </c>
      <c r="C355" t="s">
        <v>19</v>
      </c>
      <c r="D355" s="2">
        <v>1.2522455023942354</v>
      </c>
    </row>
    <row r="356" spans="1:12" x14ac:dyDescent="0.3">
      <c r="A356" t="s">
        <v>8</v>
      </c>
      <c r="B356">
        <v>7.5</v>
      </c>
      <c r="C356" t="s">
        <v>19</v>
      </c>
      <c r="D356" s="2">
        <v>1.1707042841713968</v>
      </c>
    </row>
    <row r="357" spans="1:12" x14ac:dyDescent="0.3">
      <c r="A357" t="s">
        <v>8</v>
      </c>
      <c r="B357">
        <v>8.5</v>
      </c>
      <c r="C357" t="s">
        <v>19</v>
      </c>
      <c r="D357" s="2">
        <v>1.5400271357344724</v>
      </c>
    </row>
    <row r="358" spans="1:12" x14ac:dyDescent="0.3">
      <c r="A358" t="s">
        <v>8</v>
      </c>
      <c r="B358">
        <v>9.5</v>
      </c>
      <c r="C358" t="s">
        <v>19</v>
      </c>
      <c r="D358" s="2">
        <v>1.5004518711017385</v>
      </c>
    </row>
    <row r="359" spans="1:12" x14ac:dyDescent="0.3">
      <c r="A359" t="s">
        <v>8</v>
      </c>
      <c r="B359">
        <v>10.5</v>
      </c>
      <c r="C359" t="s">
        <v>19</v>
      </c>
      <c r="D359" s="2">
        <v>1.0507262542904334</v>
      </c>
    </row>
    <row r="360" spans="1:12" x14ac:dyDescent="0.3">
      <c r="A360" t="s">
        <v>8</v>
      </c>
      <c r="B360">
        <v>11.5</v>
      </c>
      <c r="C360" t="s">
        <v>19</v>
      </c>
      <c r="D360" s="2">
        <v>1.0247437465775076</v>
      </c>
    </row>
    <row r="361" spans="1:12" x14ac:dyDescent="0.3">
      <c r="A361" t="s">
        <v>8</v>
      </c>
      <c r="B361">
        <v>11.5</v>
      </c>
      <c r="C361" t="s">
        <v>19</v>
      </c>
      <c r="D361" s="2">
        <v>1.0326321093827635</v>
      </c>
    </row>
    <row r="362" spans="1:12" x14ac:dyDescent="0.3">
      <c r="A362" t="s">
        <v>8</v>
      </c>
      <c r="B362">
        <v>11.5</v>
      </c>
      <c r="C362" t="s">
        <v>19</v>
      </c>
      <c r="D362" s="2">
        <v>0.95963693194027155</v>
      </c>
      <c r="G362" t="s">
        <v>33</v>
      </c>
      <c r="H362">
        <f>(AVERAGE(D360:D362))*F363</f>
        <v>10.056709293001809</v>
      </c>
      <c r="I362">
        <f>H362/365</f>
        <v>2.7552628200004956E-2</v>
      </c>
      <c r="J362">
        <f>I362/1000</f>
        <v>2.7552628200004958E-5</v>
      </c>
    </row>
    <row r="363" spans="1:12" s="1" customFormat="1" x14ac:dyDescent="0.3">
      <c r="E363" s="1">
        <v>380</v>
      </c>
      <c r="F363" s="1">
        <v>10</v>
      </c>
      <c r="G363" s="1" t="s">
        <v>32</v>
      </c>
      <c r="H363" s="1">
        <f>(AVERAGE(D360:D362))*E363</f>
        <v>382.15495313406871</v>
      </c>
      <c r="I363" s="1">
        <f>H363/365</f>
        <v>1.0469998716001883</v>
      </c>
      <c r="J363" s="1">
        <f>I363/1000</f>
        <v>1.0469998716001884E-3</v>
      </c>
    </row>
    <row r="365" spans="1:12" x14ac:dyDescent="0.3">
      <c r="A365" t="s">
        <v>9</v>
      </c>
      <c r="B365">
        <v>0.5</v>
      </c>
      <c r="C365" t="s">
        <v>19</v>
      </c>
      <c r="D365" s="2">
        <v>1.5647259237015418</v>
      </c>
    </row>
    <row r="366" spans="1:12" x14ac:dyDescent="0.3">
      <c r="A366" t="s">
        <v>9</v>
      </c>
      <c r="B366">
        <v>1.5</v>
      </c>
      <c r="C366" t="s">
        <v>19</v>
      </c>
      <c r="D366" s="2">
        <v>1.2774422287833203</v>
      </c>
      <c r="L366" s="2"/>
    </row>
    <row r="367" spans="1:12" x14ac:dyDescent="0.3">
      <c r="A367" t="s">
        <v>9</v>
      </c>
      <c r="B367">
        <v>2.5</v>
      </c>
      <c r="C367" t="s">
        <v>19</v>
      </c>
      <c r="D367" s="2">
        <v>1.477237514270398</v>
      </c>
      <c r="L367" s="2"/>
    </row>
    <row r="368" spans="1:12" x14ac:dyDescent="0.3">
      <c r="A368" t="s">
        <v>9</v>
      </c>
      <c r="B368">
        <v>3.5</v>
      </c>
      <c r="C368" t="s">
        <v>19</v>
      </c>
      <c r="D368" s="2">
        <v>1.3992035714219651</v>
      </c>
    </row>
    <row r="369" spans="1:10" x14ac:dyDescent="0.3">
      <c r="A369" t="s">
        <v>9</v>
      </c>
      <c r="B369">
        <v>4.5</v>
      </c>
      <c r="C369" t="s">
        <v>19</v>
      </c>
      <c r="D369" s="2">
        <v>1.3948264751130437</v>
      </c>
    </row>
    <row r="370" spans="1:10" x14ac:dyDescent="0.3">
      <c r="A370" t="s">
        <v>9</v>
      </c>
      <c r="B370">
        <v>5.5</v>
      </c>
      <c r="C370" t="s">
        <v>19</v>
      </c>
      <c r="D370" s="2">
        <v>1.2708803320990243</v>
      </c>
    </row>
    <row r="371" spans="1:10" x14ac:dyDescent="0.3">
      <c r="A371" t="s">
        <v>9</v>
      </c>
      <c r="B371">
        <v>6.5</v>
      </c>
      <c r="C371" t="s">
        <v>19</v>
      </c>
      <c r="D371" s="2">
        <v>1.231526688058864</v>
      </c>
    </row>
    <row r="372" spans="1:10" x14ac:dyDescent="0.3">
      <c r="A372" t="s">
        <v>9</v>
      </c>
      <c r="B372">
        <v>7.5</v>
      </c>
      <c r="C372" t="s">
        <v>19</v>
      </c>
      <c r="D372" s="2">
        <v>1.2667061145474325</v>
      </c>
    </row>
    <row r="373" spans="1:10" x14ac:dyDescent="0.3">
      <c r="A373" t="s">
        <v>9</v>
      </c>
      <c r="B373">
        <v>8.5</v>
      </c>
      <c r="C373" t="s">
        <v>19</v>
      </c>
      <c r="D373" s="2">
        <v>1.1908166612229876</v>
      </c>
    </row>
    <row r="374" spans="1:10" x14ac:dyDescent="0.3">
      <c r="A374" t="s">
        <v>9</v>
      </c>
      <c r="B374">
        <v>9.5</v>
      </c>
      <c r="C374" t="s">
        <v>19</v>
      </c>
      <c r="D374" s="2">
        <v>1.0014925736667271</v>
      </c>
    </row>
    <row r="375" spans="1:10" x14ac:dyDescent="0.3">
      <c r="A375" t="s">
        <v>9</v>
      </c>
      <c r="B375">
        <v>10.5</v>
      </c>
      <c r="C375" t="s">
        <v>19</v>
      </c>
      <c r="D375" s="2">
        <v>0.96041910745719772</v>
      </c>
    </row>
    <row r="376" spans="1:10" x14ac:dyDescent="0.3">
      <c r="A376" t="s">
        <v>9</v>
      </c>
      <c r="B376">
        <v>11.5</v>
      </c>
      <c r="C376" t="s">
        <v>19</v>
      </c>
      <c r="D376" s="2">
        <v>0.95610165931750069</v>
      </c>
    </row>
    <row r="377" spans="1:10" x14ac:dyDescent="0.3">
      <c r="A377" t="s">
        <v>9</v>
      </c>
      <c r="B377">
        <v>12.5</v>
      </c>
      <c r="C377" t="s">
        <v>19</v>
      </c>
      <c r="D377" s="2">
        <v>0.87190311091842065</v>
      </c>
    </row>
    <row r="378" spans="1:10" x14ac:dyDescent="0.3">
      <c r="A378" t="s">
        <v>9</v>
      </c>
      <c r="B378">
        <v>12.5</v>
      </c>
      <c r="C378" t="s">
        <v>19</v>
      </c>
      <c r="D378" s="2">
        <v>1.0320729727836038</v>
      </c>
    </row>
    <row r="379" spans="1:10" x14ac:dyDescent="0.3">
      <c r="A379" t="s">
        <v>9</v>
      </c>
      <c r="B379">
        <v>12.5</v>
      </c>
      <c r="C379" t="s">
        <v>19</v>
      </c>
      <c r="D379" s="2">
        <v>0.84733651099168505</v>
      </c>
      <c r="G379" t="s">
        <v>33</v>
      </c>
      <c r="H379">
        <f>(AVERAGE(D377:D379))*F380</f>
        <v>82.539377840811298</v>
      </c>
      <c r="I379">
        <f>H379/365</f>
        <v>0.2261352817556474</v>
      </c>
      <c r="J379">
        <f>I379/1000</f>
        <v>2.2613528175564741E-4</v>
      </c>
    </row>
    <row r="380" spans="1:10" s="1" customFormat="1" x14ac:dyDescent="0.3">
      <c r="E380" s="1">
        <v>840</v>
      </c>
      <c r="F380" s="1">
        <v>90</v>
      </c>
      <c r="G380" s="1" t="s">
        <v>32</v>
      </c>
      <c r="H380" s="1">
        <f>(AVERAGE(D377:D379))*E380</f>
        <v>770.36752651423876</v>
      </c>
      <c r="I380" s="1">
        <f>H380/365</f>
        <v>2.1105959630527091</v>
      </c>
      <c r="J380" s="1">
        <f>I380/1000</f>
        <v>2.110595963052709E-3</v>
      </c>
    </row>
    <row r="382" spans="1:10" x14ac:dyDescent="0.3">
      <c r="A382" t="s">
        <v>10</v>
      </c>
      <c r="B382">
        <v>0.5</v>
      </c>
      <c r="C382" t="s">
        <v>19</v>
      </c>
      <c r="D382" s="2">
        <v>4.3278787255730462</v>
      </c>
    </row>
    <row r="383" spans="1:10" x14ac:dyDescent="0.3">
      <c r="A383" t="s">
        <v>10</v>
      </c>
      <c r="B383">
        <v>1.5</v>
      </c>
      <c r="C383" t="s">
        <v>19</v>
      </c>
      <c r="D383" s="2">
        <v>2.1194253806209375</v>
      </c>
    </row>
    <row r="384" spans="1:10" x14ac:dyDescent="0.3">
      <c r="A384" t="s">
        <v>10</v>
      </c>
      <c r="B384">
        <v>2.5</v>
      </c>
      <c r="C384" t="s">
        <v>19</v>
      </c>
      <c r="D384" s="2">
        <v>1.7477247014858268</v>
      </c>
    </row>
    <row r="385" spans="1:10" x14ac:dyDescent="0.3">
      <c r="A385" t="s">
        <v>10</v>
      </c>
      <c r="B385">
        <v>3.5</v>
      </c>
      <c r="C385" t="s">
        <v>19</v>
      </c>
      <c r="D385" s="2">
        <v>1.520956212626887</v>
      </c>
    </row>
    <row r="386" spans="1:10" x14ac:dyDescent="0.3">
      <c r="A386" t="s">
        <v>10</v>
      </c>
      <c r="B386">
        <v>4.5</v>
      </c>
      <c r="C386" t="s">
        <v>19</v>
      </c>
      <c r="D386" s="2">
        <v>1.2858109882039575</v>
      </c>
    </row>
    <row r="387" spans="1:10" x14ac:dyDescent="0.3">
      <c r="A387" t="s">
        <v>10</v>
      </c>
      <c r="B387">
        <v>5.5</v>
      </c>
      <c r="C387" t="s">
        <v>19</v>
      </c>
      <c r="D387" s="2">
        <v>1.1422137409895654</v>
      </c>
    </row>
    <row r="388" spans="1:10" x14ac:dyDescent="0.3">
      <c r="A388" t="s">
        <v>10</v>
      </c>
      <c r="B388">
        <v>6.5</v>
      </c>
      <c r="C388" t="s">
        <v>19</v>
      </c>
      <c r="D388" s="2">
        <v>1.1301052746666338</v>
      </c>
    </row>
    <row r="389" spans="1:10" x14ac:dyDescent="0.3">
      <c r="A389" t="s">
        <v>10</v>
      </c>
      <c r="B389">
        <v>7.5</v>
      </c>
      <c r="C389" t="s">
        <v>19</v>
      </c>
      <c r="D389" s="2">
        <v>1.1707439035294547</v>
      </c>
    </row>
    <row r="390" spans="1:10" x14ac:dyDescent="0.3">
      <c r="A390" t="s">
        <v>10</v>
      </c>
      <c r="B390">
        <v>8.5</v>
      </c>
      <c r="C390" t="s">
        <v>19</v>
      </c>
      <c r="D390" s="2">
        <v>0.98696441072143037</v>
      </c>
    </row>
    <row r="391" spans="1:10" x14ac:dyDescent="0.3">
      <c r="A391" t="s">
        <v>10</v>
      </c>
      <c r="B391">
        <v>9.5</v>
      </c>
      <c r="C391" t="s">
        <v>19</v>
      </c>
      <c r="D391" s="2">
        <v>0.89980484035530461</v>
      </c>
    </row>
    <row r="392" spans="1:10" x14ac:dyDescent="0.3">
      <c r="A392" t="s">
        <v>10</v>
      </c>
      <c r="B392">
        <v>10.5</v>
      </c>
      <c r="C392" t="s">
        <v>19</v>
      </c>
      <c r="D392" s="2">
        <v>0.83128810853259105</v>
      </c>
    </row>
    <row r="393" spans="1:10" x14ac:dyDescent="0.3">
      <c r="A393" t="s">
        <v>10</v>
      </c>
      <c r="B393">
        <v>11.5</v>
      </c>
      <c r="C393" t="s">
        <v>19</v>
      </c>
      <c r="D393" s="2">
        <v>0.84095970600695535</v>
      </c>
    </row>
    <row r="394" spans="1:10" x14ac:dyDescent="0.3">
      <c r="A394" t="s">
        <v>10</v>
      </c>
      <c r="B394">
        <v>12.5</v>
      </c>
      <c r="C394" t="s">
        <v>19</v>
      </c>
      <c r="D394" s="2">
        <v>0.88648456262700159</v>
      </c>
    </row>
    <row r="395" spans="1:10" x14ac:dyDescent="0.3">
      <c r="A395" t="s">
        <v>10</v>
      </c>
      <c r="B395">
        <v>13.5</v>
      </c>
      <c r="C395" t="s">
        <v>19</v>
      </c>
      <c r="D395" s="2">
        <v>0.67430703825625449</v>
      </c>
    </row>
    <row r="396" spans="1:10" x14ac:dyDescent="0.3">
      <c r="A396" t="s">
        <v>10</v>
      </c>
      <c r="B396">
        <v>14.5</v>
      </c>
      <c r="C396" t="s">
        <v>19</v>
      </c>
      <c r="D396" s="2">
        <v>0.63562066119948735</v>
      </c>
    </row>
    <row r="397" spans="1:10" x14ac:dyDescent="0.3">
      <c r="A397" t="s">
        <v>10</v>
      </c>
      <c r="B397">
        <v>14.5</v>
      </c>
      <c r="C397" t="s">
        <v>19</v>
      </c>
      <c r="D397" s="2">
        <v>0.63482415714496787</v>
      </c>
    </row>
    <row r="398" spans="1:10" x14ac:dyDescent="0.3">
      <c r="A398" t="s">
        <v>10</v>
      </c>
      <c r="B398">
        <v>14.5</v>
      </c>
      <c r="C398" t="s">
        <v>19</v>
      </c>
      <c r="D398" s="2">
        <v>0.65330852185211408</v>
      </c>
      <c r="G398" t="s">
        <v>33</v>
      </c>
      <c r="H398">
        <f>(AVERAGE(D396:D398))*F399</f>
        <v>51.300089071908516</v>
      </c>
      <c r="I398">
        <f>H398/365</f>
        <v>0.14054818923810553</v>
      </c>
      <c r="J398">
        <f>I398/1000</f>
        <v>1.4054818923810552E-4</v>
      </c>
    </row>
    <row r="399" spans="1:10" s="1" customFormat="1" x14ac:dyDescent="0.3">
      <c r="E399" s="1">
        <v>670</v>
      </c>
      <c r="F399" s="1">
        <v>80</v>
      </c>
      <c r="G399" s="1" t="s">
        <v>32</v>
      </c>
      <c r="H399" s="1">
        <f>(AVERAGE(D396:D398))*E399</f>
        <v>429.63824597723379</v>
      </c>
      <c r="I399" s="1">
        <f>H399/365</f>
        <v>1.1770910848691336</v>
      </c>
      <c r="J399" s="1">
        <f>I399/1000</f>
        <v>1.1770910848691335E-3</v>
      </c>
    </row>
    <row r="401" spans="1:10" x14ac:dyDescent="0.3">
      <c r="A401" t="s">
        <v>11</v>
      </c>
      <c r="B401">
        <v>0.5</v>
      </c>
      <c r="C401" t="s">
        <v>19</v>
      </c>
      <c r="D401" s="2">
        <v>164.12672627893903</v>
      </c>
    </row>
    <row r="402" spans="1:10" x14ac:dyDescent="0.3">
      <c r="A402" t="s">
        <v>11</v>
      </c>
      <c r="B402">
        <v>1.5</v>
      </c>
      <c r="C402" t="s">
        <v>19</v>
      </c>
      <c r="D402" s="2">
        <v>150.15293277421949</v>
      </c>
    </row>
    <row r="403" spans="1:10" x14ac:dyDescent="0.3">
      <c r="A403" t="s">
        <v>11</v>
      </c>
      <c r="B403">
        <v>2.5</v>
      </c>
      <c r="C403" t="s">
        <v>19</v>
      </c>
      <c r="D403" s="2">
        <v>125.4702536173219</v>
      </c>
    </row>
    <row r="404" spans="1:10" x14ac:dyDescent="0.3">
      <c r="A404" t="s">
        <v>11</v>
      </c>
      <c r="B404">
        <v>3.5</v>
      </c>
      <c r="C404" t="s">
        <v>19</v>
      </c>
      <c r="D404" s="2">
        <v>105.63251158874581</v>
      </c>
    </row>
    <row r="405" spans="1:10" x14ac:dyDescent="0.3">
      <c r="A405" t="s">
        <v>11</v>
      </c>
      <c r="B405">
        <v>4.5</v>
      </c>
      <c r="C405" t="s">
        <v>19</v>
      </c>
      <c r="D405" s="2">
        <v>140.34281451972493</v>
      </c>
    </row>
    <row r="406" spans="1:10" x14ac:dyDescent="0.3">
      <c r="A406" t="s">
        <v>11</v>
      </c>
      <c r="B406">
        <v>5.5</v>
      </c>
      <c r="C406" t="s">
        <v>19</v>
      </c>
      <c r="D406" s="2">
        <v>74.199200923130235</v>
      </c>
    </row>
    <row r="407" spans="1:10" x14ac:dyDescent="0.3">
      <c r="A407" t="s">
        <v>11</v>
      </c>
      <c r="B407">
        <v>6.5</v>
      </c>
      <c r="C407" t="s">
        <v>19</v>
      </c>
      <c r="D407" s="2">
        <v>85.369491755285253</v>
      </c>
    </row>
    <row r="408" spans="1:10" x14ac:dyDescent="0.3">
      <c r="A408" t="s">
        <v>11</v>
      </c>
      <c r="B408">
        <v>7.5</v>
      </c>
      <c r="C408" t="s">
        <v>19</v>
      </c>
      <c r="D408" s="2">
        <v>97.913189417782775</v>
      </c>
    </row>
    <row r="409" spans="1:10" x14ac:dyDescent="0.3">
      <c r="A409" t="s">
        <v>11</v>
      </c>
      <c r="B409">
        <v>8.5</v>
      </c>
      <c r="C409" t="s">
        <v>19</v>
      </c>
      <c r="D409" s="2">
        <v>85.206740253682383</v>
      </c>
    </row>
    <row r="410" spans="1:10" x14ac:dyDescent="0.3">
      <c r="A410" t="s">
        <v>11</v>
      </c>
      <c r="B410">
        <v>9.5</v>
      </c>
      <c r="C410" t="s">
        <v>19</v>
      </c>
      <c r="D410" s="2">
        <v>93.088364121038026</v>
      </c>
    </row>
    <row r="411" spans="1:10" x14ac:dyDescent="0.3">
      <c r="A411" t="s">
        <v>11</v>
      </c>
      <c r="B411">
        <v>10.5</v>
      </c>
      <c r="C411" t="s">
        <v>19</v>
      </c>
      <c r="D411" s="2">
        <v>73.622866279608033</v>
      </c>
    </row>
    <row r="412" spans="1:10" x14ac:dyDescent="0.3">
      <c r="A412" t="s">
        <v>11</v>
      </c>
      <c r="B412">
        <v>11.5</v>
      </c>
      <c r="C412" t="s">
        <v>19</v>
      </c>
      <c r="D412" s="2">
        <v>74.337508458508012</v>
      </c>
    </row>
    <row r="413" spans="1:10" x14ac:dyDescent="0.3">
      <c r="A413" t="s">
        <v>11</v>
      </c>
      <c r="B413">
        <v>12.5</v>
      </c>
      <c r="C413" t="s">
        <v>19</v>
      </c>
      <c r="D413" s="2">
        <v>64.649034062854383</v>
      </c>
    </row>
    <row r="414" spans="1:10" x14ac:dyDescent="0.3">
      <c r="A414" t="s">
        <v>11</v>
      </c>
      <c r="B414">
        <v>12.5</v>
      </c>
      <c r="C414" t="s">
        <v>19</v>
      </c>
      <c r="D414" s="2">
        <v>67.762306738214292</v>
      </c>
    </row>
    <row r="415" spans="1:10" x14ac:dyDescent="0.3">
      <c r="A415" t="s">
        <v>11</v>
      </c>
      <c r="B415">
        <v>12.5</v>
      </c>
      <c r="C415" t="s">
        <v>19</v>
      </c>
      <c r="D415" s="2">
        <v>74.336004163312708</v>
      </c>
      <c r="G415" t="s">
        <v>33</v>
      </c>
      <c r="H415">
        <f>(AVERAGE(D413:D415))*F416</f>
        <v>6891.5781654793791</v>
      </c>
      <c r="I415">
        <f>H415/365</f>
        <v>18.88103606980652</v>
      </c>
      <c r="J415">
        <f>I415/1000</f>
        <v>1.8881036069806519E-2</v>
      </c>
    </row>
    <row r="416" spans="1:10" s="1" customFormat="1" x14ac:dyDescent="0.3">
      <c r="E416" s="1">
        <v>1500</v>
      </c>
      <c r="F416" s="1">
        <v>100</v>
      </c>
      <c r="G416" s="1" t="s">
        <v>32</v>
      </c>
      <c r="H416" s="1">
        <f>(AVERAGE(D413:D415))*E416</f>
        <v>103373.67248219068</v>
      </c>
      <c r="I416" s="1">
        <f>H416/365</f>
        <v>283.21554104709776</v>
      </c>
      <c r="J416" s="1">
        <f>I416/1000</f>
        <v>0.28321554104709779</v>
      </c>
    </row>
    <row r="418" spans="1:10" x14ac:dyDescent="0.3">
      <c r="A418" t="s">
        <v>12</v>
      </c>
      <c r="B418">
        <v>0.5</v>
      </c>
      <c r="C418" t="s">
        <v>19</v>
      </c>
      <c r="D418" s="2">
        <v>21.968424329484062</v>
      </c>
    </row>
    <row r="419" spans="1:10" x14ac:dyDescent="0.3">
      <c r="A419" t="s">
        <v>12</v>
      </c>
      <c r="B419">
        <v>1.5</v>
      </c>
      <c r="C419" t="s">
        <v>19</v>
      </c>
      <c r="D419" s="2">
        <v>10.941517847765052</v>
      </c>
    </row>
    <row r="420" spans="1:10" x14ac:dyDescent="0.3">
      <c r="A420" t="s">
        <v>12</v>
      </c>
      <c r="B420">
        <v>2.5</v>
      </c>
      <c r="C420" t="s">
        <v>19</v>
      </c>
      <c r="D420" s="2">
        <v>9.3189582854543929</v>
      </c>
    </row>
    <row r="421" spans="1:10" x14ac:dyDescent="0.3">
      <c r="A421" t="s">
        <v>12</v>
      </c>
      <c r="B421">
        <v>3.5</v>
      </c>
      <c r="C421" t="s">
        <v>19</v>
      </c>
      <c r="D421" s="2">
        <v>6.3614022518028897</v>
      </c>
    </row>
    <row r="422" spans="1:10" x14ac:dyDescent="0.3">
      <c r="A422" t="s">
        <v>12</v>
      </c>
      <c r="B422">
        <v>4.5</v>
      </c>
      <c r="C422" t="s">
        <v>19</v>
      </c>
      <c r="D422" s="2">
        <v>6.1163051295231892</v>
      </c>
    </row>
    <row r="423" spans="1:10" x14ac:dyDescent="0.3">
      <c r="A423" t="s">
        <v>12</v>
      </c>
      <c r="B423">
        <v>5.5</v>
      </c>
      <c r="C423" t="s">
        <v>19</v>
      </c>
      <c r="D423" s="2">
        <v>3.8960457811511562</v>
      </c>
    </row>
    <row r="424" spans="1:10" x14ac:dyDescent="0.3">
      <c r="A424" t="s">
        <v>12</v>
      </c>
      <c r="B424">
        <v>6.5</v>
      </c>
      <c r="C424" t="s">
        <v>19</v>
      </c>
      <c r="D424" s="2">
        <v>3.2691745700398198</v>
      </c>
    </row>
    <row r="425" spans="1:10" x14ac:dyDescent="0.3">
      <c r="A425" t="s">
        <v>12</v>
      </c>
      <c r="B425">
        <v>7.5</v>
      </c>
      <c r="C425" t="s">
        <v>19</v>
      </c>
      <c r="D425" s="2">
        <v>3.1457733959063572</v>
      </c>
    </row>
    <row r="426" spans="1:10" x14ac:dyDescent="0.3">
      <c r="A426" t="s">
        <v>12</v>
      </c>
      <c r="B426">
        <v>8.5</v>
      </c>
      <c r="C426" t="s">
        <v>19</v>
      </c>
      <c r="D426" s="2">
        <v>2.9958853432521453</v>
      </c>
    </row>
    <row r="427" spans="1:10" x14ac:dyDescent="0.3">
      <c r="A427" t="s">
        <v>12</v>
      </c>
      <c r="B427">
        <v>9.5</v>
      </c>
      <c r="C427" t="s">
        <v>19</v>
      </c>
      <c r="D427" s="2">
        <v>2.9140236138627893</v>
      </c>
    </row>
    <row r="428" spans="1:10" x14ac:dyDescent="0.3">
      <c r="A428" t="s">
        <v>12</v>
      </c>
      <c r="B428">
        <v>10.5</v>
      </c>
      <c r="C428" t="s">
        <v>19</v>
      </c>
      <c r="D428" s="2">
        <v>2.9798548299064018</v>
      </c>
    </row>
    <row r="429" spans="1:10" x14ac:dyDescent="0.3">
      <c r="A429" t="s">
        <v>12</v>
      </c>
      <c r="B429">
        <v>11.5</v>
      </c>
      <c r="C429" t="s">
        <v>19</v>
      </c>
      <c r="D429" s="2">
        <v>2.9431265343094917</v>
      </c>
    </row>
    <row r="430" spans="1:10" x14ac:dyDescent="0.3">
      <c r="A430" t="s">
        <v>12</v>
      </c>
      <c r="B430">
        <v>12.5</v>
      </c>
      <c r="C430" t="s">
        <v>19</v>
      </c>
      <c r="D430" s="2">
        <v>2.9249144729675565</v>
      </c>
    </row>
    <row r="431" spans="1:10" x14ac:dyDescent="0.3">
      <c r="A431" t="s">
        <v>12</v>
      </c>
      <c r="B431">
        <v>12.5</v>
      </c>
      <c r="C431" t="s">
        <v>19</v>
      </c>
      <c r="D431" s="2">
        <v>3.0452766685990795</v>
      </c>
    </row>
    <row r="432" spans="1:10" x14ac:dyDescent="0.3">
      <c r="A432" t="s">
        <v>12</v>
      </c>
      <c r="B432">
        <v>12.5</v>
      </c>
      <c r="C432" t="s">
        <v>19</v>
      </c>
      <c r="D432" s="2">
        <v>3.0904822582951907</v>
      </c>
      <c r="G432" t="s">
        <v>33</v>
      </c>
      <c r="H432">
        <f>(AVERAGE(D430:D432))*F433</f>
        <v>664.449382656534</v>
      </c>
      <c r="I432">
        <f>H432/365</f>
        <v>1.8204092675521479</v>
      </c>
      <c r="J432">
        <f>I432/1000</f>
        <v>1.820409267552148E-3</v>
      </c>
    </row>
    <row r="433" spans="5:10" s="1" customFormat="1" x14ac:dyDescent="0.3">
      <c r="E433" s="1">
        <v>2220</v>
      </c>
      <c r="F433" s="1">
        <v>220</v>
      </c>
      <c r="G433" s="1" t="s">
        <v>32</v>
      </c>
      <c r="H433" s="1">
        <f>(AVERAGE(D430:D432))*E433</f>
        <v>6704.8983158977517</v>
      </c>
      <c r="I433" s="1">
        <f>H433/365</f>
        <v>18.369584427117129</v>
      </c>
      <c r="J433" s="1">
        <f>I433/1000</f>
        <v>1.8369584427117128E-2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8C64-F0EC-4FD5-9D28-AA5F4899A1AB}">
  <dimension ref="A1:G11"/>
  <sheetViews>
    <sheetView tabSelected="1" zoomScaleNormal="100" workbookViewId="0">
      <selection activeCell="N9" sqref="N9"/>
    </sheetView>
  </sheetViews>
  <sheetFormatPr defaultRowHeight="14.4" x14ac:dyDescent="0.3"/>
  <cols>
    <col min="1" max="1" width="8.88671875" style="5"/>
    <col min="7" max="7" width="12" bestFit="1" customWidth="1"/>
  </cols>
  <sheetData>
    <row r="1" spans="1:7" x14ac:dyDescent="0.3">
      <c r="A1" s="5" t="s">
        <v>30</v>
      </c>
    </row>
    <row r="2" spans="1:7" s="3" customFormat="1" x14ac:dyDescent="0.3">
      <c r="A2" s="3" t="s">
        <v>20</v>
      </c>
      <c r="B2" s="3" t="s">
        <v>36</v>
      </c>
      <c r="C2" s="3" t="s">
        <v>33</v>
      </c>
      <c r="D2" s="3" t="s">
        <v>34</v>
      </c>
      <c r="E2" s="3" t="s">
        <v>33</v>
      </c>
      <c r="F2" s="3" t="s">
        <v>35</v>
      </c>
      <c r="G2" s="3" t="s">
        <v>33</v>
      </c>
    </row>
    <row r="3" spans="1:7" x14ac:dyDescent="0.3">
      <c r="A3" s="5" t="s">
        <v>21</v>
      </c>
      <c r="B3">
        <v>0.20291784592105003</v>
      </c>
      <c r="C3">
        <f>S6a!J18</f>
        <v>1.4116024064073045E-2</v>
      </c>
      <c r="D3" s="6">
        <v>0.52106027397260279</v>
      </c>
      <c r="E3" s="6">
        <f>S6a!J163</f>
        <v>3.216438356164384E-2</v>
      </c>
      <c r="F3">
        <v>3.8220519116963832E-3</v>
      </c>
      <c r="G3">
        <f>S6a!J295</f>
        <v>2.658818721180093E-4</v>
      </c>
    </row>
    <row r="4" spans="1:7" x14ac:dyDescent="0.3">
      <c r="A4" s="5" t="s">
        <v>22</v>
      </c>
      <c r="B4">
        <v>0.58115787288396159</v>
      </c>
      <c r="C4">
        <f>S6a!J35</f>
        <v>3.898010123002181E-2</v>
      </c>
      <c r="D4" s="6">
        <v>0.26496109589041095</v>
      </c>
      <c r="E4" s="6">
        <f>S6a!J178</f>
        <v>1.464255707762557E-2</v>
      </c>
      <c r="F4">
        <v>9.9525796274912391E-3</v>
      </c>
      <c r="G4">
        <f>S6a!J313</f>
        <v>6.6755107257563187E-4</v>
      </c>
    </row>
    <row r="5" spans="1:7" x14ac:dyDescent="0.3">
      <c r="A5" s="5" t="s">
        <v>23</v>
      </c>
      <c r="B5">
        <v>2.0375134539369464</v>
      </c>
      <c r="C5">
        <f>S6a!J51</f>
        <v>0.21675675041882408</v>
      </c>
      <c r="D5" s="6">
        <v>0.72341369863013694</v>
      </c>
      <c r="E5" s="6">
        <f>S6a!J192</f>
        <v>7.7273972602739729E-2</v>
      </c>
      <c r="F5">
        <v>5.3250894589383327E-2</v>
      </c>
      <c r="G5">
        <f>S6a!J330</f>
        <v>5.6649887861046104E-3</v>
      </c>
    </row>
    <row r="6" spans="1:7" x14ac:dyDescent="0.3">
      <c r="A6" s="5" t="s">
        <v>27</v>
      </c>
      <c r="B6">
        <v>7.5900936637147004E-2</v>
      </c>
      <c r="C6">
        <f>S6a!J115</f>
        <v>9.0627984044354612E-3</v>
      </c>
      <c r="D6" s="6">
        <v>0.14378383561643834</v>
      </c>
      <c r="E6" s="6">
        <f>S6a!J248</f>
        <v>1.4111415525114154E-2</v>
      </c>
      <c r="F6">
        <v>1.1770910848691335E-3</v>
      </c>
      <c r="G6">
        <f>S6a!J398</f>
        <v>1.4054818923810552E-4</v>
      </c>
    </row>
    <row r="7" spans="1:7" x14ac:dyDescent="0.3">
      <c r="A7" s="5" t="s">
        <v>28</v>
      </c>
      <c r="B7">
        <v>0.78825823425443453</v>
      </c>
      <c r="C7">
        <f>S6a!J131</f>
        <v>5.2550548950295643E-2</v>
      </c>
      <c r="D7" s="6">
        <v>0.11589041095890411</v>
      </c>
      <c r="E7" s="6">
        <f>S6a!J262</f>
        <v>7.8200913242009139E-3</v>
      </c>
      <c r="F7">
        <v>0.28321554104709779</v>
      </c>
      <c r="G7">
        <f>S6a!J415</f>
        <v>1.8881036069806519E-2</v>
      </c>
    </row>
    <row r="8" spans="1:7" x14ac:dyDescent="0.3">
      <c r="A8" s="5" t="s">
        <v>29</v>
      </c>
      <c r="B8">
        <v>0.69261410697163694</v>
      </c>
      <c r="C8">
        <f>S6a!J147</f>
        <v>6.8637434024216265E-2</v>
      </c>
      <c r="D8" s="6">
        <v>0.47276876712328764</v>
      </c>
      <c r="E8" s="6">
        <f>S6a!J276</f>
        <v>3.0828127853881278E-2</v>
      </c>
      <c r="F8">
        <v>1.8369584427117128E-2</v>
      </c>
      <c r="G8">
        <f>S6a!J432</f>
        <v>1.820409267552148E-3</v>
      </c>
    </row>
    <row r="9" spans="1:7" x14ac:dyDescent="0.3">
      <c r="A9" s="5" t="s">
        <v>24</v>
      </c>
      <c r="B9">
        <v>0.13978512705131499</v>
      </c>
      <c r="C9">
        <f>S6a!J66</f>
        <v>1.189660655755871E-2</v>
      </c>
      <c r="D9" s="6">
        <v>0.12553506849315069</v>
      </c>
      <c r="E9" s="6">
        <f>S6a!J205</f>
        <v>8.3324200913242018E-3</v>
      </c>
      <c r="F9">
        <v>3.2226550146500269E-3</v>
      </c>
      <c r="G9">
        <f>S6a!J346</f>
        <v>2.7426851188510872E-4</v>
      </c>
    </row>
    <row r="10" spans="1:7" x14ac:dyDescent="0.3">
      <c r="A10" s="5" t="s">
        <v>25</v>
      </c>
      <c r="B10">
        <v>0.1420456796700138</v>
      </c>
      <c r="C10">
        <f>S6a!J81</f>
        <v>3.7380442018424683E-3</v>
      </c>
      <c r="D10" s="6">
        <v>0.30745643835616437</v>
      </c>
      <c r="E10" s="6">
        <f>S6a!J218</f>
        <v>6.7367123287671235E-3</v>
      </c>
      <c r="F10">
        <v>1.0469998716001884E-3</v>
      </c>
      <c r="G10">
        <f>S6a!J362</f>
        <v>2.7552628200004958E-5</v>
      </c>
    </row>
    <row r="11" spans="1:7" x14ac:dyDescent="0.3">
      <c r="A11" s="5" t="s">
        <v>26</v>
      </c>
      <c r="B11">
        <v>0.298043282722739</v>
      </c>
      <c r="C11">
        <f>S6a!J97</f>
        <v>3.193320886315066E-2</v>
      </c>
      <c r="D11" s="6">
        <v>0.40064547945205481</v>
      </c>
      <c r="E11" s="6">
        <f>S6a!J232</f>
        <v>4.7392602739726036E-2</v>
      </c>
      <c r="F11">
        <v>2.110595963052709E-3</v>
      </c>
      <c r="G11">
        <f>S6a!J379</f>
        <v>2.2613528175564741E-4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4ACA-9AD0-4505-9FC0-6534595267DD}">
  <dimension ref="A1"/>
  <sheetViews>
    <sheetView topLeftCell="A18" zoomScale="130" zoomScaleNormal="130" workbookViewId="0">
      <selection activeCell="L23" sqref="L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S6a</vt:lpstr>
      <vt:lpstr>S6b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 Wittig</dc:creator>
  <cp:lastModifiedBy>Cathrin Wittig</cp:lastModifiedBy>
  <dcterms:created xsi:type="dcterms:W3CDTF">2024-10-25T12:02:55Z</dcterms:created>
  <dcterms:modified xsi:type="dcterms:W3CDTF">2026-05-18T09:24:11Z</dcterms:modified>
</cp:coreProperties>
</file>