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cathrin_wittig_ugent_be/Documents/UGent-PC/Cawittig/Documents/Sweden_2026/Supplementary Material/"/>
    </mc:Choice>
  </mc:AlternateContent>
  <xr:revisionPtr revIDLastSave="5604" documentId="8_{E1BDE918-8B77-475D-A76D-EC44867C8B95}" xr6:coauthVersionLast="47" xr6:coauthVersionMax="47" xr10:uidLastSave="{9C952B93-4311-4D9E-9CDE-E7C231BA626E}"/>
  <bookViews>
    <workbookView xWindow="-108" yWindow="-108" windowWidth="23256" windowHeight="12456" activeTab="4" xr2:uid="{3C97E032-150E-4499-8CA8-187C1F1FDCE4}"/>
  </bookViews>
  <sheets>
    <sheet name="S3a" sheetId="1" r:id="rId1"/>
    <sheet name="S3b" sheetId="3" r:id="rId2"/>
    <sheet name="S4a" sheetId="6" r:id="rId3"/>
    <sheet name="S4b" sheetId="4" r:id="rId4"/>
    <sheet name="S5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7" l="1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G36" i="3" l="1"/>
  <c r="F36" i="3"/>
  <c r="G22" i="3"/>
  <c r="F22" i="3"/>
  <c r="G2" i="3"/>
  <c r="G20" i="3"/>
  <c r="G11" i="3"/>
  <c r="G5" i="3"/>
  <c r="F2" i="3"/>
  <c r="G39" i="3"/>
  <c r="G34" i="3"/>
  <c r="G31" i="3"/>
  <c r="G28" i="3"/>
  <c r="F3" i="3"/>
  <c r="F19" i="3"/>
  <c r="L38" i="3"/>
  <c r="J38" i="3"/>
  <c r="L37" i="3"/>
  <c r="J37" i="3"/>
  <c r="L30" i="3"/>
  <c r="J30" i="3"/>
  <c r="L29" i="3"/>
  <c r="J29" i="3"/>
  <c r="L27" i="3"/>
  <c r="J27" i="3"/>
  <c r="L26" i="3"/>
  <c r="J26" i="3"/>
  <c r="L25" i="3"/>
  <c r="J25" i="3"/>
  <c r="L24" i="3"/>
  <c r="J24" i="3"/>
  <c r="L23" i="3"/>
  <c r="J23" i="3"/>
  <c r="L18" i="3"/>
  <c r="J18" i="3"/>
  <c r="L17" i="3"/>
  <c r="J17" i="3"/>
  <c r="L16" i="3"/>
  <c r="J16" i="3"/>
  <c r="L14" i="3"/>
  <c r="J14" i="3"/>
  <c r="N14" i="3" s="1"/>
  <c r="L13" i="3"/>
  <c r="J13" i="3"/>
  <c r="L12" i="3"/>
  <c r="J12" i="3"/>
  <c r="L9" i="3"/>
  <c r="J9" i="3"/>
  <c r="L8" i="3"/>
  <c r="J8" i="3"/>
  <c r="L6" i="3"/>
  <c r="J6" i="3"/>
  <c r="L4" i="3"/>
  <c r="J4" i="3"/>
  <c r="L3" i="3"/>
  <c r="J3" i="3"/>
  <c r="AJ643" i="1"/>
  <c r="AI643" i="1"/>
  <c r="AJ611" i="1"/>
  <c r="AI611" i="1"/>
  <c r="AJ581" i="1"/>
  <c r="AI581" i="1"/>
  <c r="AJ546" i="1"/>
  <c r="AI546" i="1"/>
  <c r="AJ511" i="1"/>
  <c r="AI511" i="1"/>
  <c r="AJ471" i="1"/>
  <c r="AI471" i="1"/>
  <c r="AJ432" i="1"/>
  <c r="AI432" i="1"/>
  <c r="AJ392" i="1"/>
  <c r="AI392" i="1"/>
  <c r="AJ374" i="1"/>
  <c r="AI374" i="1"/>
  <c r="AJ358" i="1"/>
  <c r="AI358" i="1"/>
  <c r="AJ320" i="1"/>
  <c r="AI320" i="1"/>
  <c r="AJ288" i="1"/>
  <c r="AI288" i="1"/>
  <c r="AJ245" i="1"/>
  <c r="AI245" i="1"/>
  <c r="AJ212" i="1"/>
  <c r="AI212" i="1"/>
  <c r="AJ183" i="1"/>
  <c r="AI183" i="1"/>
  <c r="AJ137" i="1"/>
  <c r="AI137" i="1"/>
  <c r="AJ113" i="1"/>
  <c r="AI113" i="1"/>
  <c r="AJ85" i="1"/>
  <c r="AI85" i="1"/>
  <c r="AJ57" i="1"/>
  <c r="AI57" i="1"/>
  <c r="AJ29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" i="1"/>
  <c r="AC2" i="1"/>
  <c r="AH2" i="1"/>
  <c r="AD643" i="1"/>
  <c r="AD611" i="1"/>
  <c r="AD581" i="1"/>
  <c r="AD546" i="1"/>
  <c r="AD511" i="1"/>
  <c r="AD471" i="1"/>
  <c r="AC471" i="1"/>
  <c r="AD432" i="1"/>
  <c r="AC432" i="1"/>
  <c r="AD392" i="1"/>
  <c r="AC392" i="1"/>
  <c r="AD374" i="1"/>
  <c r="AC374" i="1"/>
  <c r="AD358" i="1"/>
  <c r="AC358" i="1"/>
  <c r="AD320" i="1"/>
  <c r="AC320" i="1"/>
  <c r="AD288" i="1"/>
  <c r="AC288" i="1"/>
  <c r="AD245" i="1"/>
  <c r="AC245" i="1"/>
  <c r="AB29" i="1"/>
  <c r="AD212" i="1"/>
  <c r="AC212" i="1"/>
  <c r="AD183" i="1"/>
  <c r="AC183" i="1"/>
  <c r="AD137" i="1"/>
  <c r="AC137" i="1"/>
  <c r="AD113" i="1"/>
  <c r="AC113" i="1"/>
  <c r="AD85" i="1"/>
  <c r="AC85" i="1"/>
  <c r="AD57" i="1"/>
  <c r="AC57" i="1"/>
  <c r="AC29" i="1"/>
  <c r="AD29" i="1" s="1"/>
  <c r="AC511" i="1"/>
  <c r="AC546" i="1"/>
  <c r="AC581" i="1"/>
  <c r="AC611" i="1"/>
  <c r="AC643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K2" i="7"/>
  <c r="E18" i="7" l="1"/>
  <c r="E17" i="7"/>
  <c r="S613" i="1" l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1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582" i="1"/>
  <c r="S574" i="1"/>
  <c r="S575" i="1"/>
  <c r="S576" i="1"/>
  <c r="S577" i="1"/>
  <c r="S578" i="1"/>
  <c r="S579" i="1"/>
  <c r="S580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47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12" i="1"/>
  <c r="S507" i="1"/>
  <c r="S508" i="1"/>
  <c r="S509" i="1"/>
  <c r="S510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472" i="1"/>
  <c r="S468" i="1"/>
  <c r="S469" i="1"/>
  <c r="S470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33" i="1"/>
  <c r="S423" i="1"/>
  <c r="S424" i="1"/>
  <c r="S425" i="1"/>
  <c r="S426" i="1"/>
  <c r="S427" i="1"/>
  <c r="S428" i="1"/>
  <c r="S429" i="1"/>
  <c r="S430" i="1"/>
  <c r="S431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393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75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59" i="1"/>
  <c r="S351" i="1"/>
  <c r="S352" i="1"/>
  <c r="S353" i="1"/>
  <c r="S354" i="1"/>
  <c r="S355" i="1"/>
  <c r="S356" i="1"/>
  <c r="S357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21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289" i="1"/>
  <c r="S281" i="1"/>
  <c r="S282" i="1"/>
  <c r="S283" i="1"/>
  <c r="S284" i="1"/>
  <c r="S285" i="1"/>
  <c r="S286" i="1"/>
  <c r="S287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46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13" i="1"/>
  <c r="S207" i="1"/>
  <c r="S208" i="1"/>
  <c r="S209" i="1"/>
  <c r="S210" i="1"/>
  <c r="S211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184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38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14" i="1"/>
  <c r="S110" i="1"/>
  <c r="S111" i="1"/>
  <c r="S112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86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58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30" i="1"/>
  <c r="S28" i="1"/>
  <c r="AC28" i="1" s="1"/>
  <c r="S27" i="1"/>
  <c r="AC27" i="1" s="1"/>
  <c r="S26" i="1"/>
  <c r="AC26" i="1" s="1"/>
  <c r="S25" i="1"/>
  <c r="AC25" i="1" s="1"/>
  <c r="S24" i="1"/>
  <c r="AC24" i="1" s="1"/>
  <c r="S23" i="1"/>
  <c r="AC23" i="1" s="1"/>
  <c r="S22" i="1"/>
  <c r="AC22" i="1" s="1"/>
  <c r="S21" i="1"/>
  <c r="AC21" i="1" s="1"/>
  <c r="S20" i="1"/>
  <c r="AC20" i="1" s="1"/>
  <c r="S19" i="1"/>
  <c r="AC19" i="1" s="1"/>
  <c r="S18" i="1"/>
  <c r="AC18" i="1" s="1"/>
  <c r="S17" i="1"/>
  <c r="AC17" i="1" s="1"/>
  <c r="S16" i="1"/>
  <c r="AC16" i="1" s="1"/>
  <c r="S15" i="1"/>
  <c r="AC15" i="1" s="1"/>
  <c r="S14" i="1"/>
  <c r="AC14" i="1" s="1"/>
  <c r="S13" i="1"/>
  <c r="AC13" i="1" s="1"/>
  <c r="S12" i="1"/>
  <c r="AC12" i="1" s="1"/>
  <c r="S11" i="1"/>
  <c r="AC11" i="1" s="1"/>
  <c r="S10" i="1"/>
  <c r="AC10" i="1" s="1"/>
  <c r="S9" i="1"/>
  <c r="AC9" i="1" s="1"/>
  <c r="S8" i="1"/>
  <c r="AC8" i="1" s="1"/>
  <c r="S7" i="1"/>
  <c r="AC7" i="1" s="1"/>
  <c r="S5" i="1"/>
  <c r="AC5" i="1" s="1"/>
  <c r="S4" i="1"/>
  <c r="AC4" i="1" s="1"/>
  <c r="S3" i="1"/>
  <c r="AC3" i="1" s="1"/>
  <c r="S2" i="1"/>
  <c r="AB2" i="1" l="1"/>
  <c r="AH3" i="1"/>
  <c r="N5" i="6"/>
  <c r="N5" i="4"/>
  <c r="V630" i="1" l="1"/>
  <c r="V624" i="1"/>
  <c r="V639" i="1"/>
  <c r="V615" i="1"/>
  <c r="V635" i="1"/>
  <c r="X635" i="1" s="1"/>
  <c r="V629" i="1"/>
  <c r="V623" i="1"/>
  <c r="X623" i="1" s="1"/>
  <c r="V625" i="1"/>
  <c r="X625" i="1" s="1"/>
  <c r="V616" i="1"/>
  <c r="X616" i="1" s="1"/>
  <c r="V641" i="1"/>
  <c r="V622" i="1"/>
  <c r="X622" i="1" s="1"/>
  <c r="V637" i="1"/>
  <c r="X637" i="1" s="1"/>
  <c r="V613" i="1"/>
  <c r="X613" i="1" s="1"/>
  <c r="V640" i="1"/>
  <c r="V619" i="1"/>
  <c r="X619" i="1" s="1"/>
  <c r="V620" i="1"/>
  <c r="X620" i="1" s="1"/>
  <c r="V618" i="1"/>
  <c r="V617" i="1"/>
  <c r="X617" i="1" s="1"/>
  <c r="V642" i="1"/>
  <c r="X642" i="1" s="1"/>
  <c r="V627" i="1"/>
  <c r="X627" i="1" s="1"/>
  <c r="V632" i="1"/>
  <c r="X632" i="1" s="1"/>
  <c r="V631" i="1"/>
  <c r="X631" i="1" s="1"/>
  <c r="V626" i="1"/>
  <c r="X626" i="1" s="1"/>
  <c r="V638" i="1"/>
  <c r="X638" i="1" s="1"/>
  <c r="V634" i="1"/>
  <c r="V621" i="1"/>
  <c r="V636" i="1"/>
  <c r="V633" i="1"/>
  <c r="X633" i="1" s="1"/>
  <c r="V612" i="1"/>
  <c r="X612" i="1" s="1"/>
  <c r="V614" i="1"/>
  <c r="X614" i="1" s="1"/>
  <c r="V628" i="1"/>
  <c r="V601" i="1"/>
  <c r="V592" i="1"/>
  <c r="V587" i="1"/>
  <c r="V591" i="1"/>
  <c r="X591" i="1" s="1"/>
  <c r="V607" i="1"/>
  <c r="X607" i="1" s="1"/>
  <c r="V604" i="1"/>
  <c r="X604" i="1" s="1"/>
  <c r="V588" i="1"/>
  <c r="X588" i="1" s="1"/>
  <c r="V605" i="1"/>
  <c r="X605" i="1" s="1"/>
  <c r="V596" i="1"/>
  <c r="V593" i="1"/>
  <c r="X593" i="1" s="1"/>
  <c r="V608" i="1"/>
  <c r="X608" i="1" s="1"/>
  <c r="V586" i="1"/>
  <c r="X586" i="1" s="1"/>
  <c r="V585" i="1"/>
  <c r="V597" i="1"/>
  <c r="X597" i="1" s="1"/>
  <c r="V589" i="1"/>
  <c r="V594" i="1"/>
  <c r="X594" i="1" s="1"/>
  <c r="V590" i="1"/>
  <c r="X590" i="1" s="1"/>
  <c r="V610" i="1"/>
  <c r="X610" i="1" s="1"/>
  <c r="V584" i="1"/>
  <c r="X584" i="1" s="1"/>
  <c r="V609" i="1"/>
  <c r="X609" i="1" s="1"/>
  <c r="V598" i="1"/>
  <c r="X598" i="1" s="1"/>
  <c r="V595" i="1"/>
  <c r="V602" i="1"/>
  <c r="X602" i="1" s="1"/>
  <c r="V599" i="1"/>
  <c r="V603" i="1"/>
  <c r="V582" i="1"/>
  <c r="V583" i="1"/>
  <c r="V606" i="1"/>
  <c r="V600" i="1"/>
  <c r="V560" i="1"/>
  <c r="X560" i="1" s="1"/>
  <c r="V551" i="1"/>
  <c r="X551" i="1" s="1"/>
  <c r="V554" i="1"/>
  <c r="X554" i="1" s="1"/>
  <c r="V572" i="1"/>
  <c r="V573" i="1"/>
  <c r="V568" i="1"/>
  <c r="X568" i="1" s="1"/>
  <c r="V558" i="1"/>
  <c r="X558" i="1" s="1"/>
  <c r="V559" i="1"/>
  <c r="X559" i="1" s="1"/>
  <c r="V577" i="1"/>
  <c r="X577" i="1" s="1"/>
  <c r="V578" i="1"/>
  <c r="X578" i="1" s="1"/>
  <c r="V574" i="1"/>
  <c r="X574" i="1" s="1"/>
  <c r="V579" i="1"/>
  <c r="X579" i="1" s="1"/>
  <c r="V561" i="1"/>
  <c r="V567" i="1"/>
  <c r="X567" i="1" s="1"/>
  <c r="V564" i="1"/>
  <c r="X564" i="1" s="1"/>
  <c r="V562" i="1"/>
  <c r="X562" i="1" s="1"/>
  <c r="V575" i="1"/>
  <c r="V555" i="1"/>
  <c r="V552" i="1"/>
  <c r="V563" i="1"/>
  <c r="X563" i="1" s="1"/>
  <c r="V571" i="1"/>
  <c r="X571" i="1" s="1"/>
  <c r="V549" i="1"/>
  <c r="X549" i="1" s="1"/>
  <c r="V556" i="1"/>
  <c r="X556" i="1" s="1"/>
  <c r="V550" i="1"/>
  <c r="V570" i="1"/>
  <c r="X570" i="1" s="1"/>
  <c r="V557" i="1"/>
  <c r="X557" i="1" s="1"/>
  <c r="V566" i="1"/>
  <c r="X566" i="1" s="1"/>
  <c r="V569" i="1"/>
  <c r="V548" i="1"/>
  <c r="X548" i="1" s="1"/>
  <c r="V576" i="1"/>
  <c r="V580" i="1"/>
  <c r="V547" i="1"/>
  <c r="V553" i="1"/>
  <c r="V565" i="1"/>
  <c r="V529" i="1"/>
  <c r="X529" i="1" s="1"/>
  <c r="V527" i="1"/>
  <c r="X527" i="1" s="1"/>
  <c r="V535" i="1"/>
  <c r="V536" i="1"/>
  <c r="V519" i="1"/>
  <c r="X519" i="1" s="1"/>
  <c r="V525" i="1"/>
  <c r="X525" i="1" s="1"/>
  <c r="V523" i="1"/>
  <c r="V543" i="1"/>
  <c r="X543" i="1" s="1"/>
  <c r="V544" i="1"/>
  <c r="X544" i="1" s="1"/>
  <c r="V545" i="1"/>
  <c r="V538" i="1"/>
  <c r="X538" i="1" s="1"/>
  <c r="V541" i="1"/>
  <c r="X541" i="1" s="1"/>
  <c r="V524" i="1"/>
  <c r="V530" i="1"/>
  <c r="X530" i="1" s="1"/>
  <c r="V521" i="1"/>
  <c r="X521" i="1" s="1"/>
  <c r="V518" i="1"/>
  <c r="X518" i="1" s="1"/>
  <c r="V540" i="1"/>
  <c r="V537" i="1"/>
  <c r="X537" i="1" s="1"/>
  <c r="V533" i="1"/>
  <c r="X533" i="1" s="1"/>
  <c r="V532" i="1"/>
  <c r="X532" i="1" s="1"/>
  <c r="V513" i="1"/>
  <c r="X513" i="1" s="1"/>
  <c r="V522" i="1"/>
  <c r="X522" i="1" s="1"/>
  <c r="V542" i="1"/>
  <c r="X542" i="1" s="1"/>
  <c r="V520" i="1"/>
  <c r="V517" i="1"/>
  <c r="X517" i="1" s="1"/>
  <c r="V539" i="1"/>
  <c r="V531" i="1"/>
  <c r="X531" i="1" s="1"/>
  <c r="V516" i="1"/>
  <c r="V534" i="1"/>
  <c r="V526" i="1"/>
  <c r="V528" i="1"/>
  <c r="X528" i="1" s="1"/>
  <c r="V515" i="1"/>
  <c r="V512" i="1"/>
  <c r="V514" i="1"/>
  <c r="V485" i="1"/>
  <c r="X485" i="1" s="1"/>
  <c r="V483" i="1"/>
  <c r="X483" i="1" s="1"/>
  <c r="V497" i="1"/>
  <c r="X497" i="1" s="1"/>
  <c r="V475" i="1"/>
  <c r="X475" i="1" s="1"/>
  <c r="V488" i="1"/>
  <c r="X488" i="1" s="1"/>
  <c r="V499" i="1"/>
  <c r="X499" i="1" s="1"/>
  <c r="V484" i="1"/>
  <c r="X484" i="1" s="1"/>
  <c r="V508" i="1"/>
  <c r="X508" i="1" s="1"/>
  <c r="V498" i="1"/>
  <c r="X498" i="1" s="1"/>
  <c r="V473" i="1"/>
  <c r="X473" i="1" s="1"/>
  <c r="V507" i="1"/>
  <c r="V504" i="1"/>
  <c r="X504" i="1" s="1"/>
  <c r="V492" i="1"/>
  <c r="X492" i="1" s="1"/>
  <c r="V487" i="1"/>
  <c r="X487" i="1" s="1"/>
  <c r="V493" i="1"/>
  <c r="X493" i="1" s="1"/>
  <c r="V500" i="1"/>
  <c r="V489" i="1"/>
  <c r="X489" i="1" s="1"/>
  <c r="V491" i="1"/>
  <c r="X491" i="1" s="1"/>
  <c r="V486" i="1"/>
  <c r="X486" i="1" s="1"/>
  <c r="V476" i="1"/>
  <c r="V501" i="1"/>
  <c r="X501" i="1" s="1"/>
  <c r="V472" i="1"/>
  <c r="X472" i="1" s="1"/>
  <c r="V502" i="1"/>
  <c r="V479" i="1"/>
  <c r="V482" i="1"/>
  <c r="X482" i="1" s="1"/>
  <c r="V481" i="1"/>
  <c r="X481" i="1" s="1"/>
  <c r="V478" i="1"/>
  <c r="X478" i="1" s="1"/>
  <c r="V494" i="1"/>
  <c r="V490" i="1"/>
  <c r="X490" i="1" s="1"/>
  <c r="V496" i="1"/>
  <c r="X496" i="1" s="1"/>
  <c r="V477" i="1"/>
  <c r="X477" i="1" s="1"/>
  <c r="V505" i="1"/>
  <c r="X505" i="1" s="1"/>
  <c r="V506" i="1"/>
  <c r="X506" i="1" s="1"/>
  <c r="V474" i="1"/>
  <c r="X474" i="1" s="1"/>
  <c r="V480" i="1"/>
  <c r="V503" i="1"/>
  <c r="V509" i="1"/>
  <c r="V510" i="1"/>
  <c r="V495" i="1"/>
  <c r="V442" i="1"/>
  <c r="V453" i="1"/>
  <c r="X453" i="1" s="1"/>
  <c r="V454" i="1"/>
  <c r="X454" i="1" s="1"/>
  <c r="V434" i="1"/>
  <c r="X434" i="1" s="1"/>
  <c r="V447" i="1"/>
  <c r="X447" i="1" s="1"/>
  <c r="V458" i="1"/>
  <c r="X458" i="1" s="1"/>
  <c r="V443" i="1"/>
  <c r="X443" i="1" s="1"/>
  <c r="V460" i="1"/>
  <c r="X460" i="1" s="1"/>
  <c r="V468" i="1"/>
  <c r="X468" i="1" s="1"/>
  <c r="V470" i="1"/>
  <c r="X470" i="1" s="1"/>
  <c r="V456" i="1"/>
  <c r="V435" i="1"/>
  <c r="V467" i="1"/>
  <c r="X467" i="1" s="1"/>
  <c r="V463" i="1"/>
  <c r="X463" i="1" s="1"/>
  <c r="V450" i="1"/>
  <c r="X450" i="1" s="1"/>
  <c r="V444" i="1"/>
  <c r="X444" i="1" s="1"/>
  <c r="V438" i="1"/>
  <c r="X438" i="1" s="1"/>
  <c r="V449" i="1"/>
  <c r="X449" i="1" s="1"/>
  <c r="V457" i="1"/>
  <c r="X457" i="1" s="1"/>
  <c r="V448" i="1"/>
  <c r="X448" i="1" s="1"/>
  <c r="V451" i="1"/>
  <c r="X451" i="1" s="1"/>
  <c r="V445" i="1"/>
  <c r="X445" i="1" s="1"/>
  <c r="V436" i="1"/>
  <c r="X436" i="1" s="1"/>
  <c r="V459" i="1"/>
  <c r="X459" i="1" s="1"/>
  <c r="V446" i="1"/>
  <c r="X446" i="1" s="1"/>
  <c r="V433" i="1"/>
  <c r="X433" i="1" s="1"/>
  <c r="V461" i="1"/>
  <c r="V439" i="1"/>
  <c r="X439" i="1" s="1"/>
  <c r="V437" i="1"/>
  <c r="X437" i="1" s="1"/>
  <c r="V452" i="1"/>
  <c r="X452" i="1" s="1"/>
  <c r="V440" i="1"/>
  <c r="X440" i="1" s="1"/>
  <c r="V464" i="1"/>
  <c r="X464" i="1" s="1"/>
  <c r="V465" i="1"/>
  <c r="V441" i="1"/>
  <c r="V462" i="1"/>
  <c r="V466" i="1"/>
  <c r="X466" i="1" s="1"/>
  <c r="V469" i="1"/>
  <c r="V455" i="1"/>
  <c r="X455" i="1" s="1"/>
  <c r="V430" i="1"/>
  <c r="X430" i="1" s="1"/>
  <c r="V396" i="1"/>
  <c r="V403" i="1"/>
  <c r="V406" i="1"/>
  <c r="X406" i="1" s="1"/>
  <c r="V394" i="1"/>
  <c r="X394" i="1" s="1"/>
  <c r="V426" i="1"/>
  <c r="X426" i="1" s="1"/>
  <c r="V409" i="1"/>
  <c r="V415" i="1"/>
  <c r="X415" i="1" s="1"/>
  <c r="V416" i="1"/>
  <c r="V408" i="1"/>
  <c r="X408" i="1" s="1"/>
  <c r="V402" i="1"/>
  <c r="X402" i="1" s="1"/>
  <c r="V399" i="1"/>
  <c r="X399" i="1" s="1"/>
  <c r="V420" i="1"/>
  <c r="X420" i="1" s="1"/>
  <c r="V417" i="1"/>
  <c r="V405" i="1"/>
  <c r="V400" i="1"/>
  <c r="X400" i="1" s="1"/>
  <c r="V407" i="1"/>
  <c r="V418" i="1"/>
  <c r="V413" i="1"/>
  <c r="X413" i="1" s="1"/>
  <c r="V411" i="1"/>
  <c r="X411" i="1" s="1"/>
  <c r="V419" i="1"/>
  <c r="X419" i="1" s="1"/>
  <c r="V427" i="1"/>
  <c r="X427" i="1" s="1"/>
  <c r="V421" i="1"/>
  <c r="V425" i="1"/>
  <c r="X425" i="1" s="1"/>
  <c r="V423" i="1"/>
  <c r="V401" i="1"/>
  <c r="V404" i="1"/>
  <c r="X404" i="1" s="1"/>
  <c r="V398" i="1"/>
  <c r="X398" i="1" s="1"/>
  <c r="V414" i="1"/>
  <c r="X414" i="1" s="1"/>
  <c r="V412" i="1"/>
  <c r="X412" i="1" s="1"/>
  <c r="V424" i="1"/>
  <c r="V428" i="1"/>
  <c r="X428" i="1" s="1"/>
  <c r="V395" i="1"/>
  <c r="X395" i="1" s="1"/>
  <c r="V422" i="1"/>
  <c r="X422" i="1" s="1"/>
  <c r="V429" i="1"/>
  <c r="X429" i="1" s="1"/>
  <c r="V393" i="1"/>
  <c r="X393" i="1" s="1"/>
  <c r="V431" i="1"/>
  <c r="X431" i="1" s="1"/>
  <c r="V397" i="1"/>
  <c r="V410" i="1"/>
  <c r="V383" i="1"/>
  <c r="X383" i="1" s="1"/>
  <c r="V384" i="1"/>
  <c r="V381" i="1"/>
  <c r="X381" i="1" s="1"/>
  <c r="V391" i="1"/>
  <c r="X391" i="1" s="1"/>
  <c r="V375" i="1"/>
  <c r="X375" i="1" s="1"/>
  <c r="V378" i="1"/>
  <c r="V382" i="1"/>
  <c r="X382" i="1" s="1"/>
  <c r="V389" i="1"/>
  <c r="X389" i="1" s="1"/>
  <c r="V387" i="1"/>
  <c r="X387" i="1" s="1"/>
  <c r="V377" i="1"/>
  <c r="V376" i="1"/>
  <c r="V390" i="1"/>
  <c r="X390" i="1" s="1"/>
  <c r="V379" i="1"/>
  <c r="X379" i="1" s="1"/>
  <c r="V380" i="1"/>
  <c r="V388" i="1"/>
  <c r="X388" i="1" s="1"/>
  <c r="V386" i="1"/>
  <c r="X386" i="1" s="1"/>
  <c r="V385" i="1"/>
  <c r="X385" i="1" s="1"/>
  <c r="V368" i="1"/>
  <c r="X368" i="1" s="1"/>
  <c r="V373" i="1"/>
  <c r="V359" i="1"/>
  <c r="X359" i="1" s="1"/>
  <c r="V362" i="1"/>
  <c r="X362" i="1" s="1"/>
  <c r="V372" i="1"/>
  <c r="V364" i="1"/>
  <c r="X364" i="1" s="1"/>
  <c r="V365" i="1"/>
  <c r="X365" i="1" s="1"/>
  <c r="V366" i="1"/>
  <c r="X366" i="1" s="1"/>
  <c r="V370" i="1"/>
  <c r="V363" i="1"/>
  <c r="V361" i="1"/>
  <c r="V371" i="1"/>
  <c r="X371" i="1" s="1"/>
  <c r="V360" i="1"/>
  <c r="X360" i="1" s="1"/>
  <c r="V367" i="1"/>
  <c r="X367" i="1" s="1"/>
  <c r="V369" i="1"/>
  <c r="X369" i="1" s="1"/>
  <c r="V343" i="1"/>
  <c r="V337" i="1"/>
  <c r="V356" i="1"/>
  <c r="V357" i="1"/>
  <c r="X357" i="1" s="1"/>
  <c r="V321" i="1"/>
  <c r="X321" i="1" s="1"/>
  <c r="V355" i="1"/>
  <c r="X355" i="1" s="1"/>
  <c r="V334" i="1"/>
  <c r="V331" i="1"/>
  <c r="X331" i="1" s="1"/>
  <c r="V327" i="1"/>
  <c r="X327" i="1" s="1"/>
  <c r="V330" i="1"/>
  <c r="X330" i="1" s="1"/>
  <c r="V344" i="1"/>
  <c r="X344" i="1" s="1"/>
  <c r="V349" i="1"/>
  <c r="X349" i="1" s="1"/>
  <c r="V354" i="1"/>
  <c r="V332" i="1"/>
  <c r="X332" i="1" s="1"/>
  <c r="V350" i="1"/>
  <c r="X350" i="1" s="1"/>
  <c r="V328" i="1"/>
  <c r="V333" i="1"/>
  <c r="X333" i="1" s="1"/>
  <c r="V324" i="1"/>
  <c r="V326" i="1"/>
  <c r="V339" i="1"/>
  <c r="X339" i="1" s="1"/>
  <c r="V338" i="1"/>
  <c r="V325" i="1"/>
  <c r="X325" i="1" s="1"/>
  <c r="V323" i="1"/>
  <c r="X323" i="1" s="1"/>
  <c r="V336" i="1"/>
  <c r="X336" i="1" s="1"/>
  <c r="V345" i="1"/>
  <c r="X345" i="1" s="1"/>
  <c r="V341" i="1"/>
  <c r="X341" i="1" s="1"/>
  <c r="V329" i="1"/>
  <c r="V353" i="1"/>
  <c r="X353" i="1" s="1"/>
  <c r="V348" i="1"/>
  <c r="V352" i="1"/>
  <c r="V351" i="1"/>
  <c r="X351" i="1" s="1"/>
  <c r="V346" i="1"/>
  <c r="X346" i="1" s="1"/>
  <c r="V342" i="1"/>
  <c r="V347" i="1"/>
  <c r="V322" i="1"/>
  <c r="V335" i="1"/>
  <c r="V340" i="1"/>
  <c r="X340" i="1" s="1"/>
  <c r="V319" i="1"/>
  <c r="X319" i="1" s="1"/>
  <c r="V289" i="1"/>
  <c r="V317" i="1"/>
  <c r="X317" i="1" s="1"/>
  <c r="V304" i="1"/>
  <c r="X304" i="1" s="1"/>
  <c r="V308" i="1"/>
  <c r="X308" i="1" s="1"/>
  <c r="V309" i="1"/>
  <c r="X309" i="1" s="1"/>
  <c r="V314" i="1"/>
  <c r="X314" i="1" s="1"/>
  <c r="V307" i="1"/>
  <c r="X307" i="1" s="1"/>
  <c r="V297" i="1"/>
  <c r="X297" i="1" s="1"/>
  <c r="V292" i="1"/>
  <c r="X292" i="1" s="1"/>
  <c r="V310" i="1"/>
  <c r="V303" i="1"/>
  <c r="X303" i="1" s="1"/>
  <c r="V316" i="1"/>
  <c r="X316" i="1" s="1"/>
  <c r="V290" i="1"/>
  <c r="V313" i="1"/>
  <c r="X313" i="1" s="1"/>
  <c r="V300" i="1"/>
  <c r="X300" i="1" s="1"/>
  <c r="V302" i="1"/>
  <c r="X302" i="1" s="1"/>
  <c r="V293" i="1"/>
  <c r="X293" i="1" s="1"/>
  <c r="V305" i="1"/>
  <c r="X305" i="1" s="1"/>
  <c r="V306" i="1"/>
  <c r="X306" i="1" s="1"/>
  <c r="V312" i="1"/>
  <c r="V301" i="1"/>
  <c r="X301" i="1" s="1"/>
  <c r="V296" i="1"/>
  <c r="X296" i="1" s="1"/>
  <c r="V298" i="1"/>
  <c r="X298" i="1" s="1"/>
  <c r="V318" i="1"/>
  <c r="X318" i="1" s="1"/>
  <c r="V315" i="1"/>
  <c r="V291" i="1"/>
  <c r="X291" i="1" s="1"/>
  <c r="V295" i="1"/>
  <c r="V294" i="1"/>
  <c r="X294" i="1" s="1"/>
  <c r="V311" i="1"/>
  <c r="V299" i="1"/>
  <c r="V265" i="1"/>
  <c r="X265" i="1" s="1"/>
  <c r="V284" i="1"/>
  <c r="V248" i="1"/>
  <c r="V274" i="1"/>
  <c r="V277" i="1"/>
  <c r="X277" i="1" s="1"/>
  <c r="V253" i="1"/>
  <c r="X253" i="1" s="1"/>
  <c r="V257" i="1"/>
  <c r="V254" i="1"/>
  <c r="V249" i="1"/>
  <c r="V285" i="1"/>
  <c r="X285" i="1" s="1"/>
  <c r="V250" i="1"/>
  <c r="V247" i="1"/>
  <c r="V259" i="1"/>
  <c r="X259" i="1" s="1"/>
  <c r="V278" i="1"/>
  <c r="V263" i="1"/>
  <c r="X263" i="1" s="1"/>
  <c r="V264" i="1"/>
  <c r="X264" i="1" s="1"/>
  <c r="V281" i="1"/>
  <c r="X281" i="1" s="1"/>
  <c r="V282" i="1"/>
  <c r="X282" i="1" s="1"/>
  <c r="V266" i="1"/>
  <c r="X266" i="1" s="1"/>
  <c r="V280" i="1"/>
  <c r="X280" i="1" s="1"/>
  <c r="V261" i="1"/>
  <c r="X261" i="1" s="1"/>
  <c r="V255" i="1"/>
  <c r="X255" i="1" s="1"/>
  <c r="V286" i="1"/>
  <c r="V246" i="1"/>
  <c r="V269" i="1"/>
  <c r="V267" i="1"/>
  <c r="V260" i="1"/>
  <c r="X260" i="1" s="1"/>
  <c r="V268" i="1"/>
  <c r="X268" i="1" s="1"/>
  <c r="V272" i="1"/>
  <c r="X272" i="1" s="1"/>
  <c r="V273" i="1"/>
  <c r="V283" i="1"/>
  <c r="V275" i="1"/>
  <c r="X275" i="1" s="1"/>
  <c r="V256" i="1"/>
  <c r="X256" i="1" s="1"/>
  <c r="V252" i="1"/>
  <c r="V270" i="1"/>
  <c r="X270" i="1" s="1"/>
  <c r="V262" i="1"/>
  <c r="X262" i="1" s="1"/>
  <c r="V271" i="1"/>
  <c r="V251" i="1"/>
  <c r="V287" i="1"/>
  <c r="V279" i="1"/>
  <c r="V276" i="1"/>
  <c r="V258" i="1"/>
  <c r="V217" i="1"/>
  <c r="V240" i="1"/>
  <c r="V215" i="1"/>
  <c r="X215" i="1" s="1"/>
  <c r="V235" i="1"/>
  <c r="X235" i="1" s="1"/>
  <c r="V216" i="1"/>
  <c r="X216" i="1" s="1"/>
  <c r="V223" i="1"/>
  <c r="X223" i="1" s="1"/>
  <c r="V230" i="1"/>
  <c r="V233" i="1"/>
  <c r="X233" i="1" s="1"/>
  <c r="V236" i="1"/>
  <c r="X236" i="1" s="1"/>
  <c r="V224" i="1"/>
  <c r="V220" i="1"/>
  <c r="V227" i="1"/>
  <c r="V232" i="1"/>
  <c r="X232" i="1" s="1"/>
  <c r="V242" i="1"/>
  <c r="X242" i="1" s="1"/>
  <c r="V214" i="1"/>
  <c r="X214" i="1" s="1"/>
  <c r="V219" i="1"/>
  <c r="X219" i="1" s="1"/>
  <c r="V218" i="1"/>
  <c r="X218" i="1" s="1"/>
  <c r="V213" i="1"/>
  <c r="X213" i="1" s="1"/>
  <c r="V229" i="1"/>
  <c r="V225" i="1"/>
  <c r="V228" i="1"/>
  <c r="V234" i="1"/>
  <c r="X234" i="1" s="1"/>
  <c r="V241" i="1"/>
  <c r="X241" i="1" s="1"/>
  <c r="V238" i="1"/>
  <c r="X238" i="1" s="1"/>
  <c r="V221" i="1"/>
  <c r="X221" i="1" s="1"/>
  <c r="V243" i="1"/>
  <c r="X243" i="1" s="1"/>
  <c r="V237" i="1"/>
  <c r="V222" i="1"/>
  <c r="X222" i="1" s="1"/>
  <c r="V231" i="1"/>
  <c r="V244" i="1"/>
  <c r="X244" i="1" s="1"/>
  <c r="V239" i="1"/>
  <c r="X239" i="1" s="1"/>
  <c r="V226" i="1"/>
  <c r="V199" i="1"/>
  <c r="X199" i="1" s="1"/>
  <c r="V192" i="1"/>
  <c r="X192" i="1" s="1"/>
  <c r="V201" i="1"/>
  <c r="X201" i="1" s="1"/>
  <c r="V208" i="1"/>
  <c r="X208" i="1" s="1"/>
  <c r="V188" i="1"/>
  <c r="V186" i="1"/>
  <c r="V193" i="1"/>
  <c r="X193" i="1" s="1"/>
  <c r="V198" i="1"/>
  <c r="X198" i="1" s="1"/>
  <c r="V187" i="1"/>
  <c r="X187" i="1" s="1"/>
  <c r="V203" i="1"/>
  <c r="X203" i="1" s="1"/>
  <c r="V205" i="1"/>
  <c r="X205" i="1" s="1"/>
  <c r="V195" i="1"/>
  <c r="X195" i="1" s="1"/>
  <c r="V210" i="1"/>
  <c r="X210" i="1" s="1"/>
  <c r="V185" i="1"/>
  <c r="X185" i="1" s="1"/>
  <c r="V190" i="1"/>
  <c r="X190" i="1" s="1"/>
  <c r="V191" i="1"/>
  <c r="X191" i="1" s="1"/>
  <c r="V189" i="1"/>
  <c r="X189" i="1" s="1"/>
  <c r="V197" i="1"/>
  <c r="V211" i="1"/>
  <c r="X211" i="1" s="1"/>
  <c r="V184" i="1"/>
  <c r="V209" i="1"/>
  <c r="V196" i="1"/>
  <c r="X196" i="1" s="1"/>
  <c r="V200" i="1"/>
  <c r="X200" i="1" s="1"/>
  <c r="V204" i="1"/>
  <c r="X204" i="1" s="1"/>
  <c r="V207" i="1"/>
  <c r="X207" i="1" s="1"/>
  <c r="V202" i="1"/>
  <c r="X202" i="1" s="1"/>
  <c r="V206" i="1"/>
  <c r="V194" i="1"/>
  <c r="V144" i="1"/>
  <c r="X144" i="1" s="1"/>
  <c r="V177" i="1"/>
  <c r="X177" i="1" s="1"/>
  <c r="V165" i="1"/>
  <c r="X165" i="1" s="1"/>
  <c r="V153" i="1"/>
  <c r="X153" i="1" s="1"/>
  <c r="V140" i="1"/>
  <c r="X140" i="1" s="1"/>
  <c r="V172" i="1"/>
  <c r="X172" i="1" s="1"/>
  <c r="V147" i="1"/>
  <c r="X147" i="1" s="1"/>
  <c r="V145" i="1"/>
  <c r="V149" i="1"/>
  <c r="V161" i="1"/>
  <c r="X161" i="1" s="1"/>
  <c r="V178" i="1"/>
  <c r="X178" i="1" s="1"/>
  <c r="V164" i="1"/>
  <c r="X164" i="1" s="1"/>
  <c r="V174" i="1"/>
  <c r="X174" i="1" s="1"/>
  <c r="V175" i="1"/>
  <c r="V141" i="1"/>
  <c r="V139" i="1"/>
  <c r="X139" i="1" s="1"/>
  <c r="V156" i="1"/>
  <c r="V160" i="1"/>
  <c r="X160" i="1" s="1"/>
  <c r="V176" i="1"/>
  <c r="X176" i="1" s="1"/>
  <c r="V171" i="1"/>
  <c r="X171" i="1" s="1"/>
  <c r="V158" i="1"/>
  <c r="X158" i="1" s="1"/>
  <c r="V148" i="1"/>
  <c r="X148" i="1" s="1"/>
  <c r="V151" i="1"/>
  <c r="X151" i="1" s="1"/>
  <c r="V152" i="1"/>
  <c r="V180" i="1"/>
  <c r="V179" i="1"/>
  <c r="X179" i="1" s="1"/>
  <c r="V181" i="1"/>
  <c r="X181" i="1" s="1"/>
  <c r="V173" i="1"/>
  <c r="X173" i="1" s="1"/>
  <c r="V182" i="1"/>
  <c r="X182" i="1" s="1"/>
  <c r="V138" i="1"/>
  <c r="X138" i="1" s="1"/>
  <c r="V167" i="1"/>
  <c r="X167" i="1" s="1"/>
  <c r="V168" i="1"/>
  <c r="X168" i="1" s="1"/>
  <c r="V163" i="1"/>
  <c r="V166" i="1"/>
  <c r="X166" i="1" s="1"/>
  <c r="V142" i="1"/>
  <c r="V150" i="1"/>
  <c r="V143" i="1"/>
  <c r="X143" i="1" s="1"/>
  <c r="V169" i="1"/>
  <c r="X169" i="1" s="1"/>
  <c r="V157" i="1"/>
  <c r="X157" i="1" s="1"/>
  <c r="V155" i="1"/>
  <c r="X155" i="1" s="1"/>
  <c r="V154" i="1"/>
  <c r="V170" i="1"/>
  <c r="V146" i="1"/>
  <c r="X146" i="1" s="1"/>
  <c r="V159" i="1"/>
  <c r="X159" i="1" s="1"/>
  <c r="V162" i="1"/>
  <c r="V121" i="1"/>
  <c r="X121" i="1" s="1"/>
  <c r="V120" i="1"/>
  <c r="X120" i="1" s="1"/>
  <c r="V127" i="1"/>
  <c r="X127" i="1" s="1"/>
  <c r="V132" i="1"/>
  <c r="X132" i="1" s="1"/>
  <c r="V129" i="1"/>
  <c r="V130" i="1"/>
  <c r="V122" i="1"/>
  <c r="X122" i="1" s="1"/>
  <c r="V131" i="1"/>
  <c r="V134" i="1"/>
  <c r="X134" i="1" s="1"/>
  <c r="V118" i="1"/>
  <c r="X118" i="1" s="1"/>
  <c r="V115" i="1"/>
  <c r="X115" i="1" s="1"/>
  <c r="V128" i="1"/>
  <c r="V126" i="1"/>
  <c r="X126" i="1" s="1"/>
  <c r="V119" i="1"/>
  <c r="X119" i="1" s="1"/>
  <c r="V133" i="1"/>
  <c r="X133" i="1" s="1"/>
  <c r="V135" i="1"/>
  <c r="X135" i="1" s="1"/>
  <c r="V116" i="1"/>
  <c r="X116" i="1" s="1"/>
  <c r="V123" i="1"/>
  <c r="X123" i="1" s="1"/>
  <c r="V124" i="1"/>
  <c r="X124" i="1" s="1"/>
  <c r="V114" i="1"/>
  <c r="X114" i="1" s="1"/>
  <c r="V136" i="1"/>
  <c r="X136" i="1" s="1"/>
  <c r="V117" i="1"/>
  <c r="X117" i="1" s="1"/>
  <c r="V125" i="1"/>
  <c r="X125" i="1" s="1"/>
  <c r="V91" i="1"/>
  <c r="X91" i="1" s="1"/>
  <c r="V100" i="1"/>
  <c r="V109" i="1"/>
  <c r="V110" i="1"/>
  <c r="X110" i="1" s="1"/>
  <c r="V93" i="1"/>
  <c r="X93" i="1" s="1"/>
  <c r="V111" i="1"/>
  <c r="X111" i="1" s="1"/>
  <c r="V89" i="1"/>
  <c r="X89" i="1" s="1"/>
  <c r="V92" i="1"/>
  <c r="X92" i="1" s="1"/>
  <c r="V112" i="1"/>
  <c r="V86" i="1"/>
  <c r="X86" i="1" s="1"/>
  <c r="V87" i="1"/>
  <c r="X87" i="1" s="1"/>
  <c r="V96" i="1"/>
  <c r="X96" i="1" s="1"/>
  <c r="V95" i="1"/>
  <c r="X95" i="1" s="1"/>
  <c r="V97" i="1"/>
  <c r="X97" i="1" s="1"/>
  <c r="V107" i="1"/>
  <c r="X107" i="1" s="1"/>
  <c r="V102" i="1"/>
  <c r="X102" i="1" s="1"/>
  <c r="V98" i="1"/>
  <c r="X98" i="1" s="1"/>
  <c r="V94" i="1"/>
  <c r="X94" i="1" s="1"/>
  <c r="V108" i="1"/>
  <c r="X108" i="1" s="1"/>
  <c r="V90" i="1"/>
  <c r="X90" i="1" s="1"/>
  <c r="V88" i="1"/>
  <c r="X88" i="1" s="1"/>
  <c r="V105" i="1"/>
  <c r="X105" i="1" s="1"/>
  <c r="V106" i="1"/>
  <c r="V101" i="1"/>
  <c r="X101" i="1" s="1"/>
  <c r="V104" i="1"/>
  <c r="V103" i="1"/>
  <c r="V99" i="1"/>
  <c r="V74" i="1"/>
  <c r="V76" i="1"/>
  <c r="X76" i="1" s="1"/>
  <c r="V77" i="1"/>
  <c r="X77" i="1" s="1"/>
  <c r="V68" i="1"/>
  <c r="V82" i="1"/>
  <c r="X82" i="1" s="1"/>
  <c r="V83" i="1"/>
  <c r="X83" i="1" s="1"/>
  <c r="V78" i="1"/>
  <c r="X78" i="1" s="1"/>
  <c r="V62" i="1"/>
  <c r="V81" i="1"/>
  <c r="X81" i="1" s="1"/>
  <c r="V70" i="1"/>
  <c r="V65" i="1"/>
  <c r="X65" i="1" s="1"/>
  <c r="V66" i="1"/>
  <c r="X66" i="1" s="1"/>
  <c r="V67" i="1"/>
  <c r="X67" i="1" s="1"/>
  <c r="V69" i="1"/>
  <c r="X69" i="1" s="1"/>
  <c r="V80" i="1"/>
  <c r="X80" i="1" s="1"/>
  <c r="V59" i="1"/>
  <c r="V79" i="1"/>
  <c r="X79" i="1" s="1"/>
  <c r="V61" i="1"/>
  <c r="X61" i="1" s="1"/>
  <c r="V72" i="1"/>
  <c r="X72" i="1" s="1"/>
  <c r="V71" i="1"/>
  <c r="X71" i="1" s="1"/>
  <c r="V75" i="1"/>
  <c r="X75" i="1" s="1"/>
  <c r="V60" i="1"/>
  <c r="X60" i="1" s="1"/>
  <c r="V63" i="1"/>
  <c r="V64" i="1"/>
  <c r="V58" i="1"/>
  <c r="X58" i="1" s="1"/>
  <c r="V84" i="1"/>
  <c r="X84" i="1" s="1"/>
  <c r="V73" i="1"/>
  <c r="X73" i="1" s="1"/>
  <c r="V36" i="1"/>
  <c r="X36" i="1" s="1"/>
  <c r="V56" i="1"/>
  <c r="X56" i="1" s="1"/>
  <c r="V41" i="1"/>
  <c r="X41" i="1" s="1"/>
  <c r="V47" i="1"/>
  <c r="X47" i="1" s="1"/>
  <c r="V39" i="1"/>
  <c r="X39" i="1" s="1"/>
  <c r="V42" i="1"/>
  <c r="V37" i="1"/>
  <c r="V50" i="1"/>
  <c r="V44" i="1"/>
  <c r="V30" i="1"/>
  <c r="V52" i="1"/>
  <c r="V35" i="1"/>
  <c r="X35" i="1" s="1"/>
  <c r="V33" i="1"/>
  <c r="V34" i="1"/>
  <c r="X34" i="1" s="1"/>
  <c r="V43" i="1"/>
  <c r="X43" i="1" s="1"/>
  <c r="V31" i="1"/>
  <c r="X31" i="1" s="1"/>
  <c r="V38" i="1"/>
  <c r="X38" i="1" s="1"/>
  <c r="V49" i="1"/>
  <c r="X49" i="1" s="1"/>
  <c r="V48" i="1"/>
  <c r="V55" i="1"/>
  <c r="V51" i="1"/>
  <c r="V32" i="1"/>
  <c r="X32" i="1" s="1"/>
  <c r="V54" i="1"/>
  <c r="V53" i="1"/>
  <c r="V40" i="1"/>
  <c r="V46" i="1"/>
  <c r="X46" i="1" s="1"/>
  <c r="V45" i="1"/>
  <c r="R6" i="1"/>
  <c r="S6" i="1" s="1"/>
  <c r="AC6" i="1" s="1"/>
  <c r="V23" i="1"/>
  <c r="X23" i="1" s="1"/>
  <c r="V8" i="1"/>
  <c r="V27" i="1"/>
  <c r="X27" i="1" s="1"/>
  <c r="V25" i="1"/>
  <c r="X25" i="1" s="1"/>
  <c r="V18" i="1"/>
  <c r="X18" i="1" s="1"/>
  <c r="V13" i="1"/>
  <c r="V2" i="1"/>
  <c r="V3" i="1"/>
  <c r="V4" i="1"/>
  <c r="X4" i="1" s="1"/>
  <c r="V5" i="1"/>
  <c r="X5" i="1" s="1"/>
  <c r="V7" i="1"/>
  <c r="X7" i="1" s="1"/>
  <c r="V20" i="1"/>
  <c r="X20" i="1" s="1"/>
  <c r="V21" i="1"/>
  <c r="X21" i="1" s="1"/>
  <c r="V24" i="1"/>
  <c r="X24" i="1" s="1"/>
  <c r="V15" i="1"/>
  <c r="X15" i="1" s="1"/>
  <c r="V9" i="1"/>
  <c r="X9" i="1" s="1"/>
  <c r="V19" i="1"/>
  <c r="X19" i="1" s="1"/>
  <c r="V10" i="1"/>
  <c r="X10" i="1" s="1"/>
  <c r="V11" i="1"/>
  <c r="X11" i="1" s="1"/>
  <c r="V17" i="1"/>
  <c r="X17" i="1" s="1"/>
  <c r="V22" i="1"/>
  <c r="V12" i="1"/>
  <c r="V14" i="1"/>
  <c r="X14" i="1" s="1"/>
  <c r="V16" i="1"/>
  <c r="V26" i="1"/>
  <c r="V28" i="1"/>
  <c r="V6" i="1"/>
  <c r="X6" i="1" s="1"/>
  <c r="X3" i="1" l="1"/>
  <c r="AB449" i="1"/>
  <c r="AH563" i="1"/>
  <c r="AB528" i="1"/>
  <c r="AB282" i="1"/>
  <c r="AB593" i="1"/>
  <c r="AB181" i="1"/>
  <c r="AB419" i="1"/>
  <c r="AB531" i="1"/>
  <c r="AH266" i="1"/>
  <c r="AB549" i="1"/>
  <c r="AH340" i="1"/>
  <c r="X396" i="1"/>
  <c r="X601" i="1"/>
  <c r="AH522" i="1"/>
  <c r="AB253" i="1"/>
  <c r="AB323" i="1"/>
  <c r="AH584" i="1"/>
  <c r="AB371" i="1"/>
  <c r="AH532" i="1"/>
  <c r="AH365" i="1"/>
  <c r="AB174" i="1"/>
  <c r="AH385" i="1"/>
  <c r="AB427" i="1"/>
  <c r="AB571" i="1"/>
  <c r="AH467" i="1"/>
  <c r="X106" i="1"/>
  <c r="AH341" i="1"/>
  <c r="AB413" i="1"/>
  <c r="AH598" i="1"/>
  <c r="AH293" i="1"/>
  <c r="AB105" i="1"/>
  <c r="AB612" i="1"/>
  <c r="AB218" i="1"/>
  <c r="X573" i="1"/>
  <c r="AH36" i="1"/>
  <c r="X52" i="1"/>
  <c r="X112" i="1"/>
  <c r="X129" i="1"/>
  <c r="X418" i="1"/>
  <c r="AH336" i="1"/>
  <c r="AB635" i="1"/>
  <c r="X289" i="1"/>
  <c r="X596" i="1"/>
  <c r="AB132" i="1"/>
  <c r="X40" i="1"/>
  <c r="AH187" i="1"/>
  <c r="AB263" i="1"/>
  <c r="AH200" i="1"/>
  <c r="AH332" i="1"/>
  <c r="AH499" i="1"/>
  <c r="AH558" i="1"/>
  <c r="AB529" i="1"/>
  <c r="X100" i="1"/>
  <c r="X629" i="1"/>
  <c r="AB395" i="1"/>
  <c r="AH488" i="1"/>
  <c r="X33" i="1"/>
  <c r="AH205" i="1"/>
  <c r="AB353" i="1"/>
  <c r="AH431" i="1"/>
  <c r="X154" i="1"/>
  <c r="AH280" i="1"/>
  <c r="AB280" i="1"/>
  <c r="AB367" i="1"/>
  <c r="AH367" i="1"/>
  <c r="AH114" i="1"/>
  <c r="AB114" i="1"/>
  <c r="AB242" i="1"/>
  <c r="AH242" i="1"/>
  <c r="AH31" i="1"/>
  <c r="AB31" i="1"/>
  <c r="AH101" i="1"/>
  <c r="AB101" i="1"/>
  <c r="AB325" i="1"/>
  <c r="AH325" i="1"/>
  <c r="AH61" i="1"/>
  <c r="AB61" i="1"/>
  <c r="AH172" i="1"/>
  <c r="AB172" i="1"/>
  <c r="AH438" i="1"/>
  <c r="AB438" i="1"/>
  <c r="AB207" i="1"/>
  <c r="AH207" i="1"/>
  <c r="AH58" i="1"/>
  <c r="AB58" i="1"/>
  <c r="AB458" i="1"/>
  <c r="AH458" i="1"/>
  <c r="X50" i="1"/>
  <c r="X287" i="1"/>
  <c r="X326" i="1"/>
  <c r="X376" i="1"/>
  <c r="AB525" i="1"/>
  <c r="AH525" i="1"/>
  <c r="X636" i="1"/>
  <c r="X55" i="1"/>
  <c r="X128" i="1"/>
  <c r="X230" i="1"/>
  <c r="X251" i="1"/>
  <c r="AB304" i="1"/>
  <c r="AH304" i="1"/>
  <c r="X377" i="1"/>
  <c r="X410" i="1"/>
  <c r="X507" i="1"/>
  <c r="X539" i="1"/>
  <c r="AH604" i="1"/>
  <c r="AB604" i="1"/>
  <c r="X621" i="1"/>
  <c r="X59" i="1"/>
  <c r="AB59" i="1" s="1"/>
  <c r="X103" i="1"/>
  <c r="X283" i="1"/>
  <c r="X284" i="1"/>
  <c r="AB559" i="1"/>
  <c r="AH559" i="1"/>
  <c r="AB43" i="1"/>
  <c r="AH43" i="1"/>
  <c r="X54" i="1"/>
  <c r="X30" i="1"/>
  <c r="X104" i="1"/>
  <c r="X273" i="1"/>
  <c r="X384" i="1"/>
  <c r="AB443" i="1"/>
  <c r="AH443" i="1"/>
  <c r="AH543" i="1"/>
  <c r="AB543" i="1"/>
  <c r="X555" i="1"/>
  <c r="AH34" i="1"/>
  <c r="AB34" i="1"/>
  <c r="X8" i="1"/>
  <c r="X44" i="1"/>
  <c r="X64" i="1"/>
  <c r="X279" i="1"/>
  <c r="X247" i="1"/>
  <c r="X372" i="1"/>
  <c r="X523" i="1"/>
  <c r="AH633" i="1"/>
  <c r="AB633" i="1"/>
  <c r="X618" i="1"/>
  <c r="X63" i="1"/>
  <c r="R29" i="1"/>
  <c r="X271" i="1"/>
  <c r="X352" i="1"/>
  <c r="X397" i="1"/>
  <c r="AB557" i="1"/>
  <c r="AH557" i="1"/>
  <c r="AH262" i="1"/>
  <c r="AB262" i="1"/>
  <c r="X348" i="1"/>
  <c r="AB467" i="1"/>
  <c r="AB5" i="1"/>
  <c r="AH5" i="1"/>
  <c r="X310" i="1"/>
  <c r="X329" i="1"/>
  <c r="X494" i="1"/>
  <c r="X514" i="1"/>
  <c r="AB411" i="1"/>
  <c r="AH411" i="1"/>
  <c r="AH609" i="1"/>
  <c r="AB609" i="1"/>
  <c r="AH292" i="1"/>
  <c r="AB292" i="1"/>
  <c r="X53" i="1"/>
  <c r="AB213" i="1"/>
  <c r="AH213" i="1"/>
  <c r="AB317" i="1"/>
  <c r="AH317" i="1"/>
  <c r="X109" i="1"/>
  <c r="X149" i="1"/>
  <c r="X194" i="1"/>
  <c r="X197" i="1"/>
  <c r="X226" i="1"/>
  <c r="AH215" i="1"/>
  <c r="AB215" i="1"/>
  <c r="X315" i="1"/>
  <c r="X175" i="1"/>
  <c r="X22" i="1"/>
  <c r="X2" i="1"/>
  <c r="X37" i="1"/>
  <c r="X156" i="1"/>
  <c r="X145" i="1"/>
  <c r="X206" i="1"/>
  <c r="AB297" i="1"/>
  <c r="AH297" i="1"/>
  <c r="X51" i="1"/>
  <c r="X334" i="1"/>
  <c r="X328" i="1"/>
  <c r="X74" i="1"/>
  <c r="X180" i="1"/>
  <c r="AH202" i="1"/>
  <c r="AB202" i="1"/>
  <c r="X274" i="1"/>
  <c r="AH468" i="1"/>
  <c r="AB468" i="1"/>
  <c r="X141" i="1"/>
  <c r="X48" i="1"/>
  <c r="X476" i="1"/>
  <c r="X520" i="1"/>
  <c r="X42" i="1"/>
  <c r="X62" i="1"/>
  <c r="X99" i="1"/>
  <c r="X163" i="1"/>
  <c r="X152" i="1"/>
  <c r="X278" i="1"/>
  <c r="X248" i="1"/>
  <c r="X424" i="1"/>
  <c r="AH493" i="1"/>
  <c r="AB493" i="1"/>
  <c r="AH179" i="1"/>
  <c r="AB179" i="1"/>
  <c r="X250" i="1"/>
  <c r="X373" i="1"/>
  <c r="X495" i="1"/>
  <c r="X512" i="1"/>
  <c r="X595" i="1"/>
  <c r="X634" i="1"/>
  <c r="AB281" i="1"/>
  <c r="AH281" i="1"/>
  <c r="X227" i="1"/>
  <c r="X299" i="1"/>
  <c r="X363" i="1"/>
  <c r="X416" i="1"/>
  <c r="X469" i="1"/>
  <c r="X461" i="1"/>
  <c r="X510" i="1"/>
  <c r="X515" i="1"/>
  <c r="X524" i="1"/>
  <c r="X561" i="1"/>
  <c r="AH554" i="1"/>
  <c r="AB554" i="1"/>
  <c r="X585" i="1"/>
  <c r="AH264" i="1"/>
  <c r="AB264" i="1"/>
  <c r="X16" i="1"/>
  <c r="X131" i="1"/>
  <c r="X231" i="1"/>
  <c r="X225" i="1"/>
  <c r="X220" i="1"/>
  <c r="X311" i="1"/>
  <c r="X335" i="1"/>
  <c r="X370" i="1"/>
  <c r="X509" i="1"/>
  <c r="X12" i="1"/>
  <c r="X68" i="1"/>
  <c r="X162" i="1"/>
  <c r="X229" i="1"/>
  <c r="X224" i="1"/>
  <c r="X240" i="1"/>
  <c r="X252" i="1"/>
  <c r="X267" i="1"/>
  <c r="X249" i="1"/>
  <c r="X290" i="1"/>
  <c r="X322" i="1"/>
  <c r="X354" i="1"/>
  <c r="X378" i="1"/>
  <c r="X423" i="1"/>
  <c r="X407" i="1"/>
  <c r="X462" i="1"/>
  <c r="X503" i="1"/>
  <c r="X500" i="1"/>
  <c r="X640" i="1"/>
  <c r="X312" i="1"/>
  <c r="X480" i="1"/>
  <c r="X553" i="1"/>
  <c r="AB574" i="1"/>
  <c r="AH574" i="1"/>
  <c r="X587" i="1"/>
  <c r="AH20" i="1"/>
  <c r="AB20" i="1"/>
  <c r="X150" i="1"/>
  <c r="X237" i="1"/>
  <c r="X254" i="1"/>
  <c r="X347" i="1"/>
  <c r="X409" i="1"/>
  <c r="X441" i="1"/>
  <c r="AB7" i="1"/>
  <c r="AH7" i="1"/>
  <c r="X70" i="1"/>
  <c r="X130" i="1"/>
  <c r="X142" i="1"/>
  <c r="X186" i="1"/>
  <c r="X217" i="1"/>
  <c r="X269" i="1"/>
  <c r="X257" i="1"/>
  <c r="X295" i="1"/>
  <c r="X342" i="1"/>
  <c r="X356" i="1"/>
  <c r="X465" i="1"/>
  <c r="X547" i="1"/>
  <c r="X592" i="1"/>
  <c r="X188" i="1"/>
  <c r="X337" i="1"/>
  <c r="X380" i="1"/>
  <c r="X421" i="1"/>
  <c r="X405" i="1"/>
  <c r="X479" i="1"/>
  <c r="X580" i="1"/>
  <c r="X600" i="1"/>
  <c r="X209" i="1"/>
  <c r="X338" i="1"/>
  <c r="X576" i="1"/>
  <c r="X552" i="1"/>
  <c r="X606" i="1"/>
  <c r="X361" i="1"/>
  <c r="X572" i="1"/>
  <c r="X45" i="1"/>
  <c r="X170" i="1"/>
  <c r="X258" i="1"/>
  <c r="X246" i="1"/>
  <c r="X343" i="1"/>
  <c r="X184" i="1"/>
  <c r="X276" i="1"/>
  <c r="X286" i="1"/>
  <c r="X417" i="1"/>
  <c r="X540" i="1"/>
  <c r="AH477" i="1"/>
  <c r="AB477" i="1"/>
  <c r="AB563" i="1"/>
  <c r="X228" i="1"/>
  <c r="X403" i="1"/>
  <c r="X502" i="1"/>
  <c r="X536" i="1"/>
  <c r="X575" i="1"/>
  <c r="X583" i="1"/>
  <c r="AB583" i="1" s="1"/>
  <c r="X615" i="1"/>
  <c r="X526" i="1"/>
  <c r="X582" i="1"/>
  <c r="X639" i="1"/>
  <c r="X324" i="1"/>
  <c r="AH496" i="1"/>
  <c r="AB496" i="1"/>
  <c r="X534" i="1"/>
  <c r="X535" i="1"/>
  <c r="X603" i="1"/>
  <c r="X628" i="1"/>
  <c r="X624" i="1"/>
  <c r="X516" i="1"/>
  <c r="AH528" i="1"/>
  <c r="X401" i="1"/>
  <c r="X545" i="1"/>
  <c r="X550" i="1"/>
  <c r="X599" i="1"/>
  <c r="X456" i="1"/>
  <c r="X442" i="1"/>
  <c r="X565" i="1"/>
  <c r="X589" i="1"/>
  <c r="X641" i="1"/>
  <c r="X630" i="1"/>
  <c r="X435" i="1"/>
  <c r="X569" i="1"/>
  <c r="X13" i="1"/>
  <c r="X28" i="1"/>
  <c r="X26" i="1"/>
  <c r="AH28" i="1" l="1"/>
  <c r="AB28" i="1"/>
  <c r="AH635" i="1"/>
  <c r="AH253" i="1"/>
  <c r="AH449" i="1"/>
  <c r="AB522" i="1"/>
  <c r="AB205" i="1"/>
  <c r="AB15" i="1"/>
  <c r="AH353" i="1"/>
  <c r="AH531" i="1"/>
  <c r="AH181" i="1"/>
  <c r="AB598" i="1"/>
  <c r="AB532" i="1"/>
  <c r="AH419" i="1"/>
  <c r="AB341" i="1"/>
  <c r="AH323" i="1"/>
  <c r="AH413" i="1"/>
  <c r="AB266" i="1"/>
  <c r="AB200" i="1"/>
  <c r="AB187" i="1"/>
  <c r="AB340" i="1"/>
  <c r="AH174" i="1"/>
  <c r="AB622" i="1"/>
  <c r="AB616" i="1"/>
  <c r="AB629" i="1"/>
  <c r="AH614" i="1"/>
  <c r="AH637" i="1"/>
  <c r="AB642" i="1"/>
  <c r="AH622" i="1"/>
  <c r="AH619" i="1"/>
  <c r="AH612" i="1"/>
  <c r="AB608" i="1"/>
  <c r="AH605" i="1"/>
  <c r="AH608" i="1"/>
  <c r="AB584" i="1"/>
  <c r="AH602" i="1"/>
  <c r="AH593" i="1"/>
  <c r="AH556" i="1"/>
  <c r="AH549" i="1"/>
  <c r="AB558" i="1"/>
  <c r="AB568" i="1"/>
  <c r="AH571" i="1"/>
  <c r="AB537" i="1"/>
  <c r="AB517" i="1"/>
  <c r="AB527" i="1"/>
  <c r="AH529" i="1"/>
  <c r="AB513" i="1"/>
  <c r="AH544" i="1"/>
  <c r="AH513" i="1"/>
  <c r="AH487" i="1"/>
  <c r="AB488" i="1"/>
  <c r="AB505" i="1"/>
  <c r="AB472" i="1"/>
  <c r="AH474" i="1"/>
  <c r="AH492" i="1"/>
  <c r="AB504" i="1"/>
  <c r="AB499" i="1"/>
  <c r="AH497" i="1"/>
  <c r="AH454" i="1"/>
  <c r="AB437" i="1"/>
  <c r="AH466" i="1"/>
  <c r="AH448" i="1"/>
  <c r="AB336" i="1"/>
  <c r="AH282" i="1"/>
  <c r="AH218" i="1"/>
  <c r="AH15" i="1"/>
  <c r="AB601" i="1"/>
  <c r="AH601" i="1"/>
  <c r="AH396" i="1"/>
  <c r="AB396" i="1"/>
  <c r="AB605" i="1"/>
  <c r="AH371" i="1"/>
  <c r="AH537" i="1"/>
  <c r="AH105" i="1"/>
  <c r="AH527" i="1"/>
  <c r="AH263" i="1"/>
  <c r="AB637" i="1"/>
  <c r="AB487" i="1"/>
  <c r="AB293" i="1"/>
  <c r="AB36" i="1"/>
  <c r="AH472" i="1"/>
  <c r="AH437" i="1"/>
  <c r="AB385" i="1"/>
  <c r="AH427" i="1"/>
  <c r="AH505" i="1"/>
  <c r="AB112" i="1"/>
  <c r="AH112" i="1"/>
  <c r="AH289" i="1"/>
  <c r="AB289" i="1"/>
  <c r="AB129" i="1"/>
  <c r="AB573" i="1"/>
  <c r="AH573" i="1"/>
  <c r="AH106" i="1"/>
  <c r="AB106" i="1"/>
  <c r="AH132" i="1"/>
  <c r="AB400" i="1"/>
  <c r="AB52" i="1"/>
  <c r="AB365" i="1"/>
  <c r="AH616" i="1"/>
  <c r="AB91" i="1"/>
  <c r="AH21" i="1"/>
  <c r="AH642" i="1"/>
  <c r="AH117" i="1"/>
  <c r="AH91" i="1"/>
  <c r="AB466" i="1"/>
  <c r="AH204" i="1"/>
  <c r="AH214" i="1"/>
  <c r="AH517" i="1"/>
  <c r="AB332" i="1"/>
  <c r="AH568" i="1"/>
  <c r="AH395" i="1"/>
  <c r="AB344" i="1"/>
  <c r="AB117" i="1"/>
  <c r="AB204" i="1"/>
  <c r="AB84" i="1"/>
  <c r="AH275" i="1"/>
  <c r="AB138" i="1"/>
  <c r="AB331" i="1"/>
  <c r="AB431" i="1"/>
  <c r="AB394" i="1"/>
  <c r="AH243" i="1"/>
  <c r="AH400" i="1"/>
  <c r="AH195" i="1"/>
  <c r="AH394" i="1"/>
  <c r="AB243" i="1"/>
  <c r="AB195" i="1"/>
  <c r="AH270" i="1"/>
  <c r="AH73" i="1"/>
  <c r="AH261" i="1"/>
  <c r="AB448" i="1"/>
  <c r="AB454" i="1"/>
  <c r="AH344" i="1"/>
  <c r="AB73" i="1"/>
  <c r="AB303" i="1"/>
  <c r="AB136" i="1"/>
  <c r="AB66" i="1"/>
  <c r="AH52" i="1"/>
  <c r="AB614" i="1"/>
  <c r="AB24" i="1"/>
  <c r="AB232" i="1"/>
  <c r="AH100" i="1"/>
  <c r="AB100" i="1"/>
  <c r="AB33" i="1"/>
  <c r="AH33" i="1"/>
  <c r="AH596" i="1"/>
  <c r="AB596" i="1"/>
  <c r="AB154" i="1"/>
  <c r="AH154" i="1"/>
  <c r="AB40" i="1"/>
  <c r="AH40" i="1"/>
  <c r="AH418" i="1"/>
  <c r="AB418" i="1"/>
  <c r="AH548" i="1"/>
  <c r="AB548" i="1"/>
  <c r="AB339" i="1"/>
  <c r="AH339" i="1"/>
  <c r="AB275" i="1"/>
  <c r="AB474" i="1"/>
  <c r="AH129" i="1"/>
  <c r="AH66" i="1"/>
  <c r="AB21" i="1"/>
  <c r="AB270" i="1"/>
  <c r="AH629" i="1"/>
  <c r="AH35" i="1"/>
  <c r="AB35" i="1"/>
  <c r="AH136" i="1"/>
  <c r="AH138" i="1"/>
  <c r="AB556" i="1"/>
  <c r="S85" i="1"/>
  <c r="T75" i="1" s="1"/>
  <c r="AH439" i="1"/>
  <c r="AB439" i="1"/>
  <c r="AH504" i="1"/>
  <c r="AH303" i="1"/>
  <c r="AB619" i="1"/>
  <c r="AB497" i="1"/>
  <c r="AB544" i="1"/>
  <c r="AH84" i="1"/>
  <c r="AB492" i="1"/>
  <c r="AH331" i="1"/>
  <c r="AH232" i="1"/>
  <c r="AH24" i="1"/>
  <c r="AB602" i="1"/>
  <c r="AB261" i="1"/>
  <c r="AH72" i="1"/>
  <c r="AB72" i="1"/>
  <c r="AB214" i="1"/>
  <c r="AH337" i="1"/>
  <c r="AB337" i="1"/>
  <c r="AH315" i="1"/>
  <c r="AB315" i="1"/>
  <c r="AB170" i="1"/>
  <c r="AH170" i="1"/>
  <c r="AH338" i="1"/>
  <c r="AB338" i="1"/>
  <c r="AH142" i="1"/>
  <c r="AB142" i="1"/>
  <c r="AH407" i="1"/>
  <c r="AB407" i="1"/>
  <c r="AB510" i="1"/>
  <c r="AH510" i="1"/>
  <c r="AH74" i="1"/>
  <c r="AB74" i="1"/>
  <c r="AH514" i="1"/>
  <c r="S546" i="1"/>
  <c r="T542" i="1" s="1"/>
  <c r="AB514" i="1"/>
  <c r="AH352" i="1"/>
  <c r="AB352" i="1"/>
  <c r="AB555" i="1"/>
  <c r="AH555" i="1"/>
  <c r="AH376" i="1"/>
  <c r="AB376" i="1"/>
  <c r="AH184" i="1"/>
  <c r="AB184" i="1"/>
  <c r="AH401" i="1"/>
  <c r="AB401" i="1"/>
  <c r="AH479" i="1"/>
  <c r="AB479" i="1"/>
  <c r="AH64" i="1"/>
  <c r="AB64" i="1"/>
  <c r="AH283" i="1"/>
  <c r="AB283" i="1"/>
  <c r="AH230" i="1"/>
  <c r="AB230" i="1"/>
  <c r="AB26" i="1"/>
  <c r="AH26" i="1"/>
  <c r="AB312" i="1"/>
  <c r="AH312" i="1"/>
  <c r="AH141" i="1"/>
  <c r="AB141" i="1"/>
  <c r="AH206" i="1"/>
  <c r="AB206" i="1"/>
  <c r="AB194" i="1"/>
  <c r="AH194" i="1"/>
  <c r="S212" i="1"/>
  <c r="T199" i="1" s="1"/>
  <c r="AB384" i="1"/>
  <c r="AH384" i="1"/>
  <c r="AB326" i="1"/>
  <c r="AH326" i="1"/>
  <c r="AH343" i="1"/>
  <c r="AB343" i="1"/>
  <c r="AH552" i="1"/>
  <c r="AB552" i="1"/>
  <c r="AH547" i="1"/>
  <c r="AB547" i="1"/>
  <c r="AH217" i="1"/>
  <c r="AB217" i="1"/>
  <c r="AH290" i="1"/>
  <c r="AB290" i="1"/>
  <c r="AB162" i="1"/>
  <c r="AH162" i="1"/>
  <c r="S183" i="1"/>
  <c r="T156" i="1" s="1"/>
  <c r="AB231" i="1"/>
  <c r="AH231" i="1"/>
  <c r="AH524" i="1"/>
  <c r="AB524" i="1"/>
  <c r="AB334" i="1"/>
  <c r="AH334" i="1"/>
  <c r="AB145" i="1"/>
  <c r="AH145" i="1"/>
  <c r="AB149" i="1"/>
  <c r="AH149" i="1"/>
  <c r="AB299" i="1"/>
  <c r="AH299" i="1"/>
  <c r="S320" i="1"/>
  <c r="T296" i="1" s="1"/>
  <c r="AH405" i="1"/>
  <c r="AB405" i="1"/>
  <c r="AH441" i="1"/>
  <c r="AB441" i="1"/>
  <c r="AB156" i="1"/>
  <c r="AH156" i="1"/>
  <c r="AH273" i="1"/>
  <c r="AB273" i="1"/>
  <c r="AB636" i="1"/>
  <c r="AH636" i="1"/>
  <c r="AH311" i="1"/>
  <c r="AB311" i="1"/>
  <c r="AH48" i="1"/>
  <c r="AB48" i="1"/>
  <c r="AH186" i="1"/>
  <c r="AB186" i="1"/>
  <c r="AB131" i="1"/>
  <c r="AH131" i="1"/>
  <c r="AH51" i="1"/>
  <c r="AB51" i="1"/>
  <c r="AH523" i="1"/>
  <c r="AB523" i="1"/>
  <c r="AH252" i="1"/>
  <c r="AB252" i="1"/>
  <c r="AB278" i="1"/>
  <c r="AH278" i="1"/>
  <c r="AB37" i="1"/>
  <c r="AH37" i="1"/>
  <c r="AB356" i="1"/>
  <c r="AH356" i="1"/>
  <c r="S358" i="1"/>
  <c r="T322" i="1" s="1"/>
  <c r="AB476" i="1"/>
  <c r="AH476" i="1"/>
  <c r="AH22" i="1"/>
  <c r="AB22" i="1"/>
  <c r="AB539" i="1"/>
  <c r="AH539" i="1"/>
  <c r="AH128" i="1"/>
  <c r="AB128" i="1"/>
  <c r="AH583" i="1"/>
  <c r="AH254" i="1"/>
  <c r="AB254" i="1"/>
  <c r="AH640" i="1"/>
  <c r="AB640" i="1"/>
  <c r="AB423" i="1"/>
  <c r="AH423" i="1"/>
  <c r="AB229" i="1"/>
  <c r="AH229" i="1"/>
  <c r="AH55" i="1"/>
  <c r="AB55" i="1"/>
  <c r="AB516" i="1"/>
  <c r="AH516" i="1"/>
  <c r="AB209" i="1"/>
  <c r="AH209" i="1"/>
  <c r="AB188" i="1"/>
  <c r="AH188" i="1"/>
  <c r="AB378" i="1"/>
  <c r="AH378" i="1"/>
  <c r="AH494" i="1"/>
  <c r="AB494" i="1"/>
  <c r="AB54" i="1"/>
  <c r="AH54" i="1"/>
  <c r="AH569" i="1"/>
  <c r="AB569" i="1"/>
  <c r="AH536" i="1"/>
  <c r="AB536" i="1"/>
  <c r="AH295" i="1"/>
  <c r="AB295" i="1"/>
  <c r="AB70" i="1"/>
  <c r="AH70" i="1"/>
  <c r="AB220" i="1"/>
  <c r="AH220" i="1"/>
  <c r="AB44" i="1"/>
  <c r="AH44" i="1"/>
  <c r="AB50" i="1"/>
  <c r="AH50" i="1"/>
  <c r="AH257" i="1"/>
  <c r="AB257" i="1"/>
  <c r="AB150" i="1"/>
  <c r="AH150" i="1"/>
  <c r="AH480" i="1"/>
  <c r="AB480" i="1"/>
  <c r="AH634" i="1"/>
  <c r="AB634" i="1"/>
  <c r="AH328" i="1"/>
  <c r="AB328" i="1"/>
  <c r="AB8" i="1"/>
  <c r="AH8" i="1"/>
  <c r="AH630" i="1"/>
  <c r="AB630" i="1"/>
  <c r="AB246" i="1"/>
  <c r="AH246" i="1"/>
  <c r="AH572" i="1"/>
  <c r="AB572" i="1"/>
  <c r="AH421" i="1"/>
  <c r="AB421" i="1"/>
  <c r="S288" i="1"/>
  <c r="T283" i="1" s="1"/>
  <c r="AB258" i="1"/>
  <c r="AH258" i="1"/>
  <c r="AH380" i="1"/>
  <c r="AB380" i="1"/>
  <c r="AB267" i="1"/>
  <c r="AH267" i="1"/>
  <c r="AB372" i="1"/>
  <c r="AH372" i="1"/>
  <c r="AB251" i="1"/>
  <c r="AH251" i="1"/>
  <c r="AH435" i="1"/>
  <c r="AB435" i="1"/>
  <c r="AB627" i="1"/>
  <c r="AH627" i="1"/>
  <c r="AB603" i="1"/>
  <c r="AH603" i="1"/>
  <c r="AH399" i="1"/>
  <c r="AB399" i="1"/>
  <c r="AH228" i="1"/>
  <c r="AB228" i="1"/>
  <c r="AB210" i="1"/>
  <c r="AH210" i="1"/>
  <c r="AB201" i="1"/>
  <c r="AH201" i="1"/>
  <c r="AH185" i="1"/>
  <c r="AB185" i="1"/>
  <c r="AB122" i="1"/>
  <c r="AH122" i="1"/>
  <c r="AH542" i="1"/>
  <c r="AB542" i="1"/>
  <c r="AH389" i="1"/>
  <c r="AB389" i="1"/>
  <c r="AB39" i="1"/>
  <c r="AH39" i="1"/>
  <c r="AB250" i="1"/>
  <c r="AH250" i="1"/>
  <c r="AH310" i="1"/>
  <c r="AB310" i="1"/>
  <c r="AH485" i="1"/>
  <c r="AB485" i="1"/>
  <c r="AH219" i="1"/>
  <c r="AB219" i="1"/>
  <c r="AH60" i="1"/>
  <c r="AB60" i="1"/>
  <c r="AB151" i="1"/>
  <c r="AH151" i="1"/>
  <c r="AH168" i="1"/>
  <c r="AB168" i="1"/>
  <c r="AB18" i="1"/>
  <c r="AH18" i="1"/>
  <c r="AH562" i="1"/>
  <c r="AB562" i="1"/>
  <c r="AB402" i="1"/>
  <c r="AH402" i="1"/>
  <c r="AH434" i="1"/>
  <c r="AB434" i="1"/>
  <c r="AH361" i="1"/>
  <c r="AB361" i="1"/>
  <c r="AB444" i="1"/>
  <c r="AH444" i="1"/>
  <c r="AH165" i="1"/>
  <c r="AB165" i="1"/>
  <c r="AB92" i="1"/>
  <c r="AH92" i="1"/>
  <c r="AH500" i="1"/>
  <c r="AB500" i="1"/>
  <c r="AB597" i="1"/>
  <c r="AH597" i="1"/>
  <c r="AH483" i="1"/>
  <c r="AB483" i="1"/>
  <c r="AH42" i="1"/>
  <c r="AB42" i="1"/>
  <c r="AB155" i="1"/>
  <c r="AH155" i="1"/>
  <c r="AH567" i="1"/>
  <c r="AB567" i="1"/>
  <c r="AH319" i="1"/>
  <c r="AB319" i="1"/>
  <c r="AH535" i="1"/>
  <c r="AB535" i="1"/>
  <c r="AH450" i="1"/>
  <c r="AB450" i="1"/>
  <c r="AB160" i="1"/>
  <c r="AH160" i="1"/>
  <c r="AB125" i="1"/>
  <c r="AH125" i="1"/>
  <c r="S137" i="1"/>
  <c r="T128" i="1" s="1"/>
  <c r="AH178" i="1"/>
  <c r="AB178" i="1"/>
  <c r="AB107" i="1"/>
  <c r="AH107" i="1"/>
  <c r="AB208" i="1"/>
  <c r="AH208" i="1"/>
  <c r="AH354" i="1"/>
  <c r="AB354" i="1"/>
  <c r="AB595" i="1"/>
  <c r="AH595" i="1"/>
  <c r="AB424" i="1"/>
  <c r="AH424" i="1"/>
  <c r="AB27" i="1"/>
  <c r="AH27" i="1"/>
  <c r="AH618" i="1"/>
  <c r="AB618" i="1"/>
  <c r="AB565" i="1"/>
  <c r="S581" i="1"/>
  <c r="T555" i="1" s="1"/>
  <c r="AH565" i="1"/>
  <c r="AB307" i="1"/>
  <c r="AH307" i="1"/>
  <c r="AH490" i="1"/>
  <c r="AB490" i="1"/>
  <c r="AH369" i="1"/>
  <c r="AB369" i="1"/>
  <c r="S374" i="1"/>
  <c r="T373" i="1" s="1"/>
  <c r="AB533" i="1"/>
  <c r="AH533" i="1"/>
  <c r="AH417" i="1"/>
  <c r="AB417" i="1"/>
  <c r="AB592" i="1"/>
  <c r="AH592" i="1"/>
  <c r="AH176" i="1"/>
  <c r="AB176" i="1"/>
  <c r="AH357" i="1"/>
  <c r="AB357" i="1"/>
  <c r="AB56" i="1"/>
  <c r="AH56" i="1"/>
  <c r="AB182" i="1"/>
  <c r="AH182" i="1"/>
  <c r="AB481" i="1"/>
  <c r="AH481" i="1"/>
  <c r="AH190" i="1"/>
  <c r="AB190" i="1"/>
  <c r="AB71" i="1"/>
  <c r="AH71" i="1"/>
  <c r="AB508" i="1"/>
  <c r="AH508" i="1"/>
  <c r="AH234" i="1"/>
  <c r="AB234" i="1"/>
  <c r="AB94" i="1"/>
  <c r="AH94" i="1"/>
  <c r="AH175" i="1"/>
  <c r="AB175" i="1"/>
  <c r="AB238" i="1"/>
  <c r="AH238" i="1"/>
  <c r="AH359" i="1"/>
  <c r="AB359" i="1"/>
  <c r="AH104" i="1"/>
  <c r="AB104" i="1"/>
  <c r="AH641" i="1"/>
  <c r="AB641" i="1"/>
  <c r="AB388" i="1"/>
  <c r="AH388" i="1"/>
  <c r="AB534" i="1"/>
  <c r="AH534" i="1"/>
  <c r="AB79" i="1"/>
  <c r="AH79" i="1"/>
  <c r="AH502" i="1"/>
  <c r="AB502" i="1"/>
  <c r="AB97" i="1"/>
  <c r="AH97" i="1"/>
  <c r="AH14" i="1"/>
  <c r="AB14" i="1"/>
  <c r="AB503" i="1"/>
  <c r="AH503" i="1"/>
  <c r="AB322" i="1"/>
  <c r="AH322" i="1"/>
  <c r="AB153" i="1"/>
  <c r="AH153" i="1"/>
  <c r="AB351" i="1"/>
  <c r="AH351" i="1"/>
  <c r="AH285" i="1"/>
  <c r="AB285" i="1"/>
  <c r="AH47" i="1"/>
  <c r="AB47" i="1"/>
  <c r="AB623" i="1"/>
  <c r="AH623" i="1"/>
  <c r="AB491" i="1"/>
  <c r="AH491" i="1"/>
  <c r="AB296" i="1"/>
  <c r="AH296" i="1"/>
  <c r="AB470" i="1"/>
  <c r="AH470" i="1"/>
  <c r="AB530" i="1"/>
  <c r="AH530" i="1"/>
  <c r="AB98" i="1"/>
  <c r="AH98" i="1"/>
  <c r="AB248" i="1"/>
  <c r="AH248" i="1"/>
  <c r="AH99" i="1"/>
  <c r="AB99" i="1"/>
  <c r="S113" i="1"/>
  <c r="T86" i="1" s="1"/>
  <c r="AB486" i="1"/>
  <c r="AH486" i="1"/>
  <c r="AB192" i="1"/>
  <c r="AH192" i="1"/>
  <c r="AB348" i="1"/>
  <c r="AH348" i="1"/>
  <c r="AH383" i="1"/>
  <c r="AB383" i="1"/>
  <c r="AH17" i="1"/>
  <c r="AB17" i="1"/>
  <c r="AB442" i="1"/>
  <c r="AH442" i="1"/>
  <c r="AB594" i="1"/>
  <c r="AH594" i="1"/>
  <c r="AB301" i="1"/>
  <c r="AH301" i="1"/>
  <c r="AH639" i="1"/>
  <c r="AB639" i="1"/>
  <c r="AH447" i="1"/>
  <c r="AB447" i="1"/>
  <c r="AH390" i="1"/>
  <c r="AB390" i="1"/>
  <c r="AB3" i="1"/>
  <c r="AH126" i="1"/>
  <c r="AB126" i="1"/>
  <c r="AH459" i="1"/>
  <c r="AB459" i="1"/>
  <c r="AB314" i="1"/>
  <c r="AH314" i="1"/>
  <c r="AH560" i="1"/>
  <c r="AB560" i="1"/>
  <c r="AH46" i="1"/>
  <c r="AB46" i="1"/>
  <c r="AH164" i="1"/>
  <c r="AB164" i="1"/>
  <c r="AH235" i="1"/>
  <c r="AB235" i="1"/>
  <c r="AB260" i="1"/>
  <c r="AH260" i="1"/>
  <c r="AH38" i="1"/>
  <c r="AB38" i="1"/>
  <c r="AB607" i="1"/>
  <c r="AH607" i="1"/>
  <c r="AH478" i="1"/>
  <c r="AB478" i="1"/>
  <c r="AH512" i="1"/>
  <c r="AB512" i="1"/>
  <c r="AH83" i="1"/>
  <c r="AB83" i="1"/>
  <c r="AH87" i="1"/>
  <c r="AB87" i="1"/>
  <c r="AB197" i="1"/>
  <c r="AH197" i="1"/>
  <c r="AB16" i="1"/>
  <c r="AH16" i="1"/>
  <c r="AH269" i="1"/>
  <c r="AB269" i="1"/>
  <c r="AB93" i="1"/>
  <c r="AH93" i="1"/>
  <c r="AH124" i="1"/>
  <c r="AB124" i="1"/>
  <c r="AH63" i="1"/>
  <c r="AB63" i="1"/>
  <c r="AH30" i="1"/>
  <c r="AB30" i="1"/>
  <c r="AH566" i="1"/>
  <c r="AB566" i="1"/>
  <c r="S29" i="1"/>
  <c r="AH4" i="1"/>
  <c r="AB4" i="1"/>
  <c r="AB430" i="1"/>
  <c r="AH430" i="1"/>
  <c r="AH294" i="1"/>
  <c r="AB294" i="1"/>
  <c r="AH393" i="1"/>
  <c r="AB393" i="1"/>
  <c r="AB422" i="1"/>
  <c r="AH422" i="1"/>
  <c r="AB436" i="1"/>
  <c r="AH436" i="1"/>
  <c r="AH305" i="1"/>
  <c r="AB305" i="1"/>
  <c r="AH428" i="1"/>
  <c r="AB428" i="1"/>
  <c r="AH76" i="1"/>
  <c r="AB76" i="1"/>
  <c r="AB159" i="1"/>
  <c r="AH159" i="1"/>
  <c r="AB309" i="1"/>
  <c r="AH309" i="1"/>
  <c r="AB626" i="1"/>
  <c r="AH626" i="1"/>
  <c r="AB433" i="1"/>
  <c r="AH433" i="1"/>
  <c r="AB171" i="1"/>
  <c r="AH171" i="1"/>
  <c r="AB148" i="1"/>
  <c r="AH148" i="1"/>
  <c r="AB75" i="1"/>
  <c r="AH75" i="1"/>
  <c r="AB78" i="1"/>
  <c r="AH78" i="1"/>
  <c r="AB108" i="1"/>
  <c r="AH108" i="1"/>
  <c r="AB10" i="1"/>
  <c r="AH10" i="1"/>
  <c r="AH216" i="1"/>
  <c r="AB216" i="1"/>
  <c r="AB576" i="1"/>
  <c r="AH576" i="1"/>
  <c r="AB387" i="1"/>
  <c r="AH387" i="1"/>
  <c r="AH575" i="1"/>
  <c r="AB575" i="1"/>
  <c r="AB409" i="1"/>
  <c r="AH409" i="1"/>
  <c r="AB625" i="1"/>
  <c r="AH625" i="1"/>
  <c r="AH11" i="1"/>
  <c r="AB11" i="1"/>
  <c r="AH196" i="1"/>
  <c r="AB196" i="1"/>
  <c r="AB118" i="1"/>
  <c r="AH118" i="1"/>
  <c r="AH81" i="1"/>
  <c r="AB81" i="1"/>
  <c r="AH6" i="1"/>
  <c r="AB6" i="1"/>
  <c r="AH287" i="1"/>
  <c r="AB287" i="1"/>
  <c r="AH313" i="1"/>
  <c r="AB313" i="1"/>
  <c r="AB13" i="1"/>
  <c r="AH13" i="1"/>
  <c r="AH550" i="1"/>
  <c r="AB550" i="1"/>
  <c r="AH440" i="1"/>
  <c r="AB440" i="1"/>
  <c r="AB89" i="1"/>
  <c r="AH89" i="1"/>
  <c r="AH585" i="1"/>
  <c r="AB585" i="1"/>
  <c r="AH284" i="1"/>
  <c r="AB284" i="1"/>
  <c r="AB507" i="1"/>
  <c r="AH507" i="1"/>
  <c r="AH240" i="1"/>
  <c r="AB240" i="1"/>
  <c r="AH498" i="1"/>
  <c r="AB498" i="1"/>
  <c r="AH397" i="1"/>
  <c r="AB397" i="1"/>
  <c r="AH412" i="1"/>
  <c r="AB412" i="1"/>
  <c r="AH540" i="1"/>
  <c r="AB540" i="1"/>
  <c r="AB391" i="1"/>
  <c r="AH391" i="1"/>
  <c r="AH95" i="1"/>
  <c r="AB95" i="1"/>
  <c r="AB256" i="1"/>
  <c r="AH256" i="1"/>
  <c r="AB515" i="1"/>
  <c r="AH515" i="1"/>
  <c r="AH455" i="1"/>
  <c r="AB455" i="1"/>
  <c r="S471" i="1"/>
  <c r="T433" i="1" s="1"/>
  <c r="AB268" i="1"/>
  <c r="AH268" i="1"/>
  <c r="AH62" i="1"/>
  <c r="AB62" i="1"/>
  <c r="AB146" i="1"/>
  <c r="AH146" i="1"/>
  <c r="AH318" i="1"/>
  <c r="AB318" i="1"/>
  <c r="AB484" i="1"/>
  <c r="AH484" i="1"/>
  <c r="AH316" i="1"/>
  <c r="AB316" i="1"/>
  <c r="AB551" i="1"/>
  <c r="AH551" i="1"/>
  <c r="S643" i="1"/>
  <c r="T633" i="1" s="1"/>
  <c r="AH628" i="1"/>
  <c r="AB628" i="1"/>
  <c r="AB119" i="1"/>
  <c r="AH119" i="1"/>
  <c r="AB462" i="1"/>
  <c r="AH462" i="1"/>
  <c r="AB227" i="1"/>
  <c r="AH227" i="1"/>
  <c r="AH453" i="1"/>
  <c r="AB453" i="1"/>
  <c r="AB445" i="1"/>
  <c r="AH445" i="1"/>
  <c r="AH482" i="1"/>
  <c r="AB482" i="1"/>
  <c r="AB408" i="1"/>
  <c r="AH408" i="1"/>
  <c r="AH291" i="1"/>
  <c r="AB291" i="1"/>
  <c r="AH578" i="1"/>
  <c r="AB578" i="1"/>
  <c r="AB355" i="1"/>
  <c r="AH355" i="1"/>
  <c r="AB191" i="1"/>
  <c r="AH191" i="1"/>
  <c r="AH147" i="1"/>
  <c r="AB147" i="1"/>
  <c r="AH199" i="1"/>
  <c r="AB199" i="1"/>
  <c r="AB67" i="1"/>
  <c r="AH67" i="1"/>
  <c r="AB410" i="1"/>
  <c r="S432" i="1"/>
  <c r="T406" i="1" s="1"/>
  <c r="AH410" i="1"/>
  <c r="AH224" i="1"/>
  <c r="AB224" i="1"/>
  <c r="AH180" i="1"/>
  <c r="AB180" i="1"/>
  <c r="AB103" i="1"/>
  <c r="AH103" i="1"/>
  <c r="AH333" i="1"/>
  <c r="AB333" i="1"/>
  <c r="AH130" i="1"/>
  <c r="AB130" i="1"/>
  <c r="AH90" i="1"/>
  <c r="AB90" i="1"/>
  <c r="AH86" i="1"/>
  <c r="AB86" i="1"/>
  <c r="AH599" i="1"/>
  <c r="AB599" i="1"/>
  <c r="AB350" i="1"/>
  <c r="AH350" i="1"/>
  <c r="AH12" i="1"/>
  <c r="AB12" i="1"/>
  <c r="AB456" i="1"/>
  <c r="AH456" i="1"/>
  <c r="AB286" i="1"/>
  <c r="AH286" i="1"/>
  <c r="AH638" i="1"/>
  <c r="AB638" i="1"/>
  <c r="AH615" i="1"/>
  <c r="AB615" i="1"/>
  <c r="AB406" i="1"/>
  <c r="AH406" i="1"/>
  <c r="AB461" i="1"/>
  <c r="AH461" i="1"/>
  <c r="AB520" i="1"/>
  <c r="AH520" i="1"/>
  <c r="AB345" i="1"/>
  <c r="AH345" i="1"/>
  <c r="AH133" i="1"/>
  <c r="AB133" i="1"/>
  <c r="AH564" i="1"/>
  <c r="AB564" i="1"/>
  <c r="AB541" i="1"/>
  <c r="AH541" i="1"/>
  <c r="AB366" i="1"/>
  <c r="AH366" i="1"/>
  <c r="AH606" i="1"/>
  <c r="AB606" i="1"/>
  <c r="AB580" i="1"/>
  <c r="AH580" i="1"/>
  <c r="AH308" i="1"/>
  <c r="AB308" i="1"/>
  <c r="AH465" i="1"/>
  <c r="AB465" i="1"/>
  <c r="AB158" i="1"/>
  <c r="AH158" i="1"/>
  <c r="AB68" i="1"/>
  <c r="AH68" i="1"/>
  <c r="AB368" i="1"/>
  <c r="AH368" i="1"/>
  <c r="AH561" i="1"/>
  <c r="AB561" i="1"/>
  <c r="AH469" i="1"/>
  <c r="AB469" i="1"/>
  <c r="AB140" i="1"/>
  <c r="AH140" i="1"/>
  <c r="AB123" i="1"/>
  <c r="AH123" i="1"/>
  <c r="AH420" i="1"/>
  <c r="AB420" i="1"/>
  <c r="AB9" i="1"/>
  <c r="AH9" i="1"/>
  <c r="AB247" i="1"/>
  <c r="AH247" i="1"/>
  <c r="AB69" i="1"/>
  <c r="AH69" i="1"/>
  <c r="AB111" i="1"/>
  <c r="AH111" i="1"/>
  <c r="AB579" i="1"/>
  <c r="AH579" i="1"/>
  <c r="AH163" i="1"/>
  <c r="AB163" i="1"/>
  <c r="AB360" i="1"/>
  <c r="AH360" i="1"/>
  <c r="AH398" i="1"/>
  <c r="AB398" i="1"/>
  <c r="AH349" i="1"/>
  <c r="AB349" i="1"/>
  <c r="AB49" i="1"/>
  <c r="AH49" i="1"/>
  <c r="AH167" i="1"/>
  <c r="AB167" i="1"/>
  <c r="AH621" i="1"/>
  <c r="AB621" i="1"/>
  <c r="AH382" i="1"/>
  <c r="AB382" i="1"/>
  <c r="AB226" i="1"/>
  <c r="S245" i="1"/>
  <c r="T229" i="1" s="1"/>
  <c r="AH226" i="1"/>
  <c r="AB222" i="1"/>
  <c r="AH222" i="1"/>
  <c r="S392" i="1"/>
  <c r="T381" i="1" s="1"/>
  <c r="AH65" i="1"/>
  <c r="AB65" i="1"/>
  <c r="AB274" i="1"/>
  <c r="AH274" i="1"/>
  <c r="AH330" i="1"/>
  <c r="AB330" i="1"/>
  <c r="AB143" i="1"/>
  <c r="AH143" i="1"/>
  <c r="AB451" i="1"/>
  <c r="AH451" i="1"/>
  <c r="AB403" i="1"/>
  <c r="AH403" i="1"/>
  <c r="AB233" i="1"/>
  <c r="AH233" i="1"/>
  <c r="AH77" i="1"/>
  <c r="AB77" i="1"/>
  <c r="AH249" i="1"/>
  <c r="AB249" i="1"/>
  <c r="AB45" i="1"/>
  <c r="AH45" i="1"/>
  <c r="S57" i="1"/>
  <c r="T41" i="1" s="1"/>
  <c r="AB346" i="1"/>
  <c r="AH346" i="1"/>
  <c r="AB327" i="1"/>
  <c r="AH327" i="1"/>
  <c r="AB613" i="1"/>
  <c r="AH613" i="1"/>
  <c r="AB457" i="1"/>
  <c r="AH457" i="1"/>
  <c r="AH221" i="1"/>
  <c r="AB221" i="1"/>
  <c r="AH121" i="1"/>
  <c r="AB121" i="1"/>
  <c r="AB373" i="1"/>
  <c r="AH373" i="1"/>
  <c r="AB139" i="1"/>
  <c r="AH139" i="1"/>
  <c r="AB109" i="1"/>
  <c r="AH109" i="1"/>
  <c r="AH120" i="1"/>
  <c r="AB120" i="1"/>
  <c r="AB116" i="1"/>
  <c r="AH116" i="1"/>
  <c r="AB259" i="1"/>
  <c r="AH259" i="1"/>
  <c r="AH152" i="1"/>
  <c r="AB152" i="1"/>
  <c r="AB377" i="1"/>
  <c r="AH377" i="1"/>
  <c r="AB364" i="1"/>
  <c r="AH364" i="1"/>
  <c r="AB521" i="1"/>
  <c r="AH521" i="1"/>
  <c r="AH620" i="1"/>
  <c r="AB620" i="1"/>
  <c r="AB173" i="1"/>
  <c r="AH173" i="1"/>
  <c r="AB102" i="1"/>
  <c r="AH102" i="1"/>
  <c r="AH429" i="1"/>
  <c r="AB429" i="1"/>
  <c r="AB342" i="1"/>
  <c r="AH342" i="1"/>
  <c r="AH518" i="1"/>
  <c r="AB518" i="1"/>
  <c r="AB80" i="1"/>
  <c r="AH80" i="1"/>
  <c r="AB475" i="1"/>
  <c r="AH475" i="1"/>
  <c r="AH203" i="1"/>
  <c r="AB203" i="1"/>
  <c r="AH379" i="1"/>
  <c r="AB379" i="1"/>
  <c r="AH587" i="1"/>
  <c r="AB587" i="1"/>
  <c r="AH582" i="1"/>
  <c r="AB582" i="1"/>
  <c r="AB88" i="1"/>
  <c r="AH88" i="1"/>
  <c r="AH225" i="1"/>
  <c r="AB225" i="1"/>
  <c r="AB241" i="1"/>
  <c r="AH241" i="1"/>
  <c r="AH452" i="1"/>
  <c r="AB452" i="1"/>
  <c r="AH276" i="1"/>
  <c r="AB276" i="1"/>
  <c r="AH446" i="1"/>
  <c r="AB446" i="1"/>
  <c r="AH617" i="1"/>
  <c r="AB617" i="1"/>
  <c r="AB501" i="1"/>
  <c r="AH501" i="1"/>
  <c r="AH632" i="1"/>
  <c r="AB632" i="1"/>
  <c r="AH526" i="1"/>
  <c r="AB526" i="1"/>
  <c r="AB381" i="1"/>
  <c r="AH381" i="1"/>
  <c r="AH193" i="1"/>
  <c r="AB193" i="1"/>
  <c r="AH553" i="1"/>
  <c r="AB553" i="1"/>
  <c r="AH370" i="1"/>
  <c r="AB370" i="1"/>
  <c r="AB19" i="1"/>
  <c r="AH19" i="1"/>
  <c r="AB386" i="1"/>
  <c r="AH386" i="1"/>
  <c r="AB272" i="1"/>
  <c r="AH272" i="1"/>
  <c r="AH538" i="1"/>
  <c r="AB538" i="1"/>
  <c r="AB610" i="1"/>
  <c r="AH610" i="1"/>
  <c r="AH298" i="1"/>
  <c r="AB298" i="1"/>
  <c r="AH239" i="1"/>
  <c r="AB239" i="1"/>
  <c r="AB169" i="1"/>
  <c r="AH169" i="1"/>
  <c r="AH166" i="1"/>
  <c r="AB166" i="1"/>
  <c r="AH425" i="1"/>
  <c r="AB425" i="1"/>
  <c r="AH460" i="1"/>
  <c r="AB460" i="1"/>
  <c r="AH591" i="1"/>
  <c r="AB591" i="1"/>
  <c r="AH41" i="1"/>
  <c r="AB41" i="1"/>
  <c r="AB198" i="1"/>
  <c r="AH198" i="1"/>
  <c r="AH416" i="1"/>
  <c r="AB416" i="1"/>
  <c r="AB134" i="1"/>
  <c r="AH134" i="1"/>
  <c r="AB519" i="1"/>
  <c r="AH519" i="1"/>
  <c r="AH110" i="1"/>
  <c r="AB110" i="1"/>
  <c r="AH329" i="1"/>
  <c r="AB329" i="1"/>
  <c r="AB271" i="1"/>
  <c r="AH271" i="1"/>
  <c r="AH279" i="1"/>
  <c r="AB279" i="1"/>
  <c r="AH414" i="1"/>
  <c r="AB414" i="1"/>
  <c r="AB589" i="1"/>
  <c r="AH589" i="1"/>
  <c r="AH506" i="1"/>
  <c r="AB506" i="1"/>
  <c r="AB335" i="1"/>
  <c r="AH335" i="1"/>
  <c r="AB32" i="1"/>
  <c r="AH32" i="1"/>
  <c r="AH177" i="1"/>
  <c r="AB177" i="1"/>
  <c r="AH363" i="1"/>
  <c r="AB363" i="1"/>
  <c r="AH473" i="1"/>
  <c r="AB473" i="1"/>
  <c r="AH404" i="1"/>
  <c r="AB404" i="1"/>
  <c r="AH464" i="1"/>
  <c r="AB464" i="1"/>
  <c r="AB82" i="1"/>
  <c r="AH82" i="1"/>
  <c r="AB426" i="1"/>
  <c r="AH426" i="1"/>
  <c r="AH59" i="1"/>
  <c r="AH347" i="1"/>
  <c r="AB347" i="1"/>
  <c r="AH600" i="1"/>
  <c r="S611" i="1"/>
  <c r="T598" i="1" s="1"/>
  <c r="AB600" i="1"/>
  <c r="AB23" i="1"/>
  <c r="AH23" i="1"/>
  <c r="AB495" i="1"/>
  <c r="S511" i="1"/>
  <c r="T510" i="1" s="1"/>
  <c r="AH495" i="1"/>
  <c r="AB277" i="1"/>
  <c r="AH277" i="1"/>
  <c r="AB53" i="1"/>
  <c r="AH53" i="1"/>
  <c r="AH157" i="1"/>
  <c r="AB157" i="1"/>
  <c r="AB144" i="1"/>
  <c r="AH144" i="1"/>
  <c r="AB509" i="1"/>
  <c r="AH509" i="1"/>
  <c r="AH115" i="1"/>
  <c r="AB115" i="1"/>
  <c r="AH545" i="1"/>
  <c r="AB545" i="1"/>
  <c r="AH624" i="1"/>
  <c r="AB624" i="1"/>
  <c r="AH244" i="1"/>
  <c r="AB244" i="1"/>
  <c r="AB237" i="1"/>
  <c r="AH237" i="1"/>
  <c r="AH415" i="1"/>
  <c r="AB415" i="1"/>
  <c r="AH375" i="1"/>
  <c r="AB375" i="1"/>
  <c r="AH489" i="1"/>
  <c r="AB489" i="1"/>
  <c r="AB255" i="1"/>
  <c r="AH255" i="1"/>
  <c r="AB570" i="1"/>
  <c r="AH570" i="1"/>
  <c r="AH324" i="1"/>
  <c r="AB324" i="1"/>
  <c r="AB631" i="1"/>
  <c r="AH631" i="1"/>
  <c r="AB302" i="1"/>
  <c r="AH302" i="1"/>
  <c r="AH161" i="1"/>
  <c r="AB161" i="1"/>
  <c r="AB306" i="1"/>
  <c r="AH306" i="1"/>
  <c r="AH236" i="1"/>
  <c r="AB236" i="1"/>
  <c r="AB189" i="1"/>
  <c r="AH189" i="1"/>
  <c r="AB25" i="1"/>
  <c r="AH25" i="1"/>
  <c r="AH588" i="1"/>
  <c r="AB588" i="1"/>
  <c r="AH211" i="1"/>
  <c r="AB211" i="1"/>
  <c r="AB590" i="1"/>
  <c r="AH590" i="1"/>
  <c r="AH300" i="1"/>
  <c r="AB300" i="1"/>
  <c r="AH463" i="1"/>
  <c r="AB463" i="1"/>
  <c r="AH223" i="1"/>
  <c r="AB223" i="1"/>
  <c r="AB577" i="1"/>
  <c r="AH577" i="1"/>
  <c r="AH586" i="1"/>
  <c r="AB586" i="1"/>
  <c r="AH321" i="1"/>
  <c r="AB321" i="1"/>
  <c r="AH135" i="1"/>
  <c r="AB135" i="1"/>
  <c r="AH265" i="1"/>
  <c r="AB265" i="1"/>
  <c r="AH96" i="1"/>
  <c r="AB96" i="1"/>
  <c r="AB127" i="1"/>
  <c r="AH127" i="1"/>
  <c r="AB362" i="1"/>
  <c r="AH362" i="1"/>
  <c r="P643" i="1"/>
  <c r="R643" i="1"/>
  <c r="N643" i="1"/>
  <c r="P611" i="1"/>
  <c r="R611" i="1"/>
  <c r="N611" i="1"/>
  <c r="P581" i="1"/>
  <c r="R581" i="1"/>
  <c r="N581" i="1"/>
  <c r="P546" i="1"/>
  <c r="R546" i="1"/>
  <c r="N546" i="1"/>
  <c r="P511" i="1"/>
  <c r="R511" i="1"/>
  <c r="N511" i="1"/>
  <c r="P471" i="1"/>
  <c r="R471" i="1"/>
  <c r="N471" i="1"/>
  <c r="P432" i="1"/>
  <c r="R432" i="1"/>
  <c r="N432" i="1"/>
  <c r="P392" i="1"/>
  <c r="R392" i="1"/>
  <c r="N392" i="1"/>
  <c r="P374" i="1"/>
  <c r="R374" i="1"/>
  <c r="N374" i="1"/>
  <c r="P358" i="1"/>
  <c r="R358" i="1"/>
  <c r="N358" i="1"/>
  <c r="P320" i="1"/>
  <c r="R320" i="1"/>
  <c r="N320" i="1"/>
  <c r="P288" i="1"/>
  <c r="R288" i="1"/>
  <c r="N288" i="1"/>
  <c r="P245" i="1"/>
  <c r="R245" i="1"/>
  <c r="N245" i="1"/>
  <c r="P212" i="1"/>
  <c r="R212" i="1"/>
  <c r="N212" i="1"/>
  <c r="P183" i="1"/>
  <c r="R183" i="1"/>
  <c r="N183" i="1"/>
  <c r="P137" i="1"/>
  <c r="R137" i="1"/>
  <c r="N137" i="1"/>
  <c r="P113" i="1"/>
  <c r="R113" i="1"/>
  <c r="N113" i="1"/>
  <c r="P85" i="1"/>
  <c r="R85" i="1"/>
  <c r="N85" i="1"/>
  <c r="P57" i="1"/>
  <c r="R57" i="1"/>
  <c r="N57" i="1"/>
  <c r="P29" i="1"/>
  <c r="N29" i="1"/>
  <c r="O2" i="1" s="1"/>
  <c r="AB85" i="1" l="1"/>
  <c r="T18" i="1"/>
  <c r="T252" i="1"/>
  <c r="T520" i="1"/>
  <c r="T309" i="1"/>
  <c r="T311" i="1"/>
  <c r="T306" i="1"/>
  <c r="T258" i="1"/>
  <c r="T254" i="1"/>
  <c r="T142" i="1"/>
  <c r="T63" i="1"/>
  <c r="T80" i="1"/>
  <c r="T66" i="1"/>
  <c r="T607" i="1"/>
  <c r="T544" i="1"/>
  <c r="T529" i="1"/>
  <c r="T534" i="1"/>
  <c r="T512" i="1"/>
  <c r="T501" i="1"/>
  <c r="T503" i="1"/>
  <c r="T295" i="1"/>
  <c r="T126" i="1"/>
  <c r="T67" i="1"/>
  <c r="T59" i="1"/>
  <c r="T336" i="1"/>
  <c r="T185" i="1"/>
  <c r="T284" i="1"/>
  <c r="T448" i="1"/>
  <c r="T484" i="1"/>
  <c r="T515" i="1"/>
  <c r="T600" i="1"/>
  <c r="T211" i="1"/>
  <c r="T613" i="1"/>
  <c r="T261" i="1"/>
  <c r="T519" i="1"/>
  <c r="T517" i="1"/>
  <c r="T595" i="1"/>
  <c r="T56" i="1"/>
  <c r="T198" i="1"/>
  <c r="T524" i="1"/>
  <c r="T601" i="1"/>
  <c r="T300" i="1"/>
  <c r="T476" i="1"/>
  <c r="T523" i="1"/>
  <c r="T518" i="1"/>
  <c r="T65" i="1"/>
  <c r="T491" i="1"/>
  <c r="T535" i="1"/>
  <c r="T545" i="1"/>
  <c r="T641" i="1"/>
  <c r="T508" i="1"/>
  <c r="T531" i="1"/>
  <c r="T537" i="1"/>
  <c r="T640" i="1"/>
  <c r="T84" i="1"/>
  <c r="T526" i="1"/>
  <c r="T582" i="1"/>
  <c r="T499" i="1"/>
  <c r="T530" i="1"/>
  <c r="T605" i="1"/>
  <c r="T196" i="1"/>
  <c r="T521" i="1"/>
  <c r="T516" i="1"/>
  <c r="T161" i="1"/>
  <c r="T541" i="1"/>
  <c r="O618" i="1"/>
  <c r="U618" i="1" s="1"/>
  <c r="O630" i="1"/>
  <c r="U630" i="1" s="1"/>
  <c r="O642" i="1"/>
  <c r="U642" i="1" s="1"/>
  <c r="O623" i="1"/>
  <c r="U623" i="1" s="1"/>
  <c r="O631" i="1"/>
  <c r="U631" i="1" s="1"/>
  <c r="O625" i="1"/>
  <c r="U625" i="1" s="1"/>
  <c r="O626" i="1"/>
  <c r="U626" i="1" s="1"/>
  <c r="O637" i="1"/>
  <c r="U637" i="1" s="1"/>
  <c r="O619" i="1"/>
  <c r="U619" i="1" s="1"/>
  <c r="O617" i="1"/>
  <c r="U617" i="1" s="1"/>
  <c r="O624" i="1"/>
  <c r="U624" i="1" s="1"/>
  <c r="O615" i="1"/>
  <c r="U615" i="1" s="1"/>
  <c r="O629" i="1"/>
  <c r="U629" i="1" s="1"/>
  <c r="O634" i="1"/>
  <c r="U634" i="1" s="1"/>
  <c r="O614" i="1"/>
  <c r="O639" i="1"/>
  <c r="U639" i="1" s="1"/>
  <c r="O612" i="1"/>
  <c r="U612" i="1" s="1"/>
  <c r="O635" i="1"/>
  <c r="U635" i="1" s="1"/>
  <c r="O627" i="1"/>
  <c r="U627" i="1" s="1"/>
  <c r="O632" i="1"/>
  <c r="U632" i="1" s="1"/>
  <c r="O616" i="1"/>
  <c r="U616" i="1" s="1"/>
  <c r="O638" i="1"/>
  <c r="U638" i="1" s="1"/>
  <c r="O622" i="1"/>
  <c r="U622" i="1" s="1"/>
  <c r="O636" i="1"/>
  <c r="U636" i="1" s="1"/>
  <c r="O633" i="1"/>
  <c r="U633" i="1" s="1"/>
  <c r="O641" i="1"/>
  <c r="U641" i="1" s="1"/>
  <c r="O628" i="1"/>
  <c r="U628" i="1" s="1"/>
  <c r="O620" i="1"/>
  <c r="U620" i="1" s="1"/>
  <c r="O613" i="1"/>
  <c r="U613" i="1" s="1"/>
  <c r="O640" i="1"/>
  <c r="U640" i="1" s="1"/>
  <c r="O621" i="1"/>
  <c r="U621" i="1" s="1"/>
  <c r="T616" i="1"/>
  <c r="T632" i="1"/>
  <c r="T615" i="1"/>
  <c r="T612" i="1"/>
  <c r="T625" i="1"/>
  <c r="T642" i="1"/>
  <c r="T634" i="1"/>
  <c r="T617" i="1"/>
  <c r="T622" i="1"/>
  <c r="T626" i="1"/>
  <c r="T638" i="1"/>
  <c r="T637" i="1"/>
  <c r="T624" i="1"/>
  <c r="T628" i="1"/>
  <c r="T631" i="1"/>
  <c r="T619" i="1"/>
  <c r="T614" i="1"/>
  <c r="T627" i="1"/>
  <c r="T635" i="1"/>
  <c r="T630" i="1"/>
  <c r="T618" i="1"/>
  <c r="T636" i="1"/>
  <c r="T620" i="1"/>
  <c r="T623" i="1"/>
  <c r="T621" i="1"/>
  <c r="T629" i="1"/>
  <c r="T639" i="1"/>
  <c r="T602" i="1"/>
  <c r="T586" i="1"/>
  <c r="O595" i="1"/>
  <c r="U595" i="1" s="1"/>
  <c r="O610" i="1"/>
  <c r="U610" i="1" s="1"/>
  <c r="O584" i="1"/>
  <c r="U584" i="1" s="1"/>
  <c r="O605" i="1"/>
  <c r="U605" i="1" s="1"/>
  <c r="O591" i="1"/>
  <c r="U591" i="1" s="1"/>
  <c r="O582" i="1"/>
  <c r="U582" i="1" s="1"/>
  <c r="O589" i="1"/>
  <c r="U589" i="1" s="1"/>
  <c r="O594" i="1"/>
  <c r="U594" i="1" s="1"/>
  <c r="O607" i="1"/>
  <c r="U607" i="1" s="1"/>
  <c r="O601" i="1"/>
  <c r="U601" i="1" s="1"/>
  <c r="O593" i="1"/>
  <c r="U593" i="1" s="1"/>
  <c r="O590" i="1"/>
  <c r="U590" i="1" s="1"/>
  <c r="O609" i="1"/>
  <c r="U609" i="1" s="1"/>
  <c r="O604" i="1"/>
  <c r="U604" i="1" s="1"/>
  <c r="O600" i="1"/>
  <c r="U600" i="1" s="1"/>
  <c r="O592" i="1"/>
  <c r="U592" i="1" s="1"/>
  <c r="O587" i="1"/>
  <c r="U587" i="1" s="1"/>
  <c r="O586" i="1"/>
  <c r="U586" i="1" s="1"/>
  <c r="O583" i="1"/>
  <c r="O598" i="1"/>
  <c r="U598" i="1" s="1"/>
  <c r="O588" i="1"/>
  <c r="U588" i="1" s="1"/>
  <c r="O596" i="1"/>
  <c r="U596" i="1" s="1"/>
  <c r="O608" i="1"/>
  <c r="U608" i="1" s="1"/>
  <c r="O606" i="1"/>
  <c r="U606" i="1" s="1"/>
  <c r="O597" i="1"/>
  <c r="U597" i="1" s="1"/>
  <c r="O603" i="1"/>
  <c r="U603" i="1" s="1"/>
  <c r="O602" i="1"/>
  <c r="U602" i="1" s="1"/>
  <c r="O599" i="1"/>
  <c r="U599" i="1" s="1"/>
  <c r="O585" i="1"/>
  <c r="U585" i="1" s="1"/>
  <c r="T604" i="1"/>
  <c r="T609" i="1"/>
  <c r="T584" i="1"/>
  <c r="T608" i="1"/>
  <c r="T596" i="1"/>
  <c r="T585" i="1"/>
  <c r="T587" i="1"/>
  <c r="T603" i="1"/>
  <c r="T606" i="1"/>
  <c r="T593" i="1"/>
  <c r="T583" i="1"/>
  <c r="T599" i="1"/>
  <c r="T592" i="1"/>
  <c r="T594" i="1"/>
  <c r="T591" i="1"/>
  <c r="T590" i="1"/>
  <c r="T610" i="1"/>
  <c r="T597" i="1"/>
  <c r="T589" i="1"/>
  <c r="T588" i="1"/>
  <c r="O551" i="1"/>
  <c r="U551" i="1" s="1"/>
  <c r="O571" i="1"/>
  <c r="U571" i="1" s="1"/>
  <c r="O557" i="1"/>
  <c r="U557" i="1" s="1"/>
  <c r="O577" i="1"/>
  <c r="U577" i="1" s="1"/>
  <c r="O578" i="1"/>
  <c r="U578" i="1" s="1"/>
  <c r="O568" i="1"/>
  <c r="U568" i="1" s="1"/>
  <c r="O565" i="1"/>
  <c r="U565" i="1" s="1"/>
  <c r="O561" i="1"/>
  <c r="U561" i="1" s="1"/>
  <c r="O554" i="1"/>
  <c r="U554" i="1" s="1"/>
  <c r="O549" i="1"/>
  <c r="U549" i="1" s="1"/>
  <c r="O570" i="1"/>
  <c r="U570" i="1" s="1"/>
  <c r="O576" i="1"/>
  <c r="U576" i="1" s="1"/>
  <c r="O566" i="1"/>
  <c r="U566" i="1" s="1"/>
  <c r="O569" i="1"/>
  <c r="U569" i="1" s="1"/>
  <c r="O574" i="1"/>
  <c r="U574" i="1" s="1"/>
  <c r="O579" i="1"/>
  <c r="U579" i="1" s="1"/>
  <c r="O552" i="1"/>
  <c r="U552" i="1" s="1"/>
  <c r="O553" i="1"/>
  <c r="O556" i="1"/>
  <c r="U556" i="1" s="1"/>
  <c r="O572" i="1"/>
  <c r="U572" i="1" s="1"/>
  <c r="O575" i="1"/>
  <c r="U575" i="1" s="1"/>
  <c r="O547" i="1"/>
  <c r="U547" i="1" s="1"/>
  <c r="O550" i="1"/>
  <c r="U550" i="1" s="1"/>
  <c r="O580" i="1"/>
  <c r="U580" i="1" s="1"/>
  <c r="O558" i="1"/>
  <c r="U558" i="1" s="1"/>
  <c r="O559" i="1"/>
  <c r="U559" i="1" s="1"/>
  <c r="O573" i="1"/>
  <c r="U573" i="1" s="1"/>
  <c r="O562" i="1"/>
  <c r="U562" i="1" s="1"/>
  <c r="O555" i="1"/>
  <c r="U555" i="1" s="1"/>
  <c r="O567" i="1"/>
  <c r="U567" i="1" s="1"/>
  <c r="O560" i="1"/>
  <c r="U560" i="1" s="1"/>
  <c r="O548" i="1"/>
  <c r="U548" i="1" s="1"/>
  <c r="O564" i="1"/>
  <c r="U564" i="1" s="1"/>
  <c r="O563" i="1"/>
  <c r="U563" i="1" s="1"/>
  <c r="T561" i="1"/>
  <c r="T556" i="1"/>
  <c r="T577" i="1"/>
  <c r="T551" i="1"/>
  <c r="T575" i="1"/>
  <c r="T576" i="1"/>
  <c r="T553" i="1"/>
  <c r="T580" i="1"/>
  <c r="T565" i="1"/>
  <c r="T571" i="1"/>
  <c r="T547" i="1"/>
  <c r="T579" i="1"/>
  <c r="T569" i="1"/>
  <c r="T578" i="1"/>
  <c r="T562" i="1"/>
  <c r="T548" i="1"/>
  <c r="T572" i="1"/>
  <c r="T570" i="1"/>
  <c r="T566" i="1"/>
  <c r="T573" i="1"/>
  <c r="T552" i="1"/>
  <c r="T560" i="1"/>
  <c r="T558" i="1"/>
  <c r="T564" i="1"/>
  <c r="T550" i="1"/>
  <c r="T549" i="1"/>
  <c r="T574" i="1"/>
  <c r="T559" i="1"/>
  <c r="T563" i="1"/>
  <c r="T557" i="1"/>
  <c r="T554" i="1"/>
  <c r="T568" i="1"/>
  <c r="T567" i="1"/>
  <c r="T528" i="1"/>
  <c r="T525" i="1"/>
  <c r="T543" i="1"/>
  <c r="T527" i="1"/>
  <c r="T539" i="1"/>
  <c r="O521" i="1"/>
  <c r="U521" i="1" s="1"/>
  <c r="O542" i="1"/>
  <c r="U542" i="1" s="1"/>
  <c r="O545" i="1"/>
  <c r="U545" i="1" s="1"/>
  <c r="O528" i="1"/>
  <c r="U528" i="1" s="1"/>
  <c r="O527" i="1"/>
  <c r="U527" i="1" s="1"/>
  <c r="O537" i="1"/>
  <c r="U537" i="1" s="1"/>
  <c r="O512" i="1"/>
  <c r="U512" i="1" s="1"/>
  <c r="O520" i="1"/>
  <c r="U520" i="1" s="1"/>
  <c r="O538" i="1"/>
  <c r="U538" i="1" s="1"/>
  <c r="O518" i="1"/>
  <c r="U518" i="1" s="1"/>
  <c r="O536" i="1"/>
  <c r="U536" i="1" s="1"/>
  <c r="O532" i="1"/>
  <c r="U532" i="1" s="1"/>
  <c r="O515" i="1"/>
  <c r="U515" i="1" s="1"/>
  <c r="O517" i="1"/>
  <c r="U517" i="1" s="1"/>
  <c r="O514" i="1"/>
  <c r="O526" i="1"/>
  <c r="U526" i="1" s="1"/>
  <c r="O516" i="1"/>
  <c r="U516" i="1" s="1"/>
  <c r="O535" i="1"/>
  <c r="U535" i="1" s="1"/>
  <c r="O513" i="1"/>
  <c r="U513" i="1" s="1"/>
  <c r="O530" i="1"/>
  <c r="U530" i="1" s="1"/>
  <c r="O539" i="1"/>
  <c r="U539" i="1" s="1"/>
  <c r="O531" i="1"/>
  <c r="U531" i="1" s="1"/>
  <c r="O524" i="1"/>
  <c r="U524" i="1" s="1"/>
  <c r="O544" i="1"/>
  <c r="U544" i="1" s="1"/>
  <c r="O534" i="1"/>
  <c r="U534" i="1" s="1"/>
  <c r="O529" i="1"/>
  <c r="U529" i="1" s="1"/>
  <c r="O540" i="1"/>
  <c r="U540" i="1" s="1"/>
  <c r="O533" i="1"/>
  <c r="U533" i="1" s="1"/>
  <c r="O541" i="1"/>
  <c r="U541" i="1" s="1"/>
  <c r="O543" i="1"/>
  <c r="U543" i="1" s="1"/>
  <c r="O522" i="1"/>
  <c r="U522" i="1" s="1"/>
  <c r="O525" i="1"/>
  <c r="U525" i="1" s="1"/>
  <c r="O523" i="1"/>
  <c r="U523" i="1" s="1"/>
  <c r="O519" i="1"/>
  <c r="U519" i="1" s="1"/>
  <c r="T538" i="1"/>
  <c r="T536" i="1"/>
  <c r="T522" i="1"/>
  <c r="T532" i="1"/>
  <c r="T513" i="1"/>
  <c r="T533" i="1"/>
  <c r="T514" i="1"/>
  <c r="T540" i="1"/>
  <c r="T504" i="1"/>
  <c r="T472" i="1"/>
  <c r="T490" i="1"/>
  <c r="T507" i="1"/>
  <c r="T492" i="1"/>
  <c r="T483" i="1"/>
  <c r="T488" i="1"/>
  <c r="T477" i="1"/>
  <c r="T496" i="1"/>
  <c r="T493" i="1"/>
  <c r="T480" i="1"/>
  <c r="T481" i="1"/>
  <c r="T485" i="1"/>
  <c r="T474" i="1"/>
  <c r="T494" i="1"/>
  <c r="T486" i="1"/>
  <c r="T478" i="1"/>
  <c r="T487" i="1"/>
  <c r="T506" i="1"/>
  <c r="T500" i="1"/>
  <c r="T489" i="1"/>
  <c r="T475" i="1"/>
  <c r="T505" i="1"/>
  <c r="T473" i="1"/>
  <c r="O478" i="1"/>
  <c r="U478" i="1" s="1"/>
  <c r="O492" i="1"/>
  <c r="U492" i="1" s="1"/>
  <c r="O489" i="1"/>
  <c r="U489" i="1" s="1"/>
  <c r="O491" i="1"/>
  <c r="U491" i="1" s="1"/>
  <c r="O474" i="1"/>
  <c r="U474" i="1" s="1"/>
  <c r="O494" i="1"/>
  <c r="U494" i="1" s="1"/>
  <c r="O485" i="1"/>
  <c r="U485" i="1" s="1"/>
  <c r="O487" i="1"/>
  <c r="U487" i="1" s="1"/>
  <c r="O490" i="1"/>
  <c r="U490" i="1" s="1"/>
  <c r="O483" i="1"/>
  <c r="U483" i="1" s="1"/>
  <c r="O486" i="1"/>
  <c r="U486" i="1" s="1"/>
  <c r="O473" i="1"/>
  <c r="U473" i="1" s="1"/>
  <c r="O507" i="1"/>
  <c r="U507" i="1" s="1"/>
  <c r="O500" i="1"/>
  <c r="U500" i="1" s="1"/>
  <c r="O496" i="1"/>
  <c r="U496" i="1" s="1"/>
  <c r="O510" i="1"/>
  <c r="U510" i="1" s="1"/>
  <c r="O476" i="1"/>
  <c r="U476" i="1" s="1"/>
  <c r="O499" i="1"/>
  <c r="U499" i="1" s="1"/>
  <c r="O481" i="1"/>
  <c r="U481" i="1" s="1"/>
  <c r="O497" i="1"/>
  <c r="U497" i="1" s="1"/>
  <c r="O509" i="1"/>
  <c r="U509" i="1" s="1"/>
  <c r="O501" i="1"/>
  <c r="U501" i="1" s="1"/>
  <c r="O495" i="1"/>
  <c r="U495" i="1" s="1"/>
  <c r="O475" i="1"/>
  <c r="U475" i="1" s="1"/>
  <c r="O503" i="1"/>
  <c r="U503" i="1" s="1"/>
  <c r="O472" i="1"/>
  <c r="U472" i="1" s="1"/>
  <c r="O479" i="1"/>
  <c r="U479" i="1" s="1"/>
  <c r="O508" i="1"/>
  <c r="U508" i="1" s="1"/>
  <c r="O498" i="1"/>
  <c r="U498" i="1" s="1"/>
  <c r="O488" i="1"/>
  <c r="U488" i="1" s="1"/>
  <c r="O480" i="1"/>
  <c r="O502" i="1"/>
  <c r="U502" i="1" s="1"/>
  <c r="O505" i="1"/>
  <c r="U505" i="1" s="1"/>
  <c r="O504" i="1"/>
  <c r="U504" i="1" s="1"/>
  <c r="O484" i="1"/>
  <c r="U484" i="1" s="1"/>
  <c r="O506" i="1"/>
  <c r="U506" i="1" s="1"/>
  <c r="O482" i="1"/>
  <c r="U482" i="1" s="1"/>
  <c r="O477" i="1"/>
  <c r="U477" i="1" s="1"/>
  <c r="O493" i="1"/>
  <c r="U493" i="1" s="1"/>
  <c r="T502" i="1"/>
  <c r="T482" i="1"/>
  <c r="T495" i="1"/>
  <c r="T497" i="1"/>
  <c r="T479" i="1"/>
  <c r="T498" i="1"/>
  <c r="T509" i="1"/>
  <c r="T438" i="1"/>
  <c r="T449" i="1"/>
  <c r="T468" i="1"/>
  <c r="T443" i="1"/>
  <c r="T458" i="1"/>
  <c r="T441" i="1"/>
  <c r="T467" i="1"/>
  <c r="T453" i="1"/>
  <c r="T461" i="1"/>
  <c r="T439" i="1"/>
  <c r="T465" i="1"/>
  <c r="T437" i="1"/>
  <c r="T442" i="1"/>
  <c r="T470" i="1"/>
  <c r="T447" i="1"/>
  <c r="T462" i="1"/>
  <c r="T460" i="1"/>
  <c r="T451" i="1"/>
  <c r="T446" i="1"/>
  <c r="T456" i="1"/>
  <c r="T435" i="1"/>
  <c r="T459" i="1"/>
  <c r="T463" i="1"/>
  <c r="T450" i="1"/>
  <c r="T436" i="1"/>
  <c r="T452" i="1"/>
  <c r="T464" i="1"/>
  <c r="T434" i="1"/>
  <c r="T454" i="1"/>
  <c r="T444" i="1"/>
  <c r="T466" i="1"/>
  <c r="T440" i="1"/>
  <c r="T445" i="1"/>
  <c r="O449" i="1"/>
  <c r="U449" i="1" s="1"/>
  <c r="O453" i="1"/>
  <c r="U453" i="1" s="1"/>
  <c r="O444" i="1"/>
  <c r="U444" i="1" s="1"/>
  <c r="O435" i="1"/>
  <c r="U435" i="1" s="1"/>
  <c r="O457" i="1"/>
  <c r="U457" i="1" s="1"/>
  <c r="O454" i="1"/>
  <c r="U454" i="1" s="1"/>
  <c r="O442" i="1"/>
  <c r="U442" i="1" s="1"/>
  <c r="O464" i="1"/>
  <c r="U464" i="1" s="1"/>
  <c r="O448" i="1"/>
  <c r="U448" i="1" s="1"/>
  <c r="O434" i="1"/>
  <c r="U434" i="1" s="1"/>
  <c r="O455" i="1"/>
  <c r="U455" i="1" s="1"/>
  <c r="O456" i="1"/>
  <c r="U456" i="1" s="1"/>
  <c r="O440" i="1"/>
  <c r="U440" i="1" s="1"/>
  <c r="O451" i="1"/>
  <c r="U451" i="1" s="1"/>
  <c r="O447" i="1"/>
  <c r="U447" i="1" s="1"/>
  <c r="O437" i="1"/>
  <c r="U437" i="1" s="1"/>
  <c r="O450" i="1"/>
  <c r="U450" i="1" s="1"/>
  <c r="O445" i="1"/>
  <c r="U445" i="1" s="1"/>
  <c r="O458" i="1"/>
  <c r="U458" i="1" s="1"/>
  <c r="O460" i="1"/>
  <c r="U460" i="1" s="1"/>
  <c r="O439" i="1"/>
  <c r="U439" i="1" s="1"/>
  <c r="O467" i="1"/>
  <c r="U467" i="1" s="1"/>
  <c r="O452" i="1"/>
  <c r="U452" i="1" s="1"/>
  <c r="O438" i="1"/>
  <c r="U438" i="1" s="1"/>
  <c r="O436" i="1"/>
  <c r="U436" i="1" s="1"/>
  <c r="O443" i="1"/>
  <c r="U443" i="1" s="1"/>
  <c r="O441" i="1"/>
  <c r="O459" i="1"/>
  <c r="U459" i="1" s="1"/>
  <c r="O463" i="1"/>
  <c r="U463" i="1" s="1"/>
  <c r="O469" i="1"/>
  <c r="U469" i="1" s="1"/>
  <c r="O446" i="1"/>
  <c r="U446" i="1" s="1"/>
  <c r="O468" i="1"/>
  <c r="U468" i="1" s="1"/>
  <c r="O461" i="1"/>
  <c r="U461" i="1" s="1"/>
  <c r="O466" i="1"/>
  <c r="U466" i="1" s="1"/>
  <c r="O433" i="1"/>
  <c r="U433" i="1" s="1"/>
  <c r="O470" i="1"/>
  <c r="U470" i="1" s="1"/>
  <c r="O462" i="1"/>
  <c r="U462" i="1" s="1"/>
  <c r="O465" i="1"/>
  <c r="U465" i="1" s="1"/>
  <c r="T457" i="1"/>
  <c r="T469" i="1"/>
  <c r="T455" i="1"/>
  <c r="O397" i="1"/>
  <c r="O404" i="1"/>
  <c r="U404" i="1" s="1"/>
  <c r="O410" i="1"/>
  <c r="U410" i="1" s="1"/>
  <c r="O419" i="1"/>
  <c r="U419" i="1" s="1"/>
  <c r="O416" i="1"/>
  <c r="U416" i="1" s="1"/>
  <c r="O431" i="1"/>
  <c r="U431" i="1" s="1"/>
  <c r="O398" i="1"/>
  <c r="U398" i="1" s="1"/>
  <c r="O426" i="1"/>
  <c r="U426" i="1" s="1"/>
  <c r="O393" i="1"/>
  <c r="U393" i="1" s="1"/>
  <c r="O414" i="1"/>
  <c r="U414" i="1" s="1"/>
  <c r="O429" i="1"/>
  <c r="U429" i="1" s="1"/>
  <c r="O408" i="1"/>
  <c r="U408" i="1" s="1"/>
  <c r="O412" i="1"/>
  <c r="U412" i="1" s="1"/>
  <c r="O401" i="1"/>
  <c r="U401" i="1" s="1"/>
  <c r="O399" i="1"/>
  <c r="U399" i="1" s="1"/>
  <c r="O422" i="1"/>
  <c r="U422" i="1" s="1"/>
  <c r="O424" i="1"/>
  <c r="U424" i="1" s="1"/>
  <c r="O396" i="1"/>
  <c r="U396" i="1" s="1"/>
  <c r="O420" i="1"/>
  <c r="U420" i="1" s="1"/>
  <c r="O418" i="1"/>
  <c r="U418" i="1" s="1"/>
  <c r="O428" i="1"/>
  <c r="U428" i="1" s="1"/>
  <c r="O402" i="1"/>
  <c r="U402" i="1" s="1"/>
  <c r="O417" i="1"/>
  <c r="U417" i="1" s="1"/>
  <c r="O413" i="1"/>
  <c r="U413" i="1" s="1"/>
  <c r="O395" i="1"/>
  <c r="U395" i="1" s="1"/>
  <c r="O405" i="1"/>
  <c r="U405" i="1" s="1"/>
  <c r="O411" i="1"/>
  <c r="U411" i="1" s="1"/>
  <c r="O394" i="1"/>
  <c r="U394" i="1" s="1"/>
  <c r="O400" i="1"/>
  <c r="U400" i="1" s="1"/>
  <c r="O425" i="1"/>
  <c r="U425" i="1" s="1"/>
  <c r="O403" i="1"/>
  <c r="U403" i="1" s="1"/>
  <c r="O407" i="1"/>
  <c r="U407" i="1" s="1"/>
  <c r="O427" i="1"/>
  <c r="U427" i="1" s="1"/>
  <c r="O409" i="1"/>
  <c r="U409" i="1" s="1"/>
  <c r="O421" i="1"/>
  <c r="U421" i="1" s="1"/>
  <c r="O430" i="1"/>
  <c r="U430" i="1" s="1"/>
  <c r="O415" i="1"/>
  <c r="U415" i="1" s="1"/>
  <c r="O423" i="1"/>
  <c r="U423" i="1" s="1"/>
  <c r="O406" i="1"/>
  <c r="U406" i="1" s="1"/>
  <c r="T408" i="1"/>
  <c r="T426" i="1"/>
  <c r="T416" i="1"/>
  <c r="T403" i="1"/>
  <c r="O384" i="1"/>
  <c r="U384" i="1" s="1"/>
  <c r="O381" i="1"/>
  <c r="U381" i="1" s="1"/>
  <c r="O383" i="1"/>
  <c r="U383" i="1" s="1"/>
  <c r="O391" i="1"/>
  <c r="U391" i="1" s="1"/>
  <c r="O375" i="1"/>
  <c r="U375" i="1" s="1"/>
  <c r="O378" i="1"/>
  <c r="U378" i="1" s="1"/>
  <c r="O377" i="1"/>
  <c r="U377" i="1" s="1"/>
  <c r="O382" i="1"/>
  <c r="U382" i="1" s="1"/>
  <c r="O386" i="1"/>
  <c r="U386" i="1" s="1"/>
  <c r="O389" i="1"/>
  <c r="U389" i="1" s="1"/>
  <c r="O388" i="1"/>
  <c r="U388" i="1" s="1"/>
  <c r="O387" i="1"/>
  <c r="U387" i="1" s="1"/>
  <c r="O380" i="1"/>
  <c r="U380" i="1" s="1"/>
  <c r="O385" i="1"/>
  <c r="U385" i="1" s="1"/>
  <c r="O379" i="1"/>
  <c r="U379" i="1" s="1"/>
  <c r="O376" i="1"/>
  <c r="O390" i="1"/>
  <c r="U390" i="1" s="1"/>
  <c r="T371" i="1"/>
  <c r="O371" i="1"/>
  <c r="U371" i="1" s="1"/>
  <c r="O367" i="1"/>
  <c r="U367" i="1" s="1"/>
  <c r="O361" i="1"/>
  <c r="U361" i="1" s="1"/>
  <c r="O362" i="1"/>
  <c r="U362" i="1" s="1"/>
  <c r="O365" i="1"/>
  <c r="U365" i="1" s="1"/>
  <c r="O363" i="1"/>
  <c r="U363" i="1" s="1"/>
  <c r="O368" i="1"/>
  <c r="U368" i="1" s="1"/>
  <c r="O372" i="1"/>
  <c r="U372" i="1" s="1"/>
  <c r="O373" i="1"/>
  <c r="U373" i="1" s="1"/>
  <c r="O359" i="1"/>
  <c r="U359" i="1" s="1"/>
  <c r="O366" i="1"/>
  <c r="U366" i="1" s="1"/>
  <c r="O369" i="1"/>
  <c r="U369" i="1" s="1"/>
  <c r="O364" i="1"/>
  <c r="U364" i="1" s="1"/>
  <c r="O360" i="1"/>
  <c r="O370" i="1"/>
  <c r="U370" i="1" s="1"/>
  <c r="O337" i="1"/>
  <c r="U337" i="1" s="1"/>
  <c r="O351" i="1"/>
  <c r="U351" i="1" s="1"/>
  <c r="O336" i="1"/>
  <c r="U336" i="1" s="1"/>
  <c r="O335" i="1"/>
  <c r="U335" i="1" s="1"/>
  <c r="O347" i="1"/>
  <c r="U347" i="1" s="1"/>
  <c r="O356" i="1"/>
  <c r="U356" i="1" s="1"/>
  <c r="O344" i="1"/>
  <c r="U344" i="1" s="1"/>
  <c r="O345" i="1"/>
  <c r="U345" i="1" s="1"/>
  <c r="O357" i="1"/>
  <c r="U357" i="1" s="1"/>
  <c r="O349" i="1"/>
  <c r="U349" i="1" s="1"/>
  <c r="O341" i="1"/>
  <c r="U341" i="1" s="1"/>
  <c r="O321" i="1"/>
  <c r="U321" i="1" s="1"/>
  <c r="O354" i="1"/>
  <c r="U354" i="1" s="1"/>
  <c r="O329" i="1"/>
  <c r="U329" i="1" s="1"/>
  <c r="O338" i="1"/>
  <c r="U338" i="1" s="1"/>
  <c r="O355" i="1"/>
  <c r="U355" i="1" s="1"/>
  <c r="O332" i="1"/>
  <c r="U332" i="1" s="1"/>
  <c r="O340" i="1"/>
  <c r="U340" i="1" s="1"/>
  <c r="O334" i="1"/>
  <c r="U334" i="1" s="1"/>
  <c r="O350" i="1"/>
  <c r="U350" i="1" s="1"/>
  <c r="O331" i="1"/>
  <c r="U331" i="1" s="1"/>
  <c r="O328" i="1"/>
  <c r="U328" i="1" s="1"/>
  <c r="O348" i="1"/>
  <c r="U348" i="1" s="1"/>
  <c r="O342" i="1"/>
  <c r="U342" i="1" s="1"/>
  <c r="O327" i="1"/>
  <c r="U327" i="1" s="1"/>
  <c r="O333" i="1"/>
  <c r="U333" i="1" s="1"/>
  <c r="O330" i="1"/>
  <c r="U330" i="1" s="1"/>
  <c r="O324" i="1"/>
  <c r="U324" i="1" s="1"/>
  <c r="O326" i="1"/>
  <c r="U326" i="1" s="1"/>
  <c r="O325" i="1"/>
  <c r="U325" i="1" s="1"/>
  <c r="O346" i="1"/>
  <c r="U346" i="1" s="1"/>
  <c r="O323" i="1"/>
  <c r="U323" i="1" s="1"/>
  <c r="O353" i="1"/>
  <c r="U353" i="1" s="1"/>
  <c r="O322" i="1"/>
  <c r="O339" i="1"/>
  <c r="U339" i="1" s="1"/>
  <c r="O352" i="1"/>
  <c r="U352" i="1" s="1"/>
  <c r="O343" i="1"/>
  <c r="U343" i="1" s="1"/>
  <c r="T338" i="1"/>
  <c r="T349" i="1"/>
  <c r="T299" i="1"/>
  <c r="T305" i="1"/>
  <c r="T318" i="1"/>
  <c r="T316" i="1"/>
  <c r="O304" i="1"/>
  <c r="U304" i="1" s="1"/>
  <c r="O293" i="1"/>
  <c r="U293" i="1" s="1"/>
  <c r="O308" i="1"/>
  <c r="U308" i="1" s="1"/>
  <c r="O305" i="1"/>
  <c r="U305" i="1" s="1"/>
  <c r="O309" i="1"/>
  <c r="U309" i="1" s="1"/>
  <c r="O306" i="1"/>
  <c r="U306" i="1" s="1"/>
  <c r="O297" i="1"/>
  <c r="U297" i="1" s="1"/>
  <c r="O316" i="1"/>
  <c r="U316" i="1" s="1"/>
  <c r="O313" i="1"/>
  <c r="U313" i="1" s="1"/>
  <c r="O314" i="1"/>
  <c r="U314" i="1" s="1"/>
  <c r="O312" i="1"/>
  <c r="U312" i="1" s="1"/>
  <c r="O296" i="1"/>
  <c r="U296" i="1" s="1"/>
  <c r="O303" i="1"/>
  <c r="U303" i="1" s="1"/>
  <c r="O311" i="1"/>
  <c r="U311" i="1" s="1"/>
  <c r="O307" i="1"/>
  <c r="U307" i="1" s="1"/>
  <c r="O301" i="1"/>
  <c r="U301" i="1" s="1"/>
  <c r="O299" i="1"/>
  <c r="U299" i="1" s="1"/>
  <c r="O292" i="1"/>
  <c r="U292" i="1" s="1"/>
  <c r="O298" i="1"/>
  <c r="U298" i="1" s="1"/>
  <c r="O310" i="1"/>
  <c r="U310" i="1" s="1"/>
  <c r="O318" i="1"/>
  <c r="U318" i="1" s="1"/>
  <c r="O315" i="1"/>
  <c r="U315" i="1" s="1"/>
  <c r="O295" i="1"/>
  <c r="U295" i="1" s="1"/>
  <c r="O319" i="1"/>
  <c r="U319" i="1" s="1"/>
  <c r="O300" i="1"/>
  <c r="U300" i="1" s="1"/>
  <c r="O317" i="1"/>
  <c r="U317" i="1" s="1"/>
  <c r="O290" i="1"/>
  <c r="U290" i="1" s="1"/>
  <c r="O289" i="1"/>
  <c r="O291" i="1"/>
  <c r="U291" i="1" s="1"/>
  <c r="O294" i="1"/>
  <c r="U294" i="1" s="1"/>
  <c r="O302" i="1"/>
  <c r="U302" i="1" s="1"/>
  <c r="O256" i="1"/>
  <c r="U256" i="1" s="1"/>
  <c r="O282" i="1"/>
  <c r="U282" i="1" s="1"/>
  <c r="O258" i="1"/>
  <c r="U258" i="1" s="1"/>
  <c r="O271" i="1"/>
  <c r="U271" i="1" s="1"/>
  <c r="O254" i="1"/>
  <c r="U254" i="1" s="1"/>
  <c r="O276" i="1"/>
  <c r="U276" i="1" s="1"/>
  <c r="O252" i="1"/>
  <c r="U252" i="1" s="1"/>
  <c r="O266" i="1"/>
  <c r="U266" i="1" s="1"/>
  <c r="O286" i="1"/>
  <c r="U286" i="1" s="1"/>
  <c r="O285" i="1"/>
  <c r="U285" i="1" s="1"/>
  <c r="O279" i="1"/>
  <c r="U279" i="1" s="1"/>
  <c r="O270" i="1"/>
  <c r="U270" i="1" s="1"/>
  <c r="O280" i="1"/>
  <c r="U280" i="1" s="1"/>
  <c r="O287" i="1"/>
  <c r="U287" i="1" s="1"/>
  <c r="O262" i="1"/>
  <c r="U262" i="1" s="1"/>
  <c r="O261" i="1"/>
  <c r="U261" i="1" s="1"/>
  <c r="O255" i="1"/>
  <c r="U255" i="1" s="1"/>
  <c r="O284" i="1"/>
  <c r="U284" i="1" s="1"/>
  <c r="O246" i="1"/>
  <c r="O251" i="1"/>
  <c r="U251" i="1" s="1"/>
  <c r="O265" i="1"/>
  <c r="U265" i="1" s="1"/>
  <c r="O269" i="1"/>
  <c r="U269" i="1" s="1"/>
  <c r="O273" i="1"/>
  <c r="U273" i="1" s="1"/>
  <c r="O267" i="1"/>
  <c r="U267" i="1" s="1"/>
  <c r="O250" i="1"/>
  <c r="U250" i="1" s="1"/>
  <c r="O248" i="1"/>
  <c r="U248" i="1" s="1"/>
  <c r="O272" i="1"/>
  <c r="U272" i="1" s="1"/>
  <c r="O260" i="1"/>
  <c r="U260" i="1" s="1"/>
  <c r="O247" i="1"/>
  <c r="U247" i="1" s="1"/>
  <c r="O274" i="1"/>
  <c r="U274" i="1" s="1"/>
  <c r="O253" i="1"/>
  <c r="U253" i="1" s="1"/>
  <c r="O263" i="1"/>
  <c r="U263" i="1" s="1"/>
  <c r="O283" i="1"/>
  <c r="U283" i="1" s="1"/>
  <c r="O268" i="1"/>
  <c r="U268" i="1" s="1"/>
  <c r="O259" i="1"/>
  <c r="U259" i="1" s="1"/>
  <c r="O277" i="1"/>
  <c r="U277" i="1" s="1"/>
  <c r="O278" i="1"/>
  <c r="U278" i="1" s="1"/>
  <c r="O257" i="1"/>
  <c r="U257" i="1" s="1"/>
  <c r="O264" i="1"/>
  <c r="U264" i="1" s="1"/>
  <c r="O275" i="1"/>
  <c r="U275" i="1" s="1"/>
  <c r="O281" i="1"/>
  <c r="U281" i="1" s="1"/>
  <c r="O249" i="1"/>
  <c r="U249" i="1" s="1"/>
  <c r="T247" i="1"/>
  <c r="T253" i="1"/>
  <c r="T221" i="1"/>
  <c r="O241" i="1"/>
  <c r="U241" i="1" s="1"/>
  <c r="O233" i="1"/>
  <c r="U233" i="1" s="1"/>
  <c r="O215" i="1"/>
  <c r="U215" i="1" s="1"/>
  <c r="O216" i="1"/>
  <c r="U216" i="1" s="1"/>
  <c r="O238" i="1"/>
  <c r="U238" i="1" s="1"/>
  <c r="O236" i="1"/>
  <c r="U236" i="1" s="1"/>
  <c r="O221" i="1"/>
  <c r="U221" i="1" s="1"/>
  <c r="O224" i="1"/>
  <c r="U224" i="1" s="1"/>
  <c r="O243" i="1"/>
  <c r="U243" i="1" s="1"/>
  <c r="O220" i="1"/>
  <c r="U220" i="1" s="1"/>
  <c r="O218" i="1"/>
  <c r="U218" i="1" s="1"/>
  <c r="O225" i="1"/>
  <c r="U225" i="1" s="1"/>
  <c r="O237" i="1"/>
  <c r="U237" i="1" s="1"/>
  <c r="O227" i="1"/>
  <c r="U227" i="1" s="1"/>
  <c r="O213" i="1"/>
  <c r="O222" i="1"/>
  <c r="U222" i="1" s="1"/>
  <c r="O232" i="1"/>
  <c r="U232" i="1" s="1"/>
  <c r="O242" i="1"/>
  <c r="U242" i="1" s="1"/>
  <c r="O228" i="1"/>
  <c r="U228" i="1" s="1"/>
  <c r="O230" i="1"/>
  <c r="U230" i="1" s="1"/>
  <c r="O231" i="1"/>
  <c r="U231" i="1" s="1"/>
  <c r="O223" i="1"/>
  <c r="U223" i="1" s="1"/>
  <c r="O234" i="1"/>
  <c r="U234" i="1" s="1"/>
  <c r="O239" i="1"/>
  <c r="U239" i="1" s="1"/>
  <c r="O217" i="1"/>
  <c r="U217" i="1" s="1"/>
  <c r="O214" i="1"/>
  <c r="U214" i="1" s="1"/>
  <c r="O244" i="1"/>
  <c r="U244" i="1" s="1"/>
  <c r="O240" i="1"/>
  <c r="U240" i="1" s="1"/>
  <c r="O219" i="1"/>
  <c r="U219" i="1" s="1"/>
  <c r="O229" i="1"/>
  <c r="U229" i="1" s="1"/>
  <c r="O235" i="1"/>
  <c r="U235" i="1" s="1"/>
  <c r="O226" i="1"/>
  <c r="U226" i="1" s="1"/>
  <c r="T228" i="1"/>
  <c r="O193" i="1"/>
  <c r="U193" i="1" s="1"/>
  <c r="O184" i="1"/>
  <c r="O198" i="1"/>
  <c r="U198" i="1" s="1"/>
  <c r="O189" i="1"/>
  <c r="U189" i="1" s="1"/>
  <c r="O209" i="1"/>
  <c r="U209" i="1" s="1"/>
  <c r="O187" i="1"/>
  <c r="U187" i="1" s="1"/>
  <c r="O196" i="1"/>
  <c r="U196" i="1" s="1"/>
  <c r="O203" i="1"/>
  <c r="U203" i="1" s="1"/>
  <c r="O199" i="1"/>
  <c r="U199" i="1" s="1"/>
  <c r="O200" i="1"/>
  <c r="U200" i="1" s="1"/>
  <c r="O205" i="1"/>
  <c r="U205" i="1" s="1"/>
  <c r="O202" i="1"/>
  <c r="U202" i="1" s="1"/>
  <c r="O190" i="1"/>
  <c r="U190" i="1" s="1"/>
  <c r="O191" i="1"/>
  <c r="U191" i="1" s="1"/>
  <c r="O208" i="1"/>
  <c r="U208" i="1" s="1"/>
  <c r="O206" i="1"/>
  <c r="U206" i="1" s="1"/>
  <c r="O204" i="1"/>
  <c r="U204" i="1" s="1"/>
  <c r="O195" i="1"/>
  <c r="U195" i="1" s="1"/>
  <c r="O192" i="1"/>
  <c r="U192" i="1" s="1"/>
  <c r="O188" i="1"/>
  <c r="U188" i="1" s="1"/>
  <c r="O194" i="1"/>
  <c r="U194" i="1" s="1"/>
  <c r="O207" i="1"/>
  <c r="U207" i="1" s="1"/>
  <c r="O210" i="1"/>
  <c r="U210" i="1" s="1"/>
  <c r="O185" i="1"/>
  <c r="U185" i="1" s="1"/>
  <c r="O201" i="1"/>
  <c r="U201" i="1" s="1"/>
  <c r="O197" i="1"/>
  <c r="U197" i="1" s="1"/>
  <c r="O186" i="1"/>
  <c r="U186" i="1" s="1"/>
  <c r="O211" i="1"/>
  <c r="U211" i="1" s="1"/>
  <c r="T201" i="1"/>
  <c r="T192" i="1"/>
  <c r="T203" i="1"/>
  <c r="T193" i="1"/>
  <c r="T186" i="1"/>
  <c r="T197" i="1"/>
  <c r="T188" i="1"/>
  <c r="T205" i="1"/>
  <c r="T182" i="1"/>
  <c r="T177" i="1"/>
  <c r="T167" i="1"/>
  <c r="T139" i="1"/>
  <c r="O148" i="1"/>
  <c r="U148" i="1" s="1"/>
  <c r="O144" i="1"/>
  <c r="U144" i="1" s="1"/>
  <c r="O155" i="1"/>
  <c r="U155" i="1" s="1"/>
  <c r="O159" i="1"/>
  <c r="U159" i="1" s="1"/>
  <c r="O178" i="1"/>
  <c r="U178" i="1" s="1"/>
  <c r="O147" i="1"/>
  <c r="U147" i="1" s="1"/>
  <c r="O151" i="1"/>
  <c r="U151" i="1" s="1"/>
  <c r="O154" i="1"/>
  <c r="U154" i="1" s="1"/>
  <c r="O165" i="1"/>
  <c r="U165" i="1" s="1"/>
  <c r="O152" i="1"/>
  <c r="U152" i="1" s="1"/>
  <c r="O173" i="1"/>
  <c r="U173" i="1" s="1"/>
  <c r="O170" i="1"/>
  <c r="U170" i="1" s="1"/>
  <c r="O168" i="1"/>
  <c r="U168" i="1" s="1"/>
  <c r="O163" i="1"/>
  <c r="U163" i="1" s="1"/>
  <c r="O176" i="1"/>
  <c r="U176" i="1" s="1"/>
  <c r="O180" i="1"/>
  <c r="U180" i="1" s="1"/>
  <c r="O182" i="1"/>
  <c r="U182" i="1" s="1"/>
  <c r="O146" i="1"/>
  <c r="U146" i="1" s="1"/>
  <c r="O145" i="1"/>
  <c r="U145" i="1" s="1"/>
  <c r="O179" i="1"/>
  <c r="U179" i="1" s="1"/>
  <c r="O138" i="1"/>
  <c r="O161" i="1"/>
  <c r="U161" i="1" s="1"/>
  <c r="O181" i="1"/>
  <c r="U181" i="1" s="1"/>
  <c r="O177" i="1"/>
  <c r="U177" i="1" s="1"/>
  <c r="O141" i="1"/>
  <c r="U141" i="1" s="1"/>
  <c r="O174" i="1"/>
  <c r="U174" i="1" s="1"/>
  <c r="O171" i="1"/>
  <c r="U171" i="1" s="1"/>
  <c r="O139" i="1"/>
  <c r="U139" i="1" s="1"/>
  <c r="O153" i="1"/>
  <c r="U153" i="1" s="1"/>
  <c r="O166" i="1"/>
  <c r="U166" i="1" s="1"/>
  <c r="O175" i="1"/>
  <c r="U175" i="1" s="1"/>
  <c r="O156" i="1"/>
  <c r="U156" i="1" s="1"/>
  <c r="O140" i="1"/>
  <c r="U140" i="1" s="1"/>
  <c r="O142" i="1"/>
  <c r="U142" i="1" s="1"/>
  <c r="O162" i="1"/>
  <c r="U162" i="1" s="1"/>
  <c r="O160" i="1"/>
  <c r="U160" i="1" s="1"/>
  <c r="O172" i="1"/>
  <c r="U172" i="1" s="1"/>
  <c r="O150" i="1"/>
  <c r="U150" i="1" s="1"/>
  <c r="O143" i="1"/>
  <c r="U143" i="1" s="1"/>
  <c r="O169" i="1"/>
  <c r="U169" i="1" s="1"/>
  <c r="O158" i="1"/>
  <c r="U158" i="1" s="1"/>
  <c r="O149" i="1"/>
  <c r="U149" i="1" s="1"/>
  <c r="O157" i="1"/>
  <c r="U157" i="1" s="1"/>
  <c r="O167" i="1"/>
  <c r="U167" i="1" s="1"/>
  <c r="O164" i="1"/>
  <c r="U164" i="1" s="1"/>
  <c r="T148" i="1"/>
  <c r="O130" i="1"/>
  <c r="U130" i="1" s="1"/>
  <c r="O120" i="1"/>
  <c r="U120" i="1" s="1"/>
  <c r="O123" i="1"/>
  <c r="U123" i="1" s="1"/>
  <c r="O122" i="1"/>
  <c r="U122" i="1" s="1"/>
  <c r="O125" i="1"/>
  <c r="U125" i="1" s="1"/>
  <c r="O131" i="1"/>
  <c r="U131" i="1" s="1"/>
  <c r="O127" i="1"/>
  <c r="U127" i="1" s="1"/>
  <c r="O134" i="1"/>
  <c r="U134" i="1" s="1"/>
  <c r="O129" i="1"/>
  <c r="U129" i="1" s="1"/>
  <c r="O118" i="1"/>
  <c r="U118" i="1" s="1"/>
  <c r="O115" i="1"/>
  <c r="U115" i="1" s="1"/>
  <c r="O128" i="1"/>
  <c r="U128" i="1" s="1"/>
  <c r="O116" i="1"/>
  <c r="U116" i="1" s="1"/>
  <c r="O117" i="1"/>
  <c r="O126" i="1"/>
  <c r="U126" i="1" s="1"/>
  <c r="O119" i="1"/>
  <c r="U119" i="1" s="1"/>
  <c r="O136" i="1"/>
  <c r="U136" i="1" s="1"/>
  <c r="O121" i="1"/>
  <c r="U121" i="1" s="1"/>
  <c r="O114" i="1"/>
  <c r="U114" i="1" s="1"/>
  <c r="O133" i="1"/>
  <c r="U133" i="1" s="1"/>
  <c r="O124" i="1"/>
  <c r="U124" i="1" s="1"/>
  <c r="O135" i="1"/>
  <c r="U135" i="1" s="1"/>
  <c r="O132" i="1"/>
  <c r="U132" i="1" s="1"/>
  <c r="T130" i="1"/>
  <c r="O94" i="1"/>
  <c r="U94" i="1" s="1"/>
  <c r="O92" i="1"/>
  <c r="U92" i="1" s="1"/>
  <c r="O108" i="1"/>
  <c r="U108" i="1" s="1"/>
  <c r="O99" i="1"/>
  <c r="U99" i="1" s="1"/>
  <c r="O90" i="1"/>
  <c r="U90" i="1" s="1"/>
  <c r="O110" i="1"/>
  <c r="U110" i="1" s="1"/>
  <c r="O103" i="1"/>
  <c r="U103" i="1" s="1"/>
  <c r="O88" i="1"/>
  <c r="U88" i="1" s="1"/>
  <c r="O97" i="1"/>
  <c r="U97" i="1" s="1"/>
  <c r="O111" i="1"/>
  <c r="U111" i="1" s="1"/>
  <c r="O104" i="1"/>
  <c r="U104" i="1" s="1"/>
  <c r="O105" i="1"/>
  <c r="U105" i="1" s="1"/>
  <c r="O87" i="1"/>
  <c r="U87" i="1" s="1"/>
  <c r="O107" i="1"/>
  <c r="U107" i="1" s="1"/>
  <c r="O112" i="1"/>
  <c r="U112" i="1" s="1"/>
  <c r="O106" i="1"/>
  <c r="U106" i="1" s="1"/>
  <c r="O100" i="1"/>
  <c r="U100" i="1" s="1"/>
  <c r="O93" i="1"/>
  <c r="U93" i="1" s="1"/>
  <c r="O102" i="1"/>
  <c r="U102" i="1" s="1"/>
  <c r="O86" i="1"/>
  <c r="O101" i="1"/>
  <c r="U101" i="1" s="1"/>
  <c r="O91" i="1"/>
  <c r="U91" i="1" s="1"/>
  <c r="O96" i="1"/>
  <c r="U96" i="1" s="1"/>
  <c r="O95" i="1"/>
  <c r="U95" i="1" s="1"/>
  <c r="O109" i="1"/>
  <c r="U109" i="1" s="1"/>
  <c r="O98" i="1"/>
  <c r="U98" i="1" s="1"/>
  <c r="O89" i="1"/>
  <c r="U89" i="1" s="1"/>
  <c r="T83" i="1"/>
  <c r="T74" i="1"/>
  <c r="O61" i="1"/>
  <c r="U61" i="1" s="1"/>
  <c r="O62" i="1"/>
  <c r="U62" i="1" s="1"/>
  <c r="O72" i="1"/>
  <c r="U72" i="1" s="1"/>
  <c r="O73" i="1"/>
  <c r="U73" i="1" s="1"/>
  <c r="O71" i="1"/>
  <c r="U71" i="1" s="1"/>
  <c r="O70" i="1"/>
  <c r="U70" i="1" s="1"/>
  <c r="O67" i="1"/>
  <c r="U67" i="1" s="1"/>
  <c r="O81" i="1"/>
  <c r="U81" i="1" s="1"/>
  <c r="O75" i="1"/>
  <c r="U75" i="1" s="1"/>
  <c r="O60" i="1"/>
  <c r="U60" i="1" s="1"/>
  <c r="O74" i="1"/>
  <c r="U74" i="1" s="1"/>
  <c r="O83" i="1"/>
  <c r="U83" i="1" s="1"/>
  <c r="O65" i="1"/>
  <c r="U65" i="1" s="1"/>
  <c r="O63" i="1"/>
  <c r="U63" i="1" s="1"/>
  <c r="O59" i="1"/>
  <c r="U59" i="1" s="1"/>
  <c r="O66" i="1"/>
  <c r="U66" i="1" s="1"/>
  <c r="O64" i="1"/>
  <c r="U64" i="1" s="1"/>
  <c r="O82" i="1"/>
  <c r="U82" i="1" s="1"/>
  <c r="O84" i="1"/>
  <c r="U84" i="1" s="1"/>
  <c r="O76" i="1"/>
  <c r="U76" i="1" s="1"/>
  <c r="O58" i="1"/>
  <c r="O77" i="1"/>
  <c r="U77" i="1" s="1"/>
  <c r="O69" i="1"/>
  <c r="U69" i="1" s="1"/>
  <c r="O68" i="1"/>
  <c r="U68" i="1" s="1"/>
  <c r="O80" i="1"/>
  <c r="U80" i="1" s="1"/>
  <c r="O79" i="1"/>
  <c r="U79" i="1" s="1"/>
  <c r="O78" i="1"/>
  <c r="U78" i="1" s="1"/>
  <c r="T77" i="1"/>
  <c r="T72" i="1"/>
  <c r="T76" i="1"/>
  <c r="T33" i="1"/>
  <c r="O50" i="1"/>
  <c r="U50" i="1" s="1"/>
  <c r="O51" i="1"/>
  <c r="U51" i="1" s="1"/>
  <c r="O44" i="1"/>
  <c r="U44" i="1" s="1"/>
  <c r="O32" i="1"/>
  <c r="U32" i="1" s="1"/>
  <c r="O48" i="1"/>
  <c r="U48" i="1" s="1"/>
  <c r="O30" i="1"/>
  <c r="O54" i="1"/>
  <c r="U54" i="1" s="1"/>
  <c r="O42" i="1"/>
  <c r="U42" i="1" s="1"/>
  <c r="O53" i="1"/>
  <c r="U53" i="1" s="1"/>
  <c r="O52" i="1"/>
  <c r="U52" i="1" s="1"/>
  <c r="O40" i="1"/>
  <c r="U40" i="1" s="1"/>
  <c r="O35" i="1"/>
  <c r="U35" i="1" s="1"/>
  <c r="O36" i="1"/>
  <c r="U36" i="1" s="1"/>
  <c r="O45" i="1"/>
  <c r="U45" i="1" s="1"/>
  <c r="O33" i="1"/>
  <c r="U33" i="1" s="1"/>
  <c r="O39" i="1"/>
  <c r="U39" i="1" s="1"/>
  <c r="O46" i="1"/>
  <c r="U46" i="1" s="1"/>
  <c r="O34" i="1"/>
  <c r="U34" i="1" s="1"/>
  <c r="O56" i="1"/>
  <c r="U56" i="1" s="1"/>
  <c r="O43" i="1"/>
  <c r="U43" i="1" s="1"/>
  <c r="O49" i="1"/>
  <c r="U49" i="1" s="1"/>
  <c r="O41" i="1"/>
  <c r="U41" i="1" s="1"/>
  <c r="O31" i="1"/>
  <c r="U31" i="1" s="1"/>
  <c r="O47" i="1"/>
  <c r="U47" i="1" s="1"/>
  <c r="O38" i="1"/>
  <c r="U38" i="1" s="1"/>
  <c r="O37" i="1"/>
  <c r="U37" i="1" s="1"/>
  <c r="O55" i="1"/>
  <c r="U55" i="1" s="1"/>
  <c r="O20" i="1"/>
  <c r="U20" i="1" s="1"/>
  <c r="O28" i="1"/>
  <c r="U28" i="1" s="1"/>
  <c r="O21" i="1"/>
  <c r="U21" i="1" s="1"/>
  <c r="O23" i="1"/>
  <c r="U23" i="1" s="1"/>
  <c r="O24" i="1"/>
  <c r="U24" i="1" s="1"/>
  <c r="O8" i="1"/>
  <c r="U8" i="1" s="1"/>
  <c r="O25" i="1"/>
  <c r="U25" i="1" s="1"/>
  <c r="O19" i="1"/>
  <c r="U19" i="1" s="1"/>
  <c r="O18" i="1"/>
  <c r="U18" i="1" s="1"/>
  <c r="O11" i="1"/>
  <c r="U11" i="1" s="1"/>
  <c r="O9" i="1"/>
  <c r="U9" i="1" s="1"/>
  <c r="O10" i="1"/>
  <c r="U10" i="1" s="1"/>
  <c r="O13" i="1"/>
  <c r="U13" i="1" s="1"/>
  <c r="O6" i="1"/>
  <c r="O17" i="1"/>
  <c r="U17" i="1" s="1"/>
  <c r="O16" i="1"/>
  <c r="U16" i="1" s="1"/>
  <c r="O26" i="1"/>
  <c r="U26" i="1" s="1"/>
  <c r="O15" i="1"/>
  <c r="U15" i="1" s="1"/>
  <c r="U2" i="1"/>
  <c r="O22" i="1"/>
  <c r="U22" i="1" s="1"/>
  <c r="O4" i="1"/>
  <c r="U4" i="1" s="1"/>
  <c r="O14" i="1"/>
  <c r="U14" i="1" s="1"/>
  <c r="O5" i="1"/>
  <c r="U5" i="1" s="1"/>
  <c r="O7" i="1"/>
  <c r="U7" i="1" s="1"/>
  <c r="O27" i="1"/>
  <c r="U27" i="1" s="1"/>
  <c r="O3" i="1"/>
  <c r="U3" i="1" s="1"/>
  <c r="O12" i="1"/>
  <c r="U12" i="1" s="1"/>
  <c r="T330" i="1"/>
  <c r="T220" i="1"/>
  <c r="T355" i="1"/>
  <c r="T301" i="1"/>
  <c r="T390" i="1"/>
  <c r="T136" i="1"/>
  <c r="T398" i="1"/>
  <c r="T224" i="1"/>
  <c r="T344" i="1"/>
  <c r="T289" i="1"/>
  <c r="T166" i="1"/>
  <c r="T154" i="1"/>
  <c r="T421" i="1"/>
  <c r="T410" i="1"/>
  <c r="T382" i="1"/>
  <c r="T243" i="1"/>
  <c r="T273" i="1"/>
  <c r="T350" i="1"/>
  <c r="T285" i="1"/>
  <c r="T37" i="1"/>
  <c r="T385" i="1"/>
  <c r="T287" i="1"/>
  <c r="T168" i="1"/>
  <c r="T141" i="1"/>
  <c r="T378" i="1"/>
  <c r="T384" i="1"/>
  <c r="T244" i="1"/>
  <c r="T335" i="1"/>
  <c r="T120" i="1"/>
  <c r="T413" i="1"/>
  <c r="T310" i="1"/>
  <c r="T164" i="1"/>
  <c r="T60" i="1"/>
  <c r="T405" i="1"/>
  <c r="T271" i="1"/>
  <c r="T81" i="1"/>
  <c r="T232" i="1"/>
  <c r="T334" i="1"/>
  <c r="T158" i="1"/>
  <c r="T417" i="1"/>
  <c r="T70" i="1"/>
  <c r="T62" i="1"/>
  <c r="T332" i="1"/>
  <c r="T147" i="1"/>
  <c r="T64" i="1"/>
  <c r="T35" i="1"/>
  <c r="T209" i="1"/>
  <c r="T125" i="1"/>
  <c r="T152" i="1"/>
  <c r="T376" i="1"/>
  <c r="T314" i="1"/>
  <c r="D32" i="3"/>
  <c r="Q328" i="1"/>
  <c r="Q352" i="1"/>
  <c r="Q333" i="1"/>
  <c r="Q343" i="1"/>
  <c r="Q324" i="1"/>
  <c r="Q337" i="1"/>
  <c r="Q325" i="1"/>
  <c r="Q335" i="1"/>
  <c r="Q326" i="1"/>
  <c r="Q356" i="1"/>
  <c r="Q322" i="1"/>
  <c r="Q339" i="1"/>
  <c r="Q357" i="1"/>
  <c r="Q355" i="1"/>
  <c r="Q347" i="1"/>
  <c r="Q338" i="1"/>
  <c r="Q321" i="1"/>
  <c r="Q342" i="1"/>
  <c r="Q346" i="1"/>
  <c r="Q323" i="1"/>
  <c r="Q334" i="1"/>
  <c r="Q349" i="1"/>
  <c r="Q341" i="1"/>
  <c r="Q330" i="1"/>
  <c r="Q354" i="1"/>
  <c r="Q329" i="1"/>
  <c r="Q340" i="1"/>
  <c r="Q332" i="1"/>
  <c r="Q353" i="1"/>
  <c r="Q351" i="1"/>
  <c r="Q331" i="1"/>
  <c r="Q344" i="1"/>
  <c r="Q350" i="1"/>
  <c r="Q348" i="1"/>
  <c r="Q336" i="1"/>
  <c r="Q345" i="1"/>
  <c r="Q327" i="1"/>
  <c r="T24" i="1"/>
  <c r="T51" i="1"/>
  <c r="T256" i="1"/>
  <c r="T173" i="1"/>
  <c r="T248" i="1"/>
  <c r="T95" i="1"/>
  <c r="T111" i="1"/>
  <c r="T362" i="1"/>
  <c r="T6" i="1"/>
  <c r="T233" i="1"/>
  <c r="T100" i="1"/>
  <c r="T345" i="1"/>
  <c r="T420" i="1"/>
  <c r="T251" i="1"/>
  <c r="T210" i="1"/>
  <c r="T10" i="1"/>
  <c r="T291" i="1"/>
  <c r="T21" i="1"/>
  <c r="T162" i="1"/>
  <c r="T117" i="1"/>
  <c r="T204" i="1"/>
  <c r="T278" i="1"/>
  <c r="T329" i="1"/>
  <c r="E4" i="3"/>
  <c r="T14" i="1"/>
  <c r="T28" i="1"/>
  <c r="T25" i="1"/>
  <c r="D12" i="3"/>
  <c r="Q63" i="1"/>
  <c r="Q67" i="1"/>
  <c r="Q71" i="1"/>
  <c r="Q64" i="1"/>
  <c r="Q73" i="1"/>
  <c r="Q66" i="1"/>
  <c r="Q74" i="1"/>
  <c r="Q60" i="1"/>
  <c r="Q84" i="1"/>
  <c r="Q76" i="1"/>
  <c r="Q58" i="1"/>
  <c r="Q77" i="1"/>
  <c r="Q70" i="1"/>
  <c r="Q69" i="1"/>
  <c r="Q68" i="1"/>
  <c r="Q75" i="1"/>
  <c r="Q80" i="1"/>
  <c r="Q82" i="1"/>
  <c r="Q81" i="1"/>
  <c r="Q65" i="1"/>
  <c r="Q59" i="1"/>
  <c r="Q83" i="1"/>
  <c r="Q79" i="1"/>
  <c r="Q78" i="1"/>
  <c r="Q61" i="1"/>
  <c r="Q62" i="1"/>
  <c r="Q72" i="1"/>
  <c r="D25" i="3"/>
  <c r="Q228" i="1"/>
  <c r="Q223" i="1"/>
  <c r="Q227" i="1"/>
  <c r="Q234" i="1"/>
  <c r="Q230" i="1"/>
  <c r="Q241" i="1"/>
  <c r="Q233" i="1"/>
  <c r="Q238" i="1"/>
  <c r="Q236" i="1"/>
  <c r="Q214" i="1"/>
  <c r="Q232" i="1"/>
  <c r="Q221" i="1"/>
  <c r="Q224" i="1"/>
  <c r="Q237" i="1"/>
  <c r="Q242" i="1"/>
  <c r="Q243" i="1"/>
  <c r="Q220" i="1"/>
  <c r="Q219" i="1"/>
  <c r="Q222" i="1"/>
  <c r="Q226" i="1"/>
  <c r="Q213" i="1"/>
  <c r="Q215" i="1"/>
  <c r="Q229" i="1"/>
  <c r="Q235" i="1"/>
  <c r="Q218" i="1"/>
  <c r="Q231" i="1"/>
  <c r="Q244" i="1"/>
  <c r="Q225" i="1"/>
  <c r="Q240" i="1"/>
  <c r="Q239" i="1"/>
  <c r="Q217" i="1"/>
  <c r="Q216" i="1"/>
  <c r="E9" i="3"/>
  <c r="F9" i="3" s="1"/>
  <c r="E38" i="3"/>
  <c r="F38" i="3" s="1"/>
  <c r="T124" i="1"/>
  <c r="T122" i="1"/>
  <c r="T303" i="1"/>
  <c r="T98" i="1"/>
  <c r="T239" i="1"/>
  <c r="T319" i="1"/>
  <c r="T383" i="1"/>
  <c r="T108" i="1"/>
  <c r="T160" i="1"/>
  <c r="T369" i="1"/>
  <c r="T155" i="1"/>
  <c r="T315" i="1"/>
  <c r="T276" i="1"/>
  <c r="T412" i="1"/>
  <c r="T324" i="1"/>
  <c r="T431" i="1"/>
  <c r="T308" i="1"/>
  <c r="T8" i="1"/>
  <c r="T365" i="1"/>
  <c r="T91" i="1"/>
  <c r="T42" i="1"/>
  <c r="T2" i="1"/>
  <c r="T19" i="1"/>
  <c r="T96" i="1"/>
  <c r="D4" i="3"/>
  <c r="Q545" i="1"/>
  <c r="Q537" i="1"/>
  <c r="Q519" i="1"/>
  <c r="Q538" i="1"/>
  <c r="Q533" i="1"/>
  <c r="Q525" i="1"/>
  <c r="Q541" i="1"/>
  <c r="Q532" i="1"/>
  <c r="Q514" i="1"/>
  <c r="Q524" i="1"/>
  <c r="Q513" i="1"/>
  <c r="Q520" i="1"/>
  <c r="Q530" i="1"/>
  <c r="Q522" i="1"/>
  <c r="Q521" i="1"/>
  <c r="Q542" i="1"/>
  <c r="Q512" i="1"/>
  <c r="Q515" i="1"/>
  <c r="Q517" i="1"/>
  <c r="Q534" i="1"/>
  <c r="Q529" i="1"/>
  <c r="Q523" i="1"/>
  <c r="Q516" i="1"/>
  <c r="Q527" i="1"/>
  <c r="Q543" i="1"/>
  <c r="Q518" i="1"/>
  <c r="Q535" i="1"/>
  <c r="Q531" i="1"/>
  <c r="Q528" i="1"/>
  <c r="Q539" i="1"/>
  <c r="Q540" i="1"/>
  <c r="Q544" i="1"/>
  <c r="Q526" i="1"/>
  <c r="Q536" i="1"/>
  <c r="D38" i="3"/>
  <c r="Q379" i="1"/>
  <c r="Q390" i="1"/>
  <c r="Q376" i="1"/>
  <c r="Q377" i="1"/>
  <c r="Q383" i="1"/>
  <c r="Q381" i="1"/>
  <c r="Q384" i="1"/>
  <c r="Q391" i="1"/>
  <c r="Q382" i="1"/>
  <c r="Q386" i="1"/>
  <c r="Q389" i="1"/>
  <c r="Q388" i="1"/>
  <c r="Q387" i="1"/>
  <c r="Q385" i="1"/>
  <c r="Q380" i="1"/>
  <c r="Q375" i="1"/>
  <c r="Q378" i="1"/>
  <c r="E14" i="3"/>
  <c r="T114" i="1"/>
  <c r="T325" i="1"/>
  <c r="T340" i="1"/>
  <c r="T348" i="1"/>
  <c r="T146" i="1"/>
  <c r="T170" i="1"/>
  <c r="T134" i="1"/>
  <c r="T366" i="1"/>
  <c r="T219" i="1"/>
  <c r="T328" i="1"/>
  <c r="T184" i="1"/>
  <c r="T372" i="1"/>
  <c r="T404" i="1"/>
  <c r="T225" i="1"/>
  <c r="T429" i="1"/>
  <c r="T9" i="1"/>
  <c r="T241" i="1"/>
  <c r="T361" i="1"/>
  <c r="T53" i="1"/>
  <c r="T394" i="1"/>
  <c r="T187" i="1"/>
  <c r="T246" i="1"/>
  <c r="T94" i="1"/>
  <c r="T118" i="1"/>
  <c r="T40" i="1"/>
  <c r="T39" i="1"/>
  <c r="T106" i="1"/>
  <c r="D6" i="3"/>
  <c r="D7" i="3" s="1"/>
  <c r="Q35" i="1"/>
  <c r="Q36" i="1"/>
  <c r="Q33" i="1"/>
  <c r="Q45" i="1"/>
  <c r="Q39" i="1"/>
  <c r="Q46" i="1"/>
  <c r="Q34" i="1"/>
  <c r="Q49" i="1"/>
  <c r="Q30" i="1"/>
  <c r="Q56" i="1"/>
  <c r="Q43" i="1"/>
  <c r="Q53" i="1"/>
  <c r="Q40" i="1"/>
  <c r="Q41" i="1"/>
  <c r="Q31" i="1"/>
  <c r="Q52" i="1"/>
  <c r="Q47" i="1"/>
  <c r="Q38" i="1"/>
  <c r="Q42" i="1"/>
  <c r="Q48" i="1"/>
  <c r="Q37" i="1"/>
  <c r="Q32" i="1"/>
  <c r="Q55" i="1"/>
  <c r="Q44" i="1"/>
  <c r="Q50" i="1"/>
  <c r="Q51" i="1"/>
  <c r="Q54" i="1"/>
  <c r="D24" i="3"/>
  <c r="Q200" i="1"/>
  <c r="Q205" i="1"/>
  <c r="Q204" i="1"/>
  <c r="Q195" i="1"/>
  <c r="Q207" i="1"/>
  <c r="Q210" i="1"/>
  <c r="Q189" i="1"/>
  <c r="Q202" i="1"/>
  <c r="Q185" i="1"/>
  <c r="Q199" i="1"/>
  <c r="Q190" i="1"/>
  <c r="Q192" i="1"/>
  <c r="Q191" i="1"/>
  <c r="Q201" i="1"/>
  <c r="Q208" i="1"/>
  <c r="Q197" i="1"/>
  <c r="Q184" i="1"/>
  <c r="Q198" i="1"/>
  <c r="Q209" i="1"/>
  <c r="Q187" i="1"/>
  <c r="Q196" i="1"/>
  <c r="Q194" i="1"/>
  <c r="Q206" i="1"/>
  <c r="Q188" i="1"/>
  <c r="Q186" i="1"/>
  <c r="Q193" i="1"/>
  <c r="Q211" i="1"/>
  <c r="Q203" i="1"/>
  <c r="T104" i="1"/>
  <c r="T38" i="1"/>
  <c r="T46" i="1"/>
  <c r="T422" i="1"/>
  <c r="T87" i="1"/>
  <c r="T364" i="1"/>
  <c r="T402" i="1"/>
  <c r="T110" i="1"/>
  <c r="T400" i="1"/>
  <c r="E3" i="3"/>
  <c r="T15" i="1"/>
  <c r="T5" i="1"/>
  <c r="T20" i="1"/>
  <c r="T7" i="1"/>
  <c r="D9" i="3"/>
  <c r="Q500" i="1"/>
  <c r="Q496" i="1"/>
  <c r="Q495" i="1"/>
  <c r="Q472" i="1"/>
  <c r="Q489" i="1"/>
  <c r="Q497" i="1"/>
  <c r="Q491" i="1"/>
  <c r="Q475" i="1"/>
  <c r="Q486" i="1"/>
  <c r="Q488" i="1"/>
  <c r="Q510" i="1"/>
  <c r="Q476" i="1"/>
  <c r="Q499" i="1"/>
  <c r="Q509" i="1"/>
  <c r="Q501" i="1"/>
  <c r="Q484" i="1"/>
  <c r="Q503" i="1"/>
  <c r="Q508" i="1"/>
  <c r="Q480" i="1"/>
  <c r="Q502" i="1"/>
  <c r="Q498" i="1"/>
  <c r="Q505" i="1"/>
  <c r="Q481" i="1"/>
  <c r="Q504" i="1"/>
  <c r="Q477" i="1"/>
  <c r="Q478" i="1"/>
  <c r="Q492" i="1"/>
  <c r="Q487" i="1"/>
  <c r="Q494" i="1"/>
  <c r="Q485" i="1"/>
  <c r="Q479" i="1"/>
  <c r="Q482" i="1"/>
  <c r="Q490" i="1"/>
  <c r="Q483" i="1"/>
  <c r="Q473" i="1"/>
  <c r="Q507" i="1"/>
  <c r="Q474" i="1"/>
  <c r="Q506" i="1"/>
  <c r="Q493" i="1"/>
  <c r="E13" i="3"/>
  <c r="T101" i="1"/>
  <c r="T26" i="1"/>
  <c r="E16" i="3"/>
  <c r="T3" i="1"/>
  <c r="T89" i="1"/>
  <c r="E23" i="3"/>
  <c r="F23" i="3" s="1"/>
  <c r="T181" i="1"/>
  <c r="T172" i="1"/>
  <c r="T179" i="1"/>
  <c r="T22" i="1"/>
  <c r="T399" i="1"/>
  <c r="T360" i="1"/>
  <c r="T277" i="1"/>
  <c r="T226" i="1"/>
  <c r="T268" i="1"/>
  <c r="T222" i="1"/>
  <c r="T428" i="1"/>
  <c r="T379" i="1"/>
  <c r="T401" i="1"/>
  <c r="T260" i="1"/>
  <c r="T145" i="1"/>
  <c r="T286" i="1"/>
  <c r="T357" i="1"/>
  <c r="T353" i="1"/>
  <c r="T293" i="1"/>
  <c r="T354" i="1"/>
  <c r="E25" i="3"/>
  <c r="T215" i="1"/>
  <c r="T213" i="1"/>
  <c r="T242" i="1"/>
  <c r="E26" i="3"/>
  <c r="F26" i="3" s="1"/>
  <c r="T281" i="1"/>
  <c r="T264" i="1"/>
  <c r="T262" i="1"/>
  <c r="T280" i="1"/>
  <c r="T282" i="1"/>
  <c r="T266" i="1"/>
  <c r="E27" i="3"/>
  <c r="T317" i="1"/>
  <c r="T297" i="1"/>
  <c r="T304" i="1"/>
  <c r="T292" i="1"/>
  <c r="T32" i="1"/>
  <c r="T90" i="1"/>
  <c r="T363" i="1"/>
  <c r="T127" i="1"/>
  <c r="T240" i="1"/>
  <c r="T123" i="1"/>
  <c r="T409" i="1"/>
  <c r="T45" i="1"/>
  <c r="T140" i="1"/>
  <c r="T333" i="1"/>
  <c r="T191" i="1"/>
  <c r="T13" i="1"/>
  <c r="T331" i="1"/>
  <c r="T427" i="1"/>
  <c r="T250" i="1"/>
  <c r="T272" i="1"/>
  <c r="T171" i="1"/>
  <c r="T190" i="1"/>
  <c r="T255" i="1"/>
  <c r="T11" i="1"/>
  <c r="T48" i="1"/>
  <c r="T55" i="1"/>
  <c r="T218" i="1"/>
  <c r="T231" i="1"/>
  <c r="T157" i="1"/>
  <c r="T415" i="1"/>
  <c r="T129" i="1"/>
  <c r="D37" i="3"/>
  <c r="Q366" i="1"/>
  <c r="Q370" i="1"/>
  <c r="Q367" i="1"/>
  <c r="Q369" i="1"/>
  <c r="Q360" i="1"/>
  <c r="Q363" i="1"/>
  <c r="Q371" i="1"/>
  <c r="Q361" i="1"/>
  <c r="Q368" i="1"/>
  <c r="Q362" i="1"/>
  <c r="Q372" i="1"/>
  <c r="Q364" i="1"/>
  <c r="Q359" i="1"/>
  <c r="Q365" i="1"/>
  <c r="Q373" i="1"/>
  <c r="D13" i="3"/>
  <c r="Q90" i="1"/>
  <c r="Q99" i="1"/>
  <c r="Q103" i="1"/>
  <c r="Q88" i="1"/>
  <c r="Q89" i="1"/>
  <c r="Q104" i="1"/>
  <c r="Q105" i="1"/>
  <c r="Q112" i="1"/>
  <c r="Q106" i="1"/>
  <c r="Q98" i="1"/>
  <c r="Q94" i="1"/>
  <c r="Q108" i="1"/>
  <c r="Q86" i="1"/>
  <c r="Q101" i="1"/>
  <c r="Q102" i="1"/>
  <c r="Q87" i="1"/>
  <c r="Q91" i="1"/>
  <c r="Q111" i="1"/>
  <c r="Q96" i="1"/>
  <c r="Q100" i="1"/>
  <c r="Q95" i="1"/>
  <c r="Q109" i="1"/>
  <c r="Q97" i="1"/>
  <c r="Q110" i="1"/>
  <c r="Q107" i="1"/>
  <c r="Q93" i="1"/>
  <c r="Q92" i="1"/>
  <c r="D16" i="3"/>
  <c r="Q551" i="1"/>
  <c r="Q571" i="1"/>
  <c r="Q554" i="1"/>
  <c r="Q549" i="1"/>
  <c r="Q566" i="1"/>
  <c r="Q553" i="1"/>
  <c r="Q556" i="1"/>
  <c r="Q548" i="1"/>
  <c r="Q547" i="1"/>
  <c r="Q550" i="1"/>
  <c r="Q568" i="1"/>
  <c r="Q580" i="1"/>
  <c r="Q570" i="1"/>
  <c r="Q558" i="1"/>
  <c r="Q576" i="1"/>
  <c r="Q557" i="1"/>
  <c r="Q559" i="1"/>
  <c r="Q577" i="1"/>
  <c r="Q569" i="1"/>
  <c r="Q572" i="1"/>
  <c r="Q579" i="1"/>
  <c r="Q575" i="1"/>
  <c r="Q561" i="1"/>
  <c r="Q555" i="1"/>
  <c r="Q567" i="1"/>
  <c r="Q552" i="1"/>
  <c r="Q562" i="1"/>
  <c r="Q560" i="1"/>
  <c r="Q564" i="1"/>
  <c r="Q563" i="1"/>
  <c r="Q573" i="1"/>
  <c r="Q565" i="1"/>
  <c r="Q578" i="1"/>
  <c r="Q574" i="1"/>
  <c r="D26" i="3"/>
  <c r="Q283" i="1"/>
  <c r="Q264" i="1"/>
  <c r="Q254" i="1"/>
  <c r="Q275" i="1"/>
  <c r="Q281" i="1"/>
  <c r="Q249" i="1"/>
  <c r="Q286" i="1"/>
  <c r="Q256" i="1"/>
  <c r="Q282" i="1"/>
  <c r="Q258" i="1"/>
  <c r="Q255" i="1"/>
  <c r="Q276" i="1"/>
  <c r="Q252" i="1"/>
  <c r="Q266" i="1"/>
  <c r="Q279" i="1"/>
  <c r="Q270" i="1"/>
  <c r="Q280" i="1"/>
  <c r="Q287" i="1"/>
  <c r="Q262" i="1"/>
  <c r="Q261" i="1"/>
  <c r="Q271" i="1"/>
  <c r="Q246" i="1"/>
  <c r="Q251" i="1"/>
  <c r="Q265" i="1"/>
  <c r="Q268" i="1"/>
  <c r="Q259" i="1"/>
  <c r="Q277" i="1"/>
  <c r="Q272" i="1"/>
  <c r="Q278" i="1"/>
  <c r="Q253" i="1"/>
  <c r="Q248" i="1"/>
  <c r="Q257" i="1"/>
  <c r="Q267" i="1"/>
  <c r="Q274" i="1"/>
  <c r="Q273" i="1"/>
  <c r="Q285" i="1"/>
  <c r="Q260" i="1"/>
  <c r="Q269" i="1"/>
  <c r="Q247" i="1"/>
  <c r="Q263" i="1"/>
  <c r="Q250" i="1"/>
  <c r="Q284" i="1"/>
  <c r="E37" i="3"/>
  <c r="T367" i="1"/>
  <c r="D30" i="3"/>
  <c r="Q431" i="1"/>
  <c r="Q398" i="1"/>
  <c r="Q420" i="1"/>
  <c r="Q393" i="1"/>
  <c r="Q414" i="1"/>
  <c r="Q417" i="1"/>
  <c r="Q429" i="1"/>
  <c r="Q412" i="1"/>
  <c r="Q405" i="1"/>
  <c r="Q422" i="1"/>
  <c r="Q424" i="1"/>
  <c r="Q400" i="1"/>
  <c r="Q411" i="1"/>
  <c r="Q418" i="1"/>
  <c r="Q428" i="1"/>
  <c r="Q407" i="1"/>
  <c r="Q413" i="1"/>
  <c r="Q395" i="1"/>
  <c r="Q430" i="1"/>
  <c r="Q394" i="1"/>
  <c r="Q396" i="1"/>
  <c r="Q419" i="1"/>
  <c r="Q426" i="1"/>
  <c r="Q403" i="1"/>
  <c r="Q425" i="1"/>
  <c r="Q416" i="1"/>
  <c r="Q423" i="1"/>
  <c r="Q408" i="1"/>
  <c r="Q401" i="1"/>
  <c r="Q402" i="1"/>
  <c r="Q397" i="1"/>
  <c r="Q427" i="1"/>
  <c r="Q421" i="1"/>
  <c r="Q399" i="1"/>
  <c r="Q406" i="1"/>
  <c r="Q404" i="1"/>
  <c r="Q409" i="1"/>
  <c r="Q415" i="1"/>
  <c r="Q410" i="1"/>
  <c r="D14" i="3"/>
  <c r="Q131" i="1"/>
  <c r="Q134" i="1"/>
  <c r="Q118" i="1"/>
  <c r="Q120" i="1"/>
  <c r="Q115" i="1"/>
  <c r="Q132" i="1"/>
  <c r="Q128" i="1"/>
  <c r="Q130" i="1"/>
  <c r="Q117" i="1"/>
  <c r="Q126" i="1"/>
  <c r="Q136" i="1"/>
  <c r="Q119" i="1"/>
  <c r="Q125" i="1"/>
  <c r="Q114" i="1"/>
  <c r="Q133" i="1"/>
  <c r="Q123" i="1"/>
  <c r="Q129" i="1"/>
  <c r="Q122" i="1"/>
  <c r="Q124" i="1"/>
  <c r="Q135" i="1"/>
  <c r="Q127" i="1"/>
  <c r="Q116" i="1"/>
  <c r="Q121" i="1"/>
  <c r="D17" i="3"/>
  <c r="Q603" i="1"/>
  <c r="Q589" i="1"/>
  <c r="Q599" i="1"/>
  <c r="Q594" i="1"/>
  <c r="Q590" i="1"/>
  <c r="Q602" i="1"/>
  <c r="Q600" i="1"/>
  <c r="Q610" i="1"/>
  <c r="Q595" i="1"/>
  <c r="Q584" i="1"/>
  <c r="Q607" i="1"/>
  <c r="Q609" i="1"/>
  <c r="Q604" i="1"/>
  <c r="Q598" i="1"/>
  <c r="Q588" i="1"/>
  <c r="Q601" i="1"/>
  <c r="Q605" i="1"/>
  <c r="Q591" i="1"/>
  <c r="Q608" i="1"/>
  <c r="Q606" i="1"/>
  <c r="Q586" i="1"/>
  <c r="Q583" i="1"/>
  <c r="Q585" i="1"/>
  <c r="Q596" i="1"/>
  <c r="Q593" i="1"/>
  <c r="Q592" i="1"/>
  <c r="Q587" i="1"/>
  <c r="Q582" i="1"/>
  <c r="Q597" i="1"/>
  <c r="E17" i="3"/>
  <c r="E12" i="3"/>
  <c r="T61" i="1"/>
  <c r="T58" i="1"/>
  <c r="T387" i="1"/>
  <c r="T302" i="1"/>
  <c r="T115" i="1"/>
  <c r="T30" i="1"/>
  <c r="T312" i="1"/>
  <c r="T274" i="1"/>
  <c r="T327" i="1"/>
  <c r="T132" i="1"/>
  <c r="T71" i="1"/>
  <c r="T386" i="1"/>
  <c r="T82" i="1"/>
  <c r="T375" i="1"/>
  <c r="T105" i="1"/>
  <c r="T4" i="1"/>
  <c r="T165" i="1"/>
  <c r="T230" i="1"/>
  <c r="T88" i="1"/>
  <c r="T265" i="1"/>
  <c r="T200" i="1"/>
  <c r="T407" i="1"/>
  <c r="T259" i="1"/>
  <c r="T36" i="1"/>
  <c r="T143" i="1"/>
  <c r="T189" i="1"/>
  <c r="T414" i="1"/>
  <c r="T99" i="1"/>
  <c r="T411" i="1"/>
  <c r="T419" i="1"/>
  <c r="T396" i="1"/>
  <c r="D27" i="3"/>
  <c r="Q319" i="1"/>
  <c r="Q313" i="1"/>
  <c r="Q294" i="1"/>
  <c r="Q289" i="1"/>
  <c r="Q300" i="1"/>
  <c r="Q299" i="1"/>
  <c r="Q317" i="1"/>
  <c r="Q302" i="1"/>
  <c r="Q304" i="1"/>
  <c r="Q293" i="1"/>
  <c r="Q314" i="1"/>
  <c r="Q308" i="1"/>
  <c r="Q305" i="1"/>
  <c r="Q309" i="1"/>
  <c r="Q306" i="1"/>
  <c r="Q312" i="1"/>
  <c r="Q307" i="1"/>
  <c r="Q301" i="1"/>
  <c r="Q303" i="1"/>
  <c r="Q315" i="1"/>
  <c r="Q316" i="1"/>
  <c r="Q291" i="1"/>
  <c r="Q290" i="1"/>
  <c r="Q310" i="1"/>
  <c r="Q296" i="1"/>
  <c r="Q298" i="1"/>
  <c r="Q318" i="1"/>
  <c r="Q295" i="1"/>
  <c r="Q311" i="1"/>
  <c r="Q297" i="1"/>
  <c r="Q292" i="1"/>
  <c r="T323" i="1"/>
  <c r="T393" i="1"/>
  <c r="T351" i="1"/>
  <c r="T279" i="1"/>
  <c r="T391" i="1"/>
  <c r="T234" i="1"/>
  <c r="T418" i="1"/>
  <c r="T107" i="1"/>
  <c r="T321" i="1"/>
  <c r="T73" i="1"/>
  <c r="T370" i="1"/>
  <c r="T169" i="1"/>
  <c r="T326" i="1"/>
  <c r="T138" i="1"/>
  <c r="T102" i="1"/>
  <c r="T176" i="1"/>
  <c r="T343" i="1"/>
  <c r="T93" i="1"/>
  <c r="H5" i="6" s="1"/>
  <c r="T223" i="1"/>
  <c r="T227" i="1"/>
  <c r="T17" i="1"/>
  <c r="T44" i="1"/>
  <c r="T236" i="1"/>
  <c r="T27" i="1"/>
  <c r="T263" i="1"/>
  <c r="T347" i="1"/>
  <c r="T235" i="1"/>
  <c r="T54" i="1"/>
  <c r="T208" i="1"/>
  <c r="T237" i="1"/>
  <c r="T112" i="1"/>
  <c r="T174" i="1"/>
  <c r="T135" i="1"/>
  <c r="T313" i="1"/>
  <c r="T49" i="1"/>
  <c r="T150" i="1"/>
  <c r="T121" i="1"/>
  <c r="T194" i="1"/>
  <c r="T339" i="1"/>
  <c r="T249" i="1"/>
  <c r="T352" i="1"/>
  <c r="T397" i="1"/>
  <c r="T368" i="1"/>
  <c r="T337" i="1"/>
  <c r="T430" i="1"/>
  <c r="T78" i="1"/>
  <c r="T144" i="1"/>
  <c r="T23" i="1"/>
  <c r="T116" i="1"/>
  <c r="T79" i="1"/>
  <c r="T206" i="1"/>
  <c r="T195" i="1"/>
  <c r="T178" i="1"/>
  <c r="T151" i="1"/>
  <c r="T92" i="1"/>
  <c r="D3" i="3"/>
  <c r="Q17" i="1"/>
  <c r="Q6" i="1"/>
  <c r="Q22" i="1"/>
  <c r="Q13" i="1"/>
  <c r="Q3" i="1"/>
  <c r="Q12" i="1"/>
  <c r="Q4" i="1"/>
  <c r="Q14" i="1"/>
  <c r="Q26" i="1"/>
  <c r="Q8" i="1"/>
  <c r="Q5" i="1"/>
  <c r="Q16" i="1"/>
  <c r="Q20" i="1"/>
  <c r="Q25" i="1"/>
  <c r="Q10" i="1"/>
  <c r="Q7" i="1"/>
  <c r="Q24" i="1"/>
  <c r="Q28" i="1"/>
  <c r="Q19" i="1"/>
  <c r="Q21" i="1"/>
  <c r="Q23" i="1"/>
  <c r="Q27" i="1"/>
  <c r="Q11" i="1"/>
  <c r="Q18" i="1"/>
  <c r="Q15" i="1"/>
  <c r="Q9" i="1"/>
  <c r="Q2" i="1"/>
  <c r="D8" i="3"/>
  <c r="Q436" i="1"/>
  <c r="Q443" i="1"/>
  <c r="Q459" i="1"/>
  <c r="Q460" i="1"/>
  <c r="Q469" i="1"/>
  <c r="Q446" i="1"/>
  <c r="Q468" i="1"/>
  <c r="Q437" i="1"/>
  <c r="Q466" i="1"/>
  <c r="Q433" i="1"/>
  <c r="Q470" i="1"/>
  <c r="Q462" i="1"/>
  <c r="Q461" i="1"/>
  <c r="Q456" i="1"/>
  <c r="Q465" i="1"/>
  <c r="Q441" i="1"/>
  <c r="Q439" i="1"/>
  <c r="Q435" i="1"/>
  <c r="Q467" i="1"/>
  <c r="Q464" i="1"/>
  <c r="Q452" i="1"/>
  <c r="Q463" i="1"/>
  <c r="Q457" i="1"/>
  <c r="Q454" i="1"/>
  <c r="Q442" i="1"/>
  <c r="Q448" i="1"/>
  <c r="Q434" i="1"/>
  <c r="Q455" i="1"/>
  <c r="Q451" i="1"/>
  <c r="Q447" i="1"/>
  <c r="Q445" i="1"/>
  <c r="Q458" i="1"/>
  <c r="Q450" i="1"/>
  <c r="Q444" i="1"/>
  <c r="Q438" i="1"/>
  <c r="Q453" i="1"/>
  <c r="Q449" i="1"/>
  <c r="Q440" i="1"/>
  <c r="E6" i="3"/>
  <c r="T31" i="1"/>
  <c r="T34" i="1"/>
  <c r="T43" i="1"/>
  <c r="E18" i="3"/>
  <c r="D23" i="3"/>
  <c r="Q157" i="1"/>
  <c r="Q176" i="1"/>
  <c r="Q147" i="1"/>
  <c r="Q142" i="1"/>
  <c r="Q143" i="1"/>
  <c r="Q155" i="1"/>
  <c r="Q171" i="1"/>
  <c r="Q145" i="1"/>
  <c r="Q141" i="1"/>
  <c r="Q140" i="1"/>
  <c r="Q159" i="1"/>
  <c r="Q154" i="1"/>
  <c r="Q158" i="1"/>
  <c r="Q149" i="1"/>
  <c r="Q165" i="1"/>
  <c r="Q173" i="1"/>
  <c r="Q170" i="1"/>
  <c r="Q148" i="1"/>
  <c r="Q144" i="1"/>
  <c r="Q182" i="1"/>
  <c r="Q146" i="1"/>
  <c r="Q151" i="1"/>
  <c r="Q162" i="1"/>
  <c r="Q138" i="1"/>
  <c r="Q161" i="1"/>
  <c r="Q152" i="1"/>
  <c r="Q153" i="1"/>
  <c r="Q160" i="1"/>
  <c r="Q167" i="1"/>
  <c r="Q178" i="1"/>
  <c r="Q180" i="1"/>
  <c r="Q139" i="1"/>
  <c r="Q168" i="1"/>
  <c r="Q164" i="1"/>
  <c r="Q179" i="1"/>
  <c r="Q156" i="1"/>
  <c r="Q163" i="1"/>
  <c r="Q174" i="1"/>
  <c r="Q181" i="1"/>
  <c r="Q150" i="1"/>
  <c r="Q169" i="1"/>
  <c r="Q166" i="1"/>
  <c r="Q175" i="1"/>
  <c r="Q177" i="1"/>
  <c r="Q172" i="1"/>
  <c r="D18" i="3"/>
  <c r="Q622" i="1"/>
  <c r="Q626" i="1"/>
  <c r="Q628" i="1"/>
  <c r="Q637" i="1"/>
  <c r="Q638" i="1"/>
  <c r="Q613" i="1"/>
  <c r="Q634" i="1"/>
  <c r="Q640" i="1"/>
  <c r="Q621" i="1"/>
  <c r="Q619" i="1"/>
  <c r="Q636" i="1"/>
  <c r="Q620" i="1"/>
  <c r="Q633" i="1"/>
  <c r="Q618" i="1"/>
  <c r="Q630" i="1"/>
  <c r="Q617" i="1"/>
  <c r="Q624" i="1"/>
  <c r="Q642" i="1"/>
  <c r="Q635" i="1"/>
  <c r="Q627" i="1"/>
  <c r="Q629" i="1"/>
  <c r="Q616" i="1"/>
  <c r="Q632" i="1"/>
  <c r="Q623" i="1"/>
  <c r="Q631" i="1"/>
  <c r="Q639" i="1"/>
  <c r="Q615" i="1"/>
  <c r="Q625" i="1"/>
  <c r="Q614" i="1"/>
  <c r="Q641" i="1"/>
  <c r="Q612" i="1"/>
  <c r="E8" i="3"/>
  <c r="E24" i="3"/>
  <c r="T207" i="1"/>
  <c r="T202" i="1"/>
  <c r="T341" i="1"/>
  <c r="T16" i="1"/>
  <c r="T307" i="1"/>
  <c r="T388" i="1"/>
  <c r="T359" i="1"/>
  <c r="T257" i="1"/>
  <c r="T47" i="1"/>
  <c r="T346" i="1"/>
  <c r="T270" i="1"/>
  <c r="T267" i="1"/>
  <c r="T103" i="1"/>
  <c r="T119" i="1"/>
  <c r="T149" i="1"/>
  <c r="T275" i="1"/>
  <c r="T290" i="1"/>
  <c r="T216" i="1"/>
  <c r="T395" i="1"/>
  <c r="T389" i="1"/>
  <c r="T214" i="1"/>
  <c r="T131" i="1"/>
  <c r="T356" i="1"/>
  <c r="T175" i="1"/>
  <c r="T294" i="1"/>
  <c r="T180" i="1"/>
  <c r="T50" i="1"/>
  <c r="T425" i="1"/>
  <c r="T423" i="1"/>
  <c r="T238" i="1"/>
  <c r="T217" i="1"/>
  <c r="T68" i="1"/>
  <c r="T377" i="1"/>
  <c r="T12" i="1"/>
  <c r="T109" i="1"/>
  <c r="T153" i="1"/>
  <c r="T133" i="1"/>
  <c r="T159" i="1"/>
  <c r="T163" i="1"/>
  <c r="T298" i="1"/>
  <c r="T69" i="1"/>
  <c r="T380" i="1"/>
  <c r="T52" i="1"/>
  <c r="T269" i="1"/>
  <c r="T97" i="1"/>
  <c r="T424" i="1"/>
  <c r="T342" i="1"/>
  <c r="AH611" i="1"/>
  <c r="AH137" i="1"/>
  <c r="AB358" i="1"/>
  <c r="AH358" i="1"/>
  <c r="AH392" i="1"/>
  <c r="AB392" i="1"/>
  <c r="AB245" i="1"/>
  <c r="AH374" i="1"/>
  <c r="AH320" i="1"/>
  <c r="AB183" i="1"/>
  <c r="AH471" i="1"/>
  <c r="AB137" i="1"/>
  <c r="AH643" i="1"/>
  <c r="AH183" i="1"/>
  <c r="AH511" i="1"/>
  <c r="AH212" i="1"/>
  <c r="AH581" i="1"/>
  <c r="AB212" i="1"/>
  <c r="AB511" i="1"/>
  <c r="AB546" i="1"/>
  <c r="AB581" i="1"/>
  <c r="AB432" i="1"/>
  <c r="AB320" i="1"/>
  <c r="AH546" i="1"/>
  <c r="AB288" i="1"/>
  <c r="AB471" i="1"/>
  <c r="AB611" i="1"/>
  <c r="AH245" i="1"/>
  <c r="AH432" i="1"/>
  <c r="AH288" i="1"/>
  <c r="AB643" i="1"/>
  <c r="AB374" i="1"/>
  <c r="E33" i="3"/>
  <c r="E30" i="3"/>
  <c r="F30" i="3" s="1"/>
  <c r="E29" i="3"/>
  <c r="E32" i="3"/>
  <c r="AB57" i="1"/>
  <c r="AH85" i="1"/>
  <c r="D33" i="3"/>
  <c r="AH113" i="1"/>
  <c r="AB113" i="1"/>
  <c r="AH29" i="1"/>
  <c r="L5" i="3" s="1"/>
  <c r="AH57" i="1"/>
  <c r="L7" i="3" s="1"/>
  <c r="D29" i="3"/>
  <c r="F18" i="3" l="1"/>
  <c r="F25" i="3"/>
  <c r="F24" i="3"/>
  <c r="F16" i="3"/>
  <c r="F37" i="3"/>
  <c r="F39" i="3" s="1"/>
  <c r="B42" i="6"/>
  <c r="J5" i="3"/>
  <c r="F14" i="3"/>
  <c r="F13" i="3"/>
  <c r="F8" i="3"/>
  <c r="F10" i="3" s="1"/>
  <c r="F29" i="3"/>
  <c r="F31" i="3" s="1"/>
  <c r="F4" i="3"/>
  <c r="F27" i="3"/>
  <c r="F28" i="3" s="1"/>
  <c r="E7" i="3"/>
  <c r="F7" i="3" s="1"/>
  <c r="F6" i="3"/>
  <c r="F33" i="3"/>
  <c r="F12" i="3"/>
  <c r="F32" i="3"/>
  <c r="F17" i="3"/>
  <c r="N13" i="3"/>
  <c r="I12" i="3"/>
  <c r="N27" i="3"/>
  <c r="N38" i="3"/>
  <c r="L39" i="3"/>
  <c r="C40" i="6"/>
  <c r="N4" i="3"/>
  <c r="L10" i="3"/>
  <c r="L11" i="3" s="1"/>
  <c r="L28" i="3"/>
  <c r="N17" i="3"/>
  <c r="J10" i="3"/>
  <c r="N8" i="3"/>
  <c r="N26" i="3"/>
  <c r="L15" i="3"/>
  <c r="J28" i="3"/>
  <c r="N23" i="3"/>
  <c r="J7" i="3"/>
  <c r="N7" i="3" s="1"/>
  <c r="N6" i="3"/>
  <c r="N16" i="3"/>
  <c r="J19" i="3"/>
  <c r="N25" i="3"/>
  <c r="N9" i="3"/>
  <c r="N24" i="3"/>
  <c r="K29" i="3"/>
  <c r="J39" i="3"/>
  <c r="N37" i="3"/>
  <c r="N18" i="3"/>
  <c r="L19" i="3"/>
  <c r="J15" i="3"/>
  <c r="N12" i="3"/>
  <c r="C31" i="4"/>
  <c r="K8" i="6"/>
  <c r="H21" i="6"/>
  <c r="K21" i="6" s="1"/>
  <c r="E8" i="4"/>
  <c r="C25" i="6"/>
  <c r="I8" i="4"/>
  <c r="H5" i="4"/>
  <c r="B8" i="4"/>
  <c r="K8" i="4"/>
  <c r="F8" i="4"/>
  <c r="H19" i="4"/>
  <c r="C39" i="6"/>
  <c r="C26" i="4"/>
  <c r="D26" i="4" s="1"/>
  <c r="C30" i="4"/>
  <c r="C42" i="6"/>
  <c r="D42" i="6" s="1"/>
  <c r="C37" i="6"/>
  <c r="D37" i="6" s="1"/>
  <c r="B30" i="4"/>
  <c r="B27" i="4"/>
  <c r="B41" i="6"/>
  <c r="I32" i="3"/>
  <c r="F26" i="6"/>
  <c r="F17" i="4"/>
  <c r="D17" i="4"/>
  <c r="I10" i="6"/>
  <c r="I8" i="6"/>
  <c r="D9" i="4"/>
  <c r="D9" i="6"/>
  <c r="B5" i="6"/>
  <c r="M5" i="6" s="1"/>
  <c r="E5" i="3"/>
  <c r="E10" i="3"/>
  <c r="L5" i="4"/>
  <c r="L9" i="6"/>
  <c r="L7" i="4"/>
  <c r="L8" i="6"/>
  <c r="L10" i="4"/>
  <c r="L5" i="6"/>
  <c r="K10" i="6"/>
  <c r="J8" i="4"/>
  <c r="J8" i="6"/>
  <c r="K9" i="3"/>
  <c r="F8" i="6"/>
  <c r="H15" i="4"/>
  <c r="J15" i="4" s="1"/>
  <c r="H24" i="6"/>
  <c r="H22" i="6"/>
  <c r="C29" i="4"/>
  <c r="B29" i="4"/>
  <c r="B31" i="4"/>
  <c r="B39" i="6"/>
  <c r="B40" i="6"/>
  <c r="G18" i="4"/>
  <c r="G24" i="6"/>
  <c r="F20" i="4"/>
  <c r="F18" i="4"/>
  <c r="E20" i="4"/>
  <c r="E23" i="6"/>
  <c r="E25" i="6"/>
  <c r="D25" i="6"/>
  <c r="D18" i="4"/>
  <c r="D20" i="4"/>
  <c r="D26" i="6"/>
  <c r="C18" i="4"/>
  <c r="C24" i="6"/>
  <c r="B21" i="6"/>
  <c r="I21" i="6" s="1"/>
  <c r="B15" i="4"/>
  <c r="I15" i="4" s="1"/>
  <c r="H9" i="4"/>
  <c r="H8" i="6"/>
  <c r="H7" i="4"/>
  <c r="H7" i="6"/>
  <c r="G10" i="6"/>
  <c r="G8" i="6"/>
  <c r="G8" i="4"/>
  <c r="G5" i="4"/>
  <c r="G5" i="6"/>
  <c r="L8" i="4"/>
  <c r="L6" i="6"/>
  <c r="L10" i="6"/>
  <c r="L6" i="4"/>
  <c r="L9" i="4"/>
  <c r="L7" i="6"/>
  <c r="K6" i="4"/>
  <c r="K9" i="4"/>
  <c r="K6" i="6"/>
  <c r="K10" i="4"/>
  <c r="K7" i="4"/>
  <c r="K7" i="6"/>
  <c r="K9" i="6"/>
  <c r="J7" i="4"/>
  <c r="J9" i="4"/>
  <c r="J7" i="6"/>
  <c r="J10" i="4"/>
  <c r="J6" i="6"/>
  <c r="J10" i="6"/>
  <c r="J6" i="4"/>
  <c r="J9" i="6"/>
  <c r="C8" i="4"/>
  <c r="C10" i="6"/>
  <c r="C10" i="4"/>
  <c r="C7" i="4"/>
  <c r="C9" i="6"/>
  <c r="C9" i="4"/>
  <c r="C7" i="6"/>
  <c r="C6" i="6"/>
  <c r="C8" i="6"/>
  <c r="C6" i="4"/>
  <c r="F9" i="6"/>
  <c r="F6" i="6"/>
  <c r="F9" i="4"/>
  <c r="F10" i="6"/>
  <c r="F7" i="4"/>
  <c r="F6" i="4"/>
  <c r="F10" i="4"/>
  <c r="F7" i="6"/>
  <c r="E6" i="6"/>
  <c r="E9" i="6"/>
  <c r="E7" i="6"/>
  <c r="E10" i="6"/>
  <c r="E9" i="4"/>
  <c r="E7" i="4"/>
  <c r="E10" i="4"/>
  <c r="E8" i="6"/>
  <c r="E6" i="4"/>
  <c r="H23" i="6"/>
  <c r="H20" i="4"/>
  <c r="H16" i="4"/>
  <c r="H26" i="6"/>
  <c r="H25" i="6"/>
  <c r="H18" i="4"/>
  <c r="H17" i="4"/>
  <c r="C27" i="4"/>
  <c r="C28" i="4"/>
  <c r="C41" i="6"/>
  <c r="C38" i="6"/>
  <c r="B38" i="6"/>
  <c r="B28" i="4"/>
  <c r="G26" i="6"/>
  <c r="G16" i="4"/>
  <c r="G17" i="4"/>
  <c r="G19" i="4"/>
  <c r="G23" i="6"/>
  <c r="G22" i="6"/>
  <c r="G25" i="6"/>
  <c r="G20" i="4"/>
  <c r="F25" i="6"/>
  <c r="F23" i="6"/>
  <c r="F24" i="6"/>
  <c r="F19" i="4"/>
  <c r="F16" i="4"/>
  <c r="F22" i="6"/>
  <c r="E19" i="4"/>
  <c r="E18" i="4"/>
  <c r="E16" i="4"/>
  <c r="E17" i="4"/>
  <c r="E22" i="6"/>
  <c r="E24" i="6"/>
  <c r="E26" i="6"/>
  <c r="D23" i="6"/>
  <c r="D19" i="4"/>
  <c r="D24" i="6"/>
  <c r="D22" i="6"/>
  <c r="D16" i="4"/>
  <c r="C22" i="6"/>
  <c r="C26" i="6"/>
  <c r="C23" i="6"/>
  <c r="C19" i="4"/>
  <c r="C16" i="4"/>
  <c r="C17" i="4"/>
  <c r="C20" i="4"/>
  <c r="B20" i="4"/>
  <c r="B17" i="4"/>
  <c r="B22" i="6"/>
  <c r="B23" i="6"/>
  <c r="B16" i="4"/>
  <c r="B25" i="6"/>
  <c r="B18" i="4"/>
  <c r="B24" i="6"/>
  <c r="B26" i="6"/>
  <c r="B19" i="4"/>
  <c r="I6" i="4"/>
  <c r="I7" i="6"/>
  <c r="I7" i="4"/>
  <c r="I10" i="4"/>
  <c r="I9" i="6"/>
  <c r="I9" i="4"/>
  <c r="I6" i="6"/>
  <c r="H10" i="4"/>
  <c r="H6" i="6"/>
  <c r="H8" i="4"/>
  <c r="H9" i="6"/>
  <c r="H10" i="6"/>
  <c r="H6" i="4"/>
  <c r="G6" i="4"/>
  <c r="G9" i="6"/>
  <c r="G9" i="4"/>
  <c r="G6" i="6"/>
  <c r="G10" i="4"/>
  <c r="G7" i="6"/>
  <c r="G7" i="4"/>
  <c r="D7" i="4"/>
  <c r="D6" i="6"/>
  <c r="D8" i="4"/>
  <c r="D8" i="6"/>
  <c r="D10" i="6"/>
  <c r="D7" i="6"/>
  <c r="D6" i="4"/>
  <c r="D10" i="4"/>
  <c r="B6" i="6"/>
  <c r="B9" i="6"/>
  <c r="D5" i="3"/>
  <c r="B8" i="6"/>
  <c r="B10" i="6"/>
  <c r="B9" i="4"/>
  <c r="B10" i="4"/>
  <c r="B5" i="4"/>
  <c r="M5" i="4" s="1"/>
  <c r="B7" i="4"/>
  <c r="B6" i="4"/>
  <c r="B7" i="6"/>
  <c r="E39" i="3"/>
  <c r="I27" i="3"/>
  <c r="I23" i="3"/>
  <c r="T611" i="1"/>
  <c r="T643" i="1"/>
  <c r="O643" i="1"/>
  <c r="U614" i="1"/>
  <c r="U643" i="1" s="1"/>
  <c r="H18" i="3" s="1"/>
  <c r="O611" i="1"/>
  <c r="U583" i="1"/>
  <c r="U611" i="1" s="1"/>
  <c r="H17" i="3" s="1"/>
  <c r="T581" i="1"/>
  <c r="U553" i="1"/>
  <c r="U581" i="1" s="1"/>
  <c r="H16" i="3" s="1"/>
  <c r="O581" i="1"/>
  <c r="O546" i="1"/>
  <c r="U514" i="1"/>
  <c r="U546" i="1" s="1"/>
  <c r="H4" i="3" s="1"/>
  <c r="T546" i="1"/>
  <c r="T511" i="1"/>
  <c r="O511" i="1"/>
  <c r="U480" i="1"/>
  <c r="U511" i="1" s="1"/>
  <c r="H9" i="3" s="1"/>
  <c r="T471" i="1"/>
  <c r="O471" i="1"/>
  <c r="U441" i="1"/>
  <c r="U471" i="1" s="1"/>
  <c r="H8" i="3" s="1"/>
  <c r="T432" i="1"/>
  <c r="O432" i="1"/>
  <c r="U397" i="1"/>
  <c r="U432" i="1" s="1"/>
  <c r="U376" i="1"/>
  <c r="U392" i="1" s="1"/>
  <c r="H38" i="3" s="1"/>
  <c r="O392" i="1"/>
  <c r="K37" i="3"/>
  <c r="O374" i="1"/>
  <c r="U360" i="1"/>
  <c r="U374" i="1" s="1"/>
  <c r="H37" i="3" s="1"/>
  <c r="O358" i="1"/>
  <c r="U322" i="1"/>
  <c r="U358" i="1" s="1"/>
  <c r="U289" i="1"/>
  <c r="U320" i="1" s="1"/>
  <c r="H27" i="3" s="1"/>
  <c r="O320" i="1"/>
  <c r="O288" i="1"/>
  <c r="U246" i="1"/>
  <c r="U288" i="1" s="1"/>
  <c r="H26" i="3" s="1"/>
  <c r="I25" i="3"/>
  <c r="U213" i="1"/>
  <c r="U245" i="1" s="1"/>
  <c r="H25" i="3" s="1"/>
  <c r="O245" i="1"/>
  <c r="O212" i="1"/>
  <c r="U184" i="1"/>
  <c r="U212" i="1" s="1"/>
  <c r="H24" i="3" s="1"/>
  <c r="U138" i="1"/>
  <c r="U183" i="1" s="1"/>
  <c r="H23" i="3" s="1"/>
  <c r="O183" i="1"/>
  <c r="O137" i="1"/>
  <c r="U117" i="1"/>
  <c r="U137" i="1" s="1"/>
  <c r="H14" i="3" s="1"/>
  <c r="K14" i="3"/>
  <c r="D15" i="3"/>
  <c r="O113" i="1"/>
  <c r="U86" i="1"/>
  <c r="U113" i="1" s="1"/>
  <c r="H13" i="3" s="1"/>
  <c r="O85" i="1"/>
  <c r="U58" i="1"/>
  <c r="U85" i="1" s="1"/>
  <c r="H12" i="3" s="1"/>
  <c r="U30" i="1"/>
  <c r="U57" i="1" s="1"/>
  <c r="H6" i="3" s="1"/>
  <c r="H7" i="3" s="1"/>
  <c r="O57" i="1"/>
  <c r="U6" i="1"/>
  <c r="U29" i="1" s="1"/>
  <c r="H3" i="3" s="1"/>
  <c r="O29" i="1"/>
  <c r="D10" i="3"/>
  <c r="D11" i="3" s="1"/>
  <c r="E19" i="3"/>
  <c r="D19" i="3"/>
  <c r="K17" i="3"/>
  <c r="E15" i="3"/>
  <c r="T320" i="1"/>
  <c r="E28" i="3"/>
  <c r="T288" i="1"/>
  <c r="T137" i="1"/>
  <c r="T392" i="1"/>
  <c r="I8" i="3"/>
  <c r="I18" i="3"/>
  <c r="Q611" i="1"/>
  <c r="Q183" i="1"/>
  <c r="K13" i="3"/>
  <c r="K24" i="3"/>
  <c r="Q137" i="1"/>
  <c r="K33" i="3"/>
  <c r="Q471" i="1"/>
  <c r="Q374" i="1"/>
  <c r="Q432" i="1"/>
  <c r="Q320" i="1"/>
  <c r="K12" i="3"/>
  <c r="I26" i="3"/>
  <c r="I14" i="3"/>
  <c r="I13" i="3"/>
  <c r="T113" i="1"/>
  <c r="Q245" i="1"/>
  <c r="T29" i="1"/>
  <c r="K25" i="3"/>
  <c r="K4" i="3"/>
  <c r="Q212" i="1"/>
  <c r="I24" i="3"/>
  <c r="I6" i="3"/>
  <c r="T374" i="1"/>
  <c r="Q85" i="1"/>
  <c r="K26" i="3"/>
  <c r="K8" i="3"/>
  <c r="K27" i="3"/>
  <c r="T212" i="1"/>
  <c r="Q511" i="1"/>
  <c r="Q643" i="1"/>
  <c r="I30" i="3"/>
  <c r="K23" i="3"/>
  <c r="K16" i="3"/>
  <c r="I16" i="3"/>
  <c r="T245" i="1"/>
  <c r="Q113" i="1"/>
  <c r="I17" i="3"/>
  <c r="K3" i="3"/>
  <c r="T85" i="1"/>
  <c r="K18" i="3"/>
  <c r="Q392" i="1"/>
  <c r="Q546" i="1"/>
  <c r="T183" i="1"/>
  <c r="K6" i="3"/>
  <c r="K7" i="3" s="1"/>
  <c r="Q581" i="1"/>
  <c r="Q358" i="1"/>
  <c r="Q29" i="1"/>
  <c r="T358" i="1"/>
  <c r="I3" i="3"/>
  <c r="I4" i="3"/>
  <c r="I38" i="3"/>
  <c r="I37" i="3"/>
  <c r="I9" i="3"/>
  <c r="K38" i="3"/>
  <c r="Q288" i="1"/>
  <c r="T57" i="1"/>
  <c r="Q57" i="1"/>
  <c r="E31" i="3"/>
  <c r="E34" i="3"/>
  <c r="I29" i="3"/>
  <c r="K30" i="3"/>
  <c r="K32" i="3"/>
  <c r="I33" i="3"/>
  <c r="M3" i="3" l="1"/>
  <c r="F11" i="3"/>
  <c r="E11" i="3"/>
  <c r="F15" i="3"/>
  <c r="F5" i="3"/>
  <c r="F34" i="3"/>
  <c r="F20" i="3"/>
  <c r="N39" i="3"/>
  <c r="N28" i="3"/>
  <c r="D40" i="6"/>
  <c r="N3" i="3"/>
  <c r="N5" i="3"/>
  <c r="N33" i="3"/>
  <c r="N30" i="3"/>
  <c r="K31" i="3"/>
  <c r="L34" i="3"/>
  <c r="L31" i="3"/>
  <c r="L20" i="3"/>
  <c r="J20" i="3"/>
  <c r="N15" i="3"/>
  <c r="J11" i="3"/>
  <c r="N10" i="3"/>
  <c r="J31" i="3"/>
  <c r="J34" i="3"/>
  <c r="N19" i="3"/>
  <c r="D31" i="4"/>
  <c r="D30" i="4"/>
  <c r="J21" i="6"/>
  <c r="D39" i="6"/>
  <c r="M8" i="4"/>
  <c r="O5" i="4"/>
  <c r="K24" i="6"/>
  <c r="M23" i="3"/>
  <c r="M9" i="6"/>
  <c r="M7" i="4"/>
  <c r="N9" i="4"/>
  <c r="D27" i="4"/>
  <c r="N8" i="4"/>
  <c r="I17" i="4"/>
  <c r="O8" i="6"/>
  <c r="J24" i="6"/>
  <c r="K15" i="4"/>
  <c r="D41" i="6"/>
  <c r="K18" i="4"/>
  <c r="I24" i="6"/>
  <c r="I20" i="4"/>
  <c r="I23" i="6"/>
  <c r="O5" i="6"/>
  <c r="O8" i="4"/>
  <c r="N9" i="6"/>
  <c r="M9" i="3"/>
  <c r="K10" i="3"/>
  <c r="K11" i="3" s="1"/>
  <c r="O6" i="4"/>
  <c r="O10" i="6"/>
  <c r="M6" i="4"/>
  <c r="M7" i="6"/>
  <c r="M10" i="4"/>
  <c r="M9" i="4"/>
  <c r="M10" i="6"/>
  <c r="N10" i="6"/>
  <c r="N6" i="6"/>
  <c r="J18" i="4"/>
  <c r="D28" i="4"/>
  <c r="D38" i="6"/>
  <c r="D29" i="4"/>
  <c r="I18" i="4"/>
  <c r="I25" i="6"/>
  <c r="I26" i="6"/>
  <c r="M13" i="3"/>
  <c r="O7" i="6"/>
  <c r="O9" i="6"/>
  <c r="H5" i="3"/>
  <c r="I5" i="3"/>
  <c r="C25" i="7" s="1"/>
  <c r="D25" i="7" s="1"/>
  <c r="M4" i="3"/>
  <c r="M8" i="6"/>
  <c r="M6" i="6"/>
  <c r="N6" i="4"/>
  <c r="N7" i="6"/>
  <c r="N10" i="4"/>
  <c r="N8" i="6"/>
  <c r="N7" i="4"/>
  <c r="K39" i="3"/>
  <c r="J20" i="4"/>
  <c r="K20" i="4"/>
  <c r="K25" i="6"/>
  <c r="J25" i="6"/>
  <c r="K22" i="6"/>
  <c r="J22" i="6"/>
  <c r="K23" i="6"/>
  <c r="J23" i="6"/>
  <c r="J19" i="4"/>
  <c r="K19" i="4"/>
  <c r="J17" i="4"/>
  <c r="K17" i="4"/>
  <c r="J16" i="4"/>
  <c r="K16" i="4"/>
  <c r="J26" i="6"/>
  <c r="K26" i="6"/>
  <c r="M27" i="3"/>
  <c r="I16" i="4"/>
  <c r="I22" i="6"/>
  <c r="I19" i="4"/>
  <c r="O7" i="4"/>
  <c r="O9" i="4"/>
  <c r="O6" i="6"/>
  <c r="O10" i="4"/>
  <c r="H15" i="3"/>
  <c r="H10" i="3"/>
  <c r="H11" i="3" s="1"/>
  <c r="M14" i="3"/>
  <c r="H29" i="3"/>
  <c r="H32" i="3"/>
  <c r="D20" i="3"/>
  <c r="H39" i="3"/>
  <c r="H28" i="3"/>
  <c r="M25" i="3"/>
  <c r="M18" i="3"/>
  <c r="K5" i="3"/>
  <c r="C26" i="7" s="1"/>
  <c r="D26" i="7" s="1"/>
  <c r="H33" i="3"/>
  <c r="H30" i="3"/>
  <c r="H19" i="3"/>
  <c r="K19" i="3"/>
  <c r="E20" i="3"/>
  <c r="M17" i="3"/>
  <c r="M26" i="3"/>
  <c r="M24" i="3"/>
  <c r="I15" i="3"/>
  <c r="K15" i="3"/>
  <c r="I28" i="3"/>
  <c r="I39" i="3"/>
  <c r="C30" i="7" s="1"/>
  <c r="D30" i="7" s="1"/>
  <c r="M16" i="3"/>
  <c r="K34" i="3"/>
  <c r="K28" i="6" s="1"/>
  <c r="M6" i="3"/>
  <c r="M12" i="3"/>
  <c r="M8" i="3"/>
  <c r="M37" i="3"/>
  <c r="I7" i="3"/>
  <c r="M7" i="3" s="1"/>
  <c r="I10" i="3"/>
  <c r="M38" i="3"/>
  <c r="K28" i="3"/>
  <c r="I19" i="3"/>
  <c r="M32" i="3"/>
  <c r="I31" i="3"/>
  <c r="C10" i="7" s="1"/>
  <c r="D10" i="7" s="1"/>
  <c r="M29" i="3"/>
  <c r="M30" i="3"/>
  <c r="I34" i="3"/>
  <c r="K27" i="6" s="1"/>
  <c r="M33" i="3"/>
  <c r="E10" i="7" l="1"/>
  <c r="D44" i="6"/>
  <c r="C31" i="7"/>
  <c r="D31" i="7" s="1"/>
  <c r="N12" i="6"/>
  <c r="C21" i="7"/>
  <c r="D21" i="7" s="1"/>
  <c r="N11" i="3"/>
  <c r="I27" i="6"/>
  <c r="M28" i="3"/>
  <c r="C5" i="7"/>
  <c r="D5" i="7" s="1"/>
  <c r="I28" i="6"/>
  <c r="C6" i="7"/>
  <c r="D6" i="7" s="1"/>
  <c r="D47" i="6"/>
  <c r="J28" i="6"/>
  <c r="C11" i="7"/>
  <c r="D11" i="7" s="1"/>
  <c r="M11" i="6"/>
  <c r="M5" i="3"/>
  <c r="N20" i="3"/>
  <c r="D45" i="6"/>
  <c r="N29" i="3"/>
  <c r="N31" i="3"/>
  <c r="N34" i="3"/>
  <c r="N32" i="3"/>
  <c r="I29" i="6"/>
  <c r="M10" i="3"/>
  <c r="J31" i="6"/>
  <c r="O15" i="6"/>
  <c r="M13" i="6"/>
  <c r="M15" i="6"/>
  <c r="N14" i="6"/>
  <c r="D46" i="6"/>
  <c r="I31" i="6"/>
  <c r="N15" i="6"/>
  <c r="N13" i="6"/>
  <c r="M14" i="6"/>
  <c r="I30" i="6"/>
  <c r="O13" i="6"/>
  <c r="K20" i="3"/>
  <c r="O14" i="6"/>
  <c r="K31" i="6"/>
  <c r="M39" i="3"/>
  <c r="D43" i="6"/>
  <c r="K30" i="6"/>
  <c r="K29" i="6"/>
  <c r="M31" i="3"/>
  <c r="J27" i="6"/>
  <c r="J30" i="6"/>
  <c r="J29" i="6"/>
  <c r="M15" i="3"/>
  <c r="I20" i="3"/>
  <c r="M12" i="6"/>
  <c r="H20" i="3"/>
  <c r="H34" i="3"/>
  <c r="M34" i="3"/>
  <c r="H31" i="3"/>
  <c r="M19" i="3"/>
  <c r="I11" i="3"/>
  <c r="C20" i="7" s="1"/>
  <c r="D20" i="7" s="1"/>
  <c r="E5" i="7" l="1"/>
  <c r="O11" i="6"/>
  <c r="C15" i="7"/>
  <c r="D15" i="7" s="1"/>
  <c r="O12" i="6"/>
  <c r="C16" i="7"/>
  <c r="D16" i="7" s="1"/>
  <c r="E11" i="7"/>
  <c r="E6" i="7"/>
  <c r="M20" i="3"/>
  <c r="M11" i="3"/>
  <c r="N11" i="6"/>
  <c r="E15" i="7" l="1"/>
  <c r="E16" i="7"/>
</calcChain>
</file>

<file path=xl/sharedStrings.xml><?xml version="1.0" encoding="utf-8"?>
<sst xmlns="http://schemas.openxmlformats.org/spreadsheetml/2006/main" count="6752" uniqueCount="592">
  <si>
    <t>Year</t>
  </si>
  <si>
    <t>Station</t>
  </si>
  <si>
    <t>Name</t>
  </si>
  <si>
    <t>Sample.latitude..DM.</t>
  </si>
  <si>
    <t>Sample.longitude..DM.</t>
  </si>
  <si>
    <t>Waterdepth</t>
  </si>
  <si>
    <t>Class</t>
  </si>
  <si>
    <t>Order</t>
  </si>
  <si>
    <t>Family</t>
  </si>
  <si>
    <t>Genus</t>
  </si>
  <si>
    <t>Species</t>
  </si>
  <si>
    <t>DyntaxaID</t>
  </si>
  <si>
    <t>AphiaID</t>
  </si>
  <si>
    <t>ind.analysed.sample.fraction</t>
  </si>
  <si>
    <t>Abundance..Ind.m2.</t>
  </si>
  <si>
    <t>Ri</t>
  </si>
  <si>
    <t>Mi</t>
  </si>
  <si>
    <t>Reworking_Mode</t>
  </si>
  <si>
    <t>GF_H</t>
  </si>
  <si>
    <t>SALTKÄLLA</t>
  </si>
  <si>
    <t>58 24.12</t>
  </si>
  <si>
    <t>11 37.62</t>
  </si>
  <si>
    <t>Polychaeta</t>
  </si>
  <si>
    <t>Eunicida</t>
  </si>
  <si>
    <t>Lumbrineridae</t>
  </si>
  <si>
    <t>Abyssoninoe</t>
  </si>
  <si>
    <t>Abyssoninoe hibernica</t>
  </si>
  <si>
    <t>B</t>
  </si>
  <si>
    <t>Ophiuroidea</t>
  </si>
  <si>
    <t>Ophiurida</t>
  </si>
  <si>
    <t>Amphiuridae</t>
  </si>
  <si>
    <t>Amphiura</t>
  </si>
  <si>
    <t>Amphiura sp.</t>
  </si>
  <si>
    <t>Amphiura chiajei</t>
  </si>
  <si>
    <t>Amphiura filiformis</t>
  </si>
  <si>
    <t>Echinoidea</t>
  </si>
  <si>
    <t>Spatangoida</t>
  </si>
  <si>
    <t>Brissidae</t>
  </si>
  <si>
    <t>Brissopsis</t>
  </si>
  <si>
    <t>Brissopsis lyrifera</t>
  </si>
  <si>
    <t>Pilidiophora</t>
  </si>
  <si>
    <t>Heteronemertea</t>
  </si>
  <si>
    <t>Heteronemertea. familia incertae sedis</t>
  </si>
  <si>
    <t>Cerebratulus</t>
  </si>
  <si>
    <t>Cerebratulus sp.</t>
  </si>
  <si>
    <t>Gastropoda</t>
  </si>
  <si>
    <t>Cephalaspidea</t>
  </si>
  <si>
    <t>Cylichnidae</t>
  </si>
  <si>
    <t>Cylichna</t>
  </si>
  <si>
    <t>Cylichna cylindracea</t>
  </si>
  <si>
    <t>S</t>
  </si>
  <si>
    <t>Malacostraca</t>
  </si>
  <si>
    <t>Cumacea</t>
  </si>
  <si>
    <t>Diastylidae</t>
  </si>
  <si>
    <t>Diastylis</t>
  </si>
  <si>
    <t>Diastylis rugosa</t>
  </si>
  <si>
    <t>Terebellida</t>
  </si>
  <si>
    <t>Flabelligeridae</t>
  </si>
  <si>
    <t>Diplocirrus</t>
  </si>
  <si>
    <t>Diplocirrus glaucus</t>
  </si>
  <si>
    <t>UC</t>
  </si>
  <si>
    <t>Anthozoa</t>
  </si>
  <si>
    <t>Pennatulacea</t>
  </si>
  <si>
    <t>Funiculinidae</t>
  </si>
  <si>
    <t>Funiculina</t>
  </si>
  <si>
    <t>Funiculina quadrangularis</t>
  </si>
  <si>
    <t>E</t>
  </si>
  <si>
    <t>Phyllodocida</t>
  </si>
  <si>
    <t>Glyceridae</t>
  </si>
  <si>
    <t>Glycera</t>
  </si>
  <si>
    <t>Glycera unicornis</t>
  </si>
  <si>
    <t>Littorinimorpha</t>
  </si>
  <si>
    <t>Iravadiidae</t>
  </si>
  <si>
    <t>Hyala</t>
  </si>
  <si>
    <t>Hyala vitrea</t>
  </si>
  <si>
    <t>Nemertea</t>
  </si>
  <si>
    <t>Hesionidae</t>
  </si>
  <si>
    <t>Oxydromus</t>
  </si>
  <si>
    <t>Oxydromus flexuosus</t>
  </si>
  <si>
    <t>Bivalvia</t>
  </si>
  <si>
    <t>Lucinida</t>
  </si>
  <si>
    <t>Thyasiridae</t>
  </si>
  <si>
    <t>Parathyasira</t>
  </si>
  <si>
    <t>Parathyasira equalis</t>
  </si>
  <si>
    <t>Sigalionidae</t>
  </si>
  <si>
    <t>Pholoe</t>
  </si>
  <si>
    <t>Pholoe pallida</t>
  </si>
  <si>
    <t>Pilargidae</t>
  </si>
  <si>
    <t>Pilargis</t>
  </si>
  <si>
    <t>Pilargis verrucosa</t>
  </si>
  <si>
    <t>Terebellidae</t>
  </si>
  <si>
    <t>Polycirrus</t>
  </si>
  <si>
    <t>Polycirrus plumosus</t>
  </si>
  <si>
    <t>DC</t>
  </si>
  <si>
    <t>Polycladidea</t>
  </si>
  <si>
    <t>Polycladida</t>
  </si>
  <si>
    <t>Spionida</t>
  </si>
  <si>
    <t>Spionidae</t>
  </si>
  <si>
    <t>Prionospio</t>
  </si>
  <si>
    <t>Prionospio dubia</t>
  </si>
  <si>
    <t>UC/DC</t>
  </si>
  <si>
    <t>Prionospio fallax</t>
  </si>
  <si>
    <t>Maldanidae</t>
  </si>
  <si>
    <t>Rhodine</t>
  </si>
  <si>
    <t>Rhodine loveni</t>
  </si>
  <si>
    <t>Scalibregmatidae</t>
  </si>
  <si>
    <t>Scalibregma</t>
  </si>
  <si>
    <t>Scalibregma inflatum</t>
  </si>
  <si>
    <t>Scolelepis</t>
  </si>
  <si>
    <t>Scolelepis korsuni</t>
  </si>
  <si>
    <t>Spiophanes</t>
  </si>
  <si>
    <t>Spiophanes kroeyeri</t>
  </si>
  <si>
    <t>NA</t>
  </si>
  <si>
    <t>Veneroida</t>
  </si>
  <si>
    <t>Lasaeidae</t>
  </si>
  <si>
    <t>Tellimya</t>
  </si>
  <si>
    <t>Tellimya tenella</t>
  </si>
  <si>
    <t>Terebellides</t>
  </si>
  <si>
    <t>Terebellides stroemii</t>
  </si>
  <si>
    <t>GF_C</t>
  </si>
  <si>
    <t>ALSBÄCK</t>
  </si>
  <si>
    <t>58 19.40</t>
  </si>
  <si>
    <t>11 32.80</t>
  </si>
  <si>
    <t>Semelidae</t>
  </si>
  <si>
    <t>Abra</t>
  </si>
  <si>
    <t>Abra nitida</t>
  </si>
  <si>
    <t>Amphipoda</t>
  </si>
  <si>
    <t>Oedicerotidae</t>
  </si>
  <si>
    <t>Bathymedon</t>
  </si>
  <si>
    <t>Bathymedon saussurei</t>
  </si>
  <si>
    <t>Brada</t>
  </si>
  <si>
    <t>Brada villosa</t>
  </si>
  <si>
    <t>Cirratulidae</t>
  </si>
  <si>
    <t>Chaetozone</t>
  </si>
  <si>
    <t>Chaetozone setosa</t>
  </si>
  <si>
    <t>Sabellida</t>
  </si>
  <si>
    <t>Sabellidae</t>
  </si>
  <si>
    <t>Chone</t>
  </si>
  <si>
    <t>Chone sp.</t>
  </si>
  <si>
    <t>Cossuridae</t>
  </si>
  <si>
    <t>Cossura</t>
  </si>
  <si>
    <t>Cossura longocirrata</t>
  </si>
  <si>
    <t>Oweniidae</t>
  </si>
  <si>
    <t>Galathowenia</t>
  </si>
  <si>
    <t>Galathowenia oculata</t>
  </si>
  <si>
    <t>Capitellidae</t>
  </si>
  <si>
    <t>Heteromastus</t>
  </si>
  <si>
    <t>Heteromastus filiformis</t>
  </si>
  <si>
    <t>Paraonidae</t>
  </si>
  <si>
    <t>Levinsenia</t>
  </si>
  <si>
    <t>Levinsenia gracilis</t>
  </si>
  <si>
    <t>Lipobranchius</t>
  </si>
  <si>
    <t>Lipobranchius jeffreysii</t>
  </si>
  <si>
    <t>Ampharetidae</t>
  </si>
  <si>
    <t>Melinna</t>
  </si>
  <si>
    <t>Melinna cristata</t>
  </si>
  <si>
    <t>Nereimyra</t>
  </si>
  <si>
    <t>Nereimyra woodsholea</t>
  </si>
  <si>
    <t>Opheliidae</t>
  </si>
  <si>
    <t>Ophelina</t>
  </si>
  <si>
    <t>Ophelina acuminata</t>
  </si>
  <si>
    <t>Paradoneis</t>
  </si>
  <si>
    <t>Paradoneis sp.</t>
  </si>
  <si>
    <t>Amphinomida</t>
  </si>
  <si>
    <t>Amphinomidae</t>
  </si>
  <si>
    <t>Paramphinome</t>
  </si>
  <si>
    <t>Paramphinome jeffreysi</t>
  </si>
  <si>
    <t>Pectinariidae</t>
  </si>
  <si>
    <t>Pectinaria</t>
  </si>
  <si>
    <t>Pectinaria auricoma</t>
  </si>
  <si>
    <t>Pholoe sp.</t>
  </si>
  <si>
    <t>Prionospio cirrifera</t>
  </si>
  <si>
    <t>Rhodine sp.</t>
  </si>
  <si>
    <t>Sosane</t>
  </si>
  <si>
    <t>Sosane wahrbergi</t>
  </si>
  <si>
    <t>Tharyx</t>
  </si>
  <si>
    <t>Tharyx killariensis</t>
  </si>
  <si>
    <t>Thyasira</t>
  </si>
  <si>
    <t>Thyasira flexuosa</t>
  </si>
  <si>
    <t>GF_M</t>
  </si>
  <si>
    <t>Gullmar06</t>
  </si>
  <si>
    <t>58 15.71</t>
  </si>
  <si>
    <t>11 26.41</t>
  </si>
  <si>
    <t>Ampharete</t>
  </si>
  <si>
    <t>Ampharete lindstroemi</t>
  </si>
  <si>
    <t>Amphiura chiajei,filiformis</t>
  </si>
  <si>
    <t>Nudibranchia</t>
  </si>
  <si>
    <t>Arminidae</t>
  </si>
  <si>
    <t>Armina</t>
  </si>
  <si>
    <t>Armina loveni</t>
  </si>
  <si>
    <t>Glycera alba</t>
  </si>
  <si>
    <t>Kurtiella</t>
  </si>
  <si>
    <t>Kurtiella bidentata</t>
  </si>
  <si>
    <t>Leuconidae</t>
  </si>
  <si>
    <t>Leucon</t>
  </si>
  <si>
    <t>Leucon nasica</t>
  </si>
  <si>
    <t>Polynoidae</t>
  </si>
  <si>
    <t>Malmgrenia</t>
  </si>
  <si>
    <t>Malmgrenia andreapolis</t>
  </si>
  <si>
    <t>Pholoe baltica</t>
  </si>
  <si>
    <t>Prionospio multibranchiata</t>
  </si>
  <si>
    <t>Trichobranchus</t>
  </si>
  <si>
    <t>Trichobranchus roseus</t>
  </si>
  <si>
    <t>G_M</t>
  </si>
  <si>
    <t>Hagar01</t>
  </si>
  <si>
    <t>58 15.81</t>
  </si>
  <si>
    <t>11 28.65</t>
  </si>
  <si>
    <t>Ampeliscidae</t>
  </si>
  <si>
    <t>Ampelisca</t>
  </si>
  <si>
    <t>Ampelisca brevicornis</t>
  </si>
  <si>
    <t>Ampelisca tenuicornis</t>
  </si>
  <si>
    <t>Decapoda</t>
  </si>
  <si>
    <t>Callianassidae</t>
  </si>
  <si>
    <t>Callianassa</t>
  </si>
  <si>
    <t>Callianassa subterranea</t>
  </si>
  <si>
    <t>Myoida</t>
  </si>
  <si>
    <t>Corbulidae</t>
  </si>
  <si>
    <t>Corbula</t>
  </si>
  <si>
    <t>Corbula gibba</t>
  </si>
  <si>
    <t>Eudorella</t>
  </si>
  <si>
    <t>Eudorella truncatula</t>
  </si>
  <si>
    <t>Magelonidae</t>
  </si>
  <si>
    <t>Magelona</t>
  </si>
  <si>
    <t>Magelona minuta</t>
  </si>
  <si>
    <t>Nephtyidae</t>
  </si>
  <si>
    <t>Nephtys</t>
  </si>
  <si>
    <t>Nephtys incisa</t>
  </si>
  <si>
    <t>Notomastus</t>
  </si>
  <si>
    <t>Notomastus latericeus</t>
  </si>
  <si>
    <t>Pectinaria sp.</t>
  </si>
  <si>
    <t>Phoronidae</t>
  </si>
  <si>
    <t>Phoronis</t>
  </si>
  <si>
    <t>Phoronis muelleri</t>
  </si>
  <si>
    <t>Priapulidae</t>
  </si>
  <si>
    <t>Priapulus</t>
  </si>
  <si>
    <t>Priapulus caudatus</t>
  </si>
  <si>
    <t>Processidae</t>
  </si>
  <si>
    <t>Processa</t>
  </si>
  <si>
    <t>Processa nouveli holthuisi</t>
  </si>
  <si>
    <t>Pseudopolydora</t>
  </si>
  <si>
    <t>Pseudopolydora paucibranchiata</t>
  </si>
  <si>
    <t>Hagar02</t>
  </si>
  <si>
    <t>Leucothoidae</t>
  </si>
  <si>
    <t>Leucothoe</t>
  </si>
  <si>
    <t>Leucothoe lilljeborgii</t>
  </si>
  <si>
    <t>Nuculoida</t>
  </si>
  <si>
    <t>Nuculidae</t>
  </si>
  <si>
    <t>Nucula</t>
  </si>
  <si>
    <t>Nucula nitidosa</t>
  </si>
  <si>
    <t>HF_H</t>
  </si>
  <si>
    <t>Hökvik01</t>
  </si>
  <si>
    <t>58 02.18</t>
  </si>
  <si>
    <t>11 46.31</t>
  </si>
  <si>
    <t>Abra alba</t>
  </si>
  <si>
    <t>Cheirocratidae</t>
  </si>
  <si>
    <t>Cheirocratus</t>
  </si>
  <si>
    <t>Cheirocratus robustus</t>
  </si>
  <si>
    <t>Cheirocratus sundevallii</t>
  </si>
  <si>
    <t>Diastylis rathkei</t>
  </si>
  <si>
    <t>Enipo</t>
  </si>
  <si>
    <t>Enipo kinbergi</t>
  </si>
  <si>
    <t>Gattyana</t>
  </si>
  <si>
    <t>Gattyana cirrhosa</t>
  </si>
  <si>
    <t>Lepidonotus</t>
  </si>
  <si>
    <t>Lepidonotus squamatus</t>
  </si>
  <si>
    <t>Polyplacophora</t>
  </si>
  <si>
    <t>Lepidopleurida</t>
  </si>
  <si>
    <t>Leptochitonidae</t>
  </si>
  <si>
    <t>Leptochiton</t>
  </si>
  <si>
    <t>Leptochiton asellus</t>
  </si>
  <si>
    <t>Lysilla</t>
  </si>
  <si>
    <t>Lysilla loveni</t>
  </si>
  <si>
    <t>Melinna albicincta</t>
  </si>
  <si>
    <t>Aoridae</t>
  </si>
  <si>
    <t>Microdeutopus</t>
  </si>
  <si>
    <t>Mytiloida</t>
  </si>
  <si>
    <t>Mytilidae</t>
  </si>
  <si>
    <t>Musculus</t>
  </si>
  <si>
    <t>Musculus discors</t>
  </si>
  <si>
    <t>Ophiuridae</t>
  </si>
  <si>
    <t>Ophiura</t>
  </si>
  <si>
    <t>Ophiura ophiura</t>
  </si>
  <si>
    <t>Pista</t>
  </si>
  <si>
    <t>Pista lornensis</t>
  </si>
  <si>
    <t>Rhodine gracilior</t>
  </si>
  <si>
    <t>Sabella</t>
  </si>
  <si>
    <t>Sabella pavonina</t>
  </si>
  <si>
    <t>Actiniaria</t>
  </si>
  <si>
    <t>Sagartiidae</t>
  </si>
  <si>
    <t>Sphaerodoridae</t>
  </si>
  <si>
    <t>Sphaerodorum</t>
  </si>
  <si>
    <t>Sphaerodorum flavum</t>
  </si>
  <si>
    <t>Thelepus</t>
  </si>
  <si>
    <t>Thelepus cincinnatus</t>
  </si>
  <si>
    <t>Caenogastropoda incertae sedis </t>
  </si>
  <si>
    <t>Turritellidae </t>
  </si>
  <si>
    <t>Turritella</t>
  </si>
  <si>
    <t>Turritella communis</t>
  </si>
  <si>
    <t>Hökvik02</t>
  </si>
  <si>
    <t>58 02.22</t>
  </si>
  <si>
    <t>11 46.34</t>
  </si>
  <si>
    <t>Anobothrus</t>
  </si>
  <si>
    <t>Anobothrus gracilis</t>
  </si>
  <si>
    <t>Diastylis lucifera</t>
  </si>
  <si>
    <t>Ophiura albida</t>
  </si>
  <si>
    <t>Euheterodonta. families incertae sedis</t>
  </si>
  <si>
    <t>Pharidae</t>
  </si>
  <si>
    <t>Phaxas</t>
  </si>
  <si>
    <t>Phaxas pellucidus</t>
  </si>
  <si>
    <t>Anomalodesmata</t>
  </si>
  <si>
    <t>Thraciidae</t>
  </si>
  <si>
    <t>Thracia</t>
  </si>
  <si>
    <t>Trochochaetidae</t>
  </si>
  <si>
    <t>Trochochaeta</t>
  </si>
  <si>
    <t>Trochochaeta multisetosa</t>
  </si>
  <si>
    <t>Hökvik03</t>
  </si>
  <si>
    <t>58 02.24</t>
  </si>
  <si>
    <t>11 46.32</t>
  </si>
  <si>
    <t>Diastylis laevis</t>
  </si>
  <si>
    <t>Holothuroidea</t>
  </si>
  <si>
    <t>Dendrochirotida</t>
  </si>
  <si>
    <t>Cucumariidae</t>
  </si>
  <si>
    <t>Leptopentacta</t>
  </si>
  <si>
    <t>Leptopentacta elongata</t>
  </si>
  <si>
    <t>Lumbrineris</t>
  </si>
  <si>
    <t>Lumbrineris aniara</t>
  </si>
  <si>
    <t>Neogastropoda</t>
  </si>
  <si>
    <t>Philinidae</t>
  </si>
  <si>
    <t>Philine</t>
  </si>
  <si>
    <t>Philine quadripartita</t>
  </si>
  <si>
    <t>Platyhelminthes</t>
  </si>
  <si>
    <t>Hökvik04</t>
  </si>
  <si>
    <t>58 02.29</t>
  </si>
  <si>
    <t>Acteonidae</t>
  </si>
  <si>
    <t>Acteon</t>
  </si>
  <si>
    <t>Acteon tornatilis</t>
  </si>
  <si>
    <t>Arcticidae</t>
  </si>
  <si>
    <t>Arctica</t>
  </si>
  <si>
    <t>Arctica islandica</t>
  </si>
  <si>
    <t>Veneridae</t>
  </si>
  <si>
    <t>Chamelea</t>
  </si>
  <si>
    <t>Chamelea striatula</t>
  </si>
  <si>
    <t>Diastylis bradyi</t>
  </si>
  <si>
    <t>Glycera lapidum</t>
  </si>
  <si>
    <t>Malmgreniella</t>
  </si>
  <si>
    <t>Pycnogonida</t>
  </si>
  <si>
    <t>Pantopoda</t>
  </si>
  <si>
    <t>Nymphonidae</t>
  </si>
  <si>
    <t>Nymphon</t>
  </si>
  <si>
    <t>Caprellidae</t>
  </si>
  <si>
    <t>Pariambus</t>
  </si>
  <si>
    <t>Pariambus typicus</t>
  </si>
  <si>
    <t>Pectinaria belgica</t>
  </si>
  <si>
    <t>Mactridae</t>
  </si>
  <si>
    <t>Spisula</t>
  </si>
  <si>
    <t>Tanaidacea</t>
  </si>
  <si>
    <t>Caenogastropoda incertae sedis</t>
  </si>
  <si>
    <t>Turritellida</t>
  </si>
  <si>
    <t>Hökvik05</t>
  </si>
  <si>
    <t>58 02.38</t>
  </si>
  <si>
    <t>Caenogastropoda. ordo incertae sedis</t>
  </si>
  <si>
    <t>Epitoniidae</t>
  </si>
  <si>
    <t>Epitonium</t>
  </si>
  <si>
    <t>Epitonium clathrus</t>
  </si>
  <si>
    <t>HF_C_HF_M</t>
  </si>
  <si>
    <t>SK31</t>
  </si>
  <si>
    <t>57 57.58</t>
  </si>
  <si>
    <t>11 42.90</t>
  </si>
  <si>
    <t>Amphiura (chiajei,filiformis)</t>
  </si>
  <si>
    <t>Echiuridae</t>
  </si>
  <si>
    <t>Echiurus</t>
  </si>
  <si>
    <t>Echiurus echiurus</t>
  </si>
  <si>
    <t>Phyllodocidae</t>
  </si>
  <si>
    <t>Eumida</t>
  </si>
  <si>
    <t>Eumida bahusiensis</t>
  </si>
  <si>
    <t>Goniadidae</t>
  </si>
  <si>
    <t>Goniada</t>
  </si>
  <si>
    <t>Goniada maculata</t>
  </si>
  <si>
    <t>Sipunculidea</t>
  </si>
  <si>
    <t>Golfingiiformes</t>
  </si>
  <si>
    <t>Golfingiidae</t>
  </si>
  <si>
    <t>Thysanocardia</t>
  </si>
  <si>
    <t>Thysanocardia procera</t>
  </si>
  <si>
    <t>BF_H</t>
  </si>
  <si>
    <t>Byfjord08</t>
  </si>
  <si>
    <t>58 20.69</t>
  </si>
  <si>
    <t>11 54.65</t>
  </si>
  <si>
    <t>Mediomastus</t>
  </si>
  <si>
    <t>Mediomastus fragilis</t>
  </si>
  <si>
    <t>Oligochaeta</t>
  </si>
  <si>
    <t>Polydora</t>
  </si>
  <si>
    <t>Polydora ciliata</t>
  </si>
  <si>
    <t>Orbiniidae</t>
  </si>
  <si>
    <t>Scoloplos</t>
  </si>
  <si>
    <t>Scoloplos armiger</t>
  </si>
  <si>
    <t>Streblospio</t>
  </si>
  <si>
    <t>Streblospio benedicti</t>
  </si>
  <si>
    <t>Virgulariidae</t>
  </si>
  <si>
    <t>Virgularia</t>
  </si>
  <si>
    <t>Virgularia mirabilis</t>
  </si>
  <si>
    <t>Byfjord07</t>
  </si>
  <si>
    <t>58 20.74</t>
  </si>
  <si>
    <t>11 53.32</t>
  </si>
  <si>
    <t>Aporrhaidae</t>
  </si>
  <si>
    <t>Aporrhais</t>
  </si>
  <si>
    <t>Aporrhais pespelecani</t>
  </si>
  <si>
    <t>Hydrozoa</t>
  </si>
  <si>
    <t>Anthoathecata</t>
  </si>
  <si>
    <t>Corymorphidae</t>
  </si>
  <si>
    <t>Corymorpha</t>
  </si>
  <si>
    <t>Corymorpha nutans</t>
  </si>
  <si>
    <t>Nassariidae</t>
  </si>
  <si>
    <t>Tritia</t>
  </si>
  <si>
    <t>Tritia nitida</t>
  </si>
  <si>
    <t>HC_HM</t>
  </si>
  <si>
    <t>Argissidae</t>
  </si>
  <si>
    <t>Argissa</t>
  </si>
  <si>
    <t>Argissa hamatipes</t>
  </si>
  <si>
    <t>Ennucula</t>
  </si>
  <si>
    <t>Ennucula tenuis</t>
  </si>
  <si>
    <t>Eudorella emarginata</t>
  </si>
  <si>
    <t>ALSBÄCK01</t>
  </si>
  <si>
    <t>58 19.39</t>
  </si>
  <si>
    <t>11 32.81</t>
  </si>
  <si>
    <t>Ampharete octocirrata</t>
  </si>
  <si>
    <t>Amphicteis</t>
  </si>
  <si>
    <t>Amphicteis gunneri</t>
  </si>
  <si>
    <t>Amphilochidae</t>
  </si>
  <si>
    <t>Amphilochoides</t>
  </si>
  <si>
    <t>Amphilochoides serratipes</t>
  </si>
  <si>
    <t>Nereididae</t>
  </si>
  <si>
    <t>Ceratocephale</t>
  </si>
  <si>
    <t>Ceratocephale loveni</t>
  </si>
  <si>
    <t>Pectinoida</t>
  </si>
  <si>
    <t>Pectinidae</t>
  </si>
  <si>
    <t>Delectopecten</t>
  </si>
  <si>
    <t>Delectopecten vitreus</t>
  </si>
  <si>
    <t>Euchone</t>
  </si>
  <si>
    <t>Euchone papillosa</t>
  </si>
  <si>
    <t>Lanassa</t>
  </si>
  <si>
    <t>Lanassa venusta</t>
  </si>
  <si>
    <t>Nucula nucleus</t>
  </si>
  <si>
    <t>Pandalidae</t>
  </si>
  <si>
    <t>Pandalina</t>
  </si>
  <si>
    <t>Pandalina profunda</t>
  </si>
  <si>
    <t>Praxillella</t>
  </si>
  <si>
    <t>Thyasira sarsii</t>
  </si>
  <si>
    <t>ALSBÄCK02</t>
  </si>
  <si>
    <t>Neogyptis</t>
  </si>
  <si>
    <t>Neogyptis rosea</t>
  </si>
  <si>
    <t>Nereimyra punctata</t>
  </si>
  <si>
    <t>Nucula sulcata</t>
  </si>
  <si>
    <t>Caudofoveata</t>
  </si>
  <si>
    <t>Chaetodermatida</t>
  </si>
  <si>
    <t>Chaetodermatidae</t>
  </si>
  <si>
    <t>Chaetoderma</t>
  </si>
  <si>
    <t>Chaetoderma nitidulum</t>
  </si>
  <si>
    <t>Diastylis cornuta</t>
  </si>
  <si>
    <t>Malmgreniella sp.</t>
  </si>
  <si>
    <t>Cardiidae</t>
  </si>
  <si>
    <t>Papillicardium</t>
  </si>
  <si>
    <t>Papillicardium minimum</t>
  </si>
  <si>
    <t>58 15.72</t>
  </si>
  <si>
    <t>11 26.36</t>
  </si>
  <si>
    <t>Spirularia</t>
  </si>
  <si>
    <t>Cerianthidae</t>
  </si>
  <si>
    <t>Cerianthus</t>
  </si>
  <si>
    <t>Cerianthus lloydii</t>
  </si>
  <si>
    <t>Phyllodoce</t>
  </si>
  <si>
    <t>Phyllodoce rosea</t>
  </si>
  <si>
    <t>Westwoodilla</t>
  </si>
  <si>
    <t>Westwoodilla caecula</t>
  </si>
  <si>
    <t>58 15.82</t>
  </si>
  <si>
    <t>11 28.63</t>
  </si>
  <si>
    <t>Bylgides</t>
  </si>
  <si>
    <t>Glyphohesione</t>
  </si>
  <si>
    <t>Glyphohesione klatti</t>
  </si>
  <si>
    <t>Magelona alleni</t>
  </si>
  <si>
    <t>Dorvilleidae</t>
  </si>
  <si>
    <t>Parougia</t>
  </si>
  <si>
    <t>Parougia eliasoni</t>
  </si>
  <si>
    <t>Amphiura chiajei, filiformis</t>
  </si>
  <si>
    <t>Eriopisidae</t>
  </si>
  <si>
    <t>Eriopisa</t>
  </si>
  <si>
    <t>Eriopisa elongata</t>
  </si>
  <si>
    <t>Pennatulidae</t>
  </si>
  <si>
    <t>Pennatula</t>
  </si>
  <si>
    <t>Pennatula phosphorea</t>
  </si>
  <si>
    <t>Wrede et al., 2018</t>
  </si>
  <si>
    <t>Bti</t>
  </si>
  <si>
    <t>Fti</t>
  </si>
  <si>
    <t>Site</t>
  </si>
  <si>
    <t>Abundance</t>
  </si>
  <si>
    <t>Biomass</t>
  </si>
  <si>
    <t>BPc</t>
  </si>
  <si>
    <t>IPc</t>
  </si>
  <si>
    <t>Notes</t>
  </si>
  <si>
    <t>Gullmarsfjord</t>
  </si>
  <si>
    <t>GH</t>
  </si>
  <si>
    <t>Saltkälla</t>
  </si>
  <si>
    <t>Average</t>
  </si>
  <si>
    <t>Total</t>
  </si>
  <si>
    <t>GC</t>
  </si>
  <si>
    <t>Alsbäck</t>
  </si>
  <si>
    <t>Alsbäck01</t>
  </si>
  <si>
    <t>Alsbäck02</t>
  </si>
  <si>
    <t>GM</t>
  </si>
  <si>
    <t>Hakefjord</t>
  </si>
  <si>
    <t>HH</t>
  </si>
  <si>
    <t>HC</t>
  </si>
  <si>
    <t>HM</t>
  </si>
  <si>
    <t>Byfjord</t>
  </si>
  <si>
    <t>BH</t>
  </si>
  <si>
    <t>Ipd</t>
  </si>
  <si>
    <t>Sample Volume (m3)</t>
  </si>
  <si>
    <t>Area (m2)</t>
  </si>
  <si>
    <t>Height (m)</t>
  </si>
  <si>
    <t>Biomass_wet_g per m2</t>
  </si>
  <si>
    <t>BPc/IPc</t>
  </si>
  <si>
    <t>Relative Abundance</t>
  </si>
  <si>
    <t>Relative Biomass</t>
  </si>
  <si>
    <t>GH_2020</t>
  </si>
  <si>
    <t>GH_2022</t>
  </si>
  <si>
    <t>GC_2020</t>
  </si>
  <si>
    <t>GC_1_2022</t>
  </si>
  <si>
    <t>GC_2_2022</t>
  </si>
  <si>
    <t>GM_1_2020</t>
  </si>
  <si>
    <t>GM_2_2020</t>
  </si>
  <si>
    <t>GM_3_2020</t>
  </si>
  <si>
    <t>GM_1_2022</t>
  </si>
  <si>
    <t>GM_2_2022</t>
  </si>
  <si>
    <t>GM_3_2022</t>
  </si>
  <si>
    <t>HH_1_2021</t>
  </si>
  <si>
    <t>HH_2_2021</t>
  </si>
  <si>
    <t>HH_3_2021</t>
  </si>
  <si>
    <t>HH_4_2021</t>
  </si>
  <si>
    <t>HH_5_2021</t>
  </si>
  <si>
    <t>HC_HM_2021</t>
  </si>
  <si>
    <t>HC_HM_2023</t>
  </si>
  <si>
    <t>BH_1_2023</t>
  </si>
  <si>
    <t>BH_2_2021</t>
  </si>
  <si>
    <r>
      <t>P</t>
    </r>
    <r>
      <rPr>
        <vertAlign val="subscript"/>
        <sz val="11"/>
        <color theme="1"/>
        <rFont val="Aptos Narrow"/>
        <family val="2"/>
        <scheme val="minor"/>
      </rPr>
      <t>i</t>
    </r>
  </si>
  <si>
    <t>H</t>
  </si>
  <si>
    <t>Shannon Diversity H</t>
  </si>
  <si>
    <t>Sediment Reworking Analysis</t>
  </si>
  <si>
    <t>Db</t>
  </si>
  <si>
    <t>x.mix</t>
  </si>
  <si>
    <t>B/S</t>
  </si>
  <si>
    <t>B+S</t>
  </si>
  <si>
    <t>UC+DC</t>
  </si>
  <si>
    <t>Irr</t>
  </si>
  <si>
    <t>ab</t>
  </si>
  <si>
    <t>biom</t>
  </si>
  <si>
    <t>BPc 1</t>
  </si>
  <si>
    <t>BPc 2</t>
  </si>
  <si>
    <t>BPc 3</t>
  </si>
  <si>
    <t>IPc 1</t>
  </si>
  <si>
    <t>Ipc 2</t>
  </si>
  <si>
    <t>Ipc 3</t>
  </si>
  <si>
    <t>%</t>
  </si>
  <si>
    <t>BPc_WW</t>
  </si>
  <si>
    <t>Ipc_WW</t>
  </si>
  <si>
    <t>BPc/Ipc_scaled</t>
  </si>
  <si>
    <t>BPc_scaled</t>
  </si>
  <si>
    <t>Ipc_scaled</t>
  </si>
  <si>
    <t>BPc_scaled to 1*</t>
  </si>
  <si>
    <t>IPc_scaled to 1*</t>
  </si>
  <si>
    <t>Scaling to 1 for comparison of the two indices by dividing the calculated the measured BPc, IPc through the maximum possible BPc, IPc at the site</t>
  </si>
  <si>
    <t xml:space="preserve">Biomass_wet_per sample </t>
  </si>
  <si>
    <t>B/A *10</t>
  </si>
  <si>
    <t>May</t>
  </si>
  <si>
    <t>September</t>
  </si>
  <si>
    <t>Seasonal difference</t>
  </si>
  <si>
    <t>Depth</t>
  </si>
  <si>
    <t>Parameter</t>
  </si>
  <si>
    <t>BWO2</t>
  </si>
  <si>
    <t>T</t>
  </si>
  <si>
    <t>Queiros et al., 2015</t>
  </si>
  <si>
    <t>IPc_Sep</t>
  </si>
  <si>
    <t>BPc_Sep</t>
  </si>
  <si>
    <t>HM_HC</t>
  </si>
  <si>
    <t>Factor for transform May-Sept at 11 m depth</t>
  </si>
  <si>
    <t>IPc_Sep = IPc_May*2^((TSep-TMay)/10)</t>
  </si>
  <si>
    <t>*</t>
  </si>
  <si>
    <t>**</t>
  </si>
  <si>
    <t>***</t>
  </si>
  <si>
    <t>(SMHI,2024)</t>
  </si>
  <si>
    <t>BPc_max</t>
  </si>
  <si>
    <t>IPc_max</t>
  </si>
  <si>
    <t>SD</t>
  </si>
  <si>
    <t>BM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</si>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</sst>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0" fillId="0" borderId="10" xfId="0" applyBorder="1"/>
    <xf numFmtId="0" fontId="16" fillId="33" borderId="10" xfId="0" applyFont="1" applyFill="1" applyBorder="1"/>
    <xf numFmtId="0" fontId="16" fillId="33" borderId="0" xfId="0" applyFont="1" applyFill="1"/>
    <xf numFmtId="0" fontId="16" fillId="0" borderId="10" xfId="0" applyFont="1" applyBorder="1"/>
    <xf numFmtId="0" fontId="0" fillId="33" borderId="0" xfId="0" applyFill="1"/>
    <xf numFmtId="2" fontId="16" fillId="0" borderId="0" xfId="0" applyNumberFormat="1" applyFont="1"/>
    <xf numFmtId="0" fontId="16" fillId="34" borderId="0" xfId="0" applyFont="1" applyFill="1"/>
    <xf numFmtId="0" fontId="16" fillId="35" borderId="0" xfId="0" applyFont="1" applyFill="1"/>
    <xf numFmtId="0" fontId="16" fillId="34" borderId="11" xfId="0" applyFont="1" applyFill="1" applyBorder="1"/>
    <xf numFmtId="0" fontId="0" fillId="0" borderId="11" xfId="0" applyBorder="1"/>
    <xf numFmtId="0" fontId="16" fillId="0" borderId="11" xfId="0" applyFont="1" applyBorder="1"/>
    <xf numFmtId="2" fontId="16" fillId="33" borderId="0" xfId="0" applyNumberFormat="1" applyFont="1" applyFill="1"/>
    <xf numFmtId="164" fontId="16" fillId="33" borderId="0" xfId="0" applyNumberFormat="1" applyFont="1" applyFill="1"/>
    <xf numFmtId="2" fontId="0" fillId="0" borderId="0" xfId="0" applyNumberFormat="1"/>
    <xf numFmtId="2" fontId="0" fillId="33" borderId="0" xfId="0" applyNumberFormat="1" applyFill="1"/>
    <xf numFmtId="165" fontId="0" fillId="33" borderId="0" xfId="0" applyNumberFormat="1" applyFill="1"/>
    <xf numFmtId="165" fontId="0" fillId="0" borderId="0" xfId="0" applyNumberFormat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4DE2C"/>
      <color rgb="FF6DCD59"/>
      <color rgb="FF35B779"/>
      <color rgb="FF26828E"/>
      <color rgb="FFFDE725"/>
      <color rgb="FF3E4A89"/>
      <color rgb="FF4401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Gullmarsfjord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S4a!$A$5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S4a!$B$4:$L$4</c:f>
              <c:strCache>
                <c:ptCount val="11"/>
                <c:pt idx="0">
                  <c:v>GH_2020</c:v>
                </c:pt>
                <c:pt idx="1">
                  <c:v>GH_2022</c:v>
                </c:pt>
                <c:pt idx="2">
                  <c:v>GC_2020</c:v>
                </c:pt>
                <c:pt idx="3">
                  <c:v>GC_1_2022</c:v>
                </c:pt>
                <c:pt idx="4">
                  <c:v>GC_2_2022</c:v>
                </c:pt>
                <c:pt idx="5">
                  <c:v>GM_1_2020</c:v>
                </c:pt>
                <c:pt idx="6">
                  <c:v>GM_2_2020</c:v>
                </c:pt>
                <c:pt idx="7">
                  <c:v>GM_3_2020</c:v>
                </c:pt>
                <c:pt idx="8">
                  <c:v>GM_1_2022</c:v>
                </c:pt>
                <c:pt idx="9">
                  <c:v>GM_2_2022</c:v>
                </c:pt>
                <c:pt idx="10">
                  <c:v>GM_3_2022</c:v>
                </c:pt>
              </c:strCache>
            </c:strRef>
          </c:cat>
          <c:val>
            <c:numRef>
              <c:f>S4a!$B$5:$L$5</c:f>
              <c:numCache>
                <c:formatCode>General</c:formatCode>
                <c:ptCount val="11"/>
                <c:pt idx="0">
                  <c:v>2.056672760511883E-2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3.6546368204659673E-4</c:v>
                </c:pt>
                <c:pt idx="6">
                  <c:v>0.12773722627737227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8.9766606822262091E-2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3-4B6E-AD57-BCD2F7006B98}"/>
            </c:ext>
          </c:extLst>
        </c:ser>
        <c:ser>
          <c:idx val="1"/>
          <c:order val="1"/>
          <c:tx>
            <c:strRef>
              <c:f>S4a!$A$6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S4a!$B$6:$L$6</c:f>
              <c:numCache>
                <c:formatCode>General</c:formatCode>
                <c:ptCount val="11"/>
                <c:pt idx="0">
                  <c:v>9.5978062157221194E-3</c:v>
                </c:pt>
                <c:pt idx="1">
                  <c:v>1.4187116564417179E-2</c:v>
                </c:pt>
                <c:pt idx="2">
                  <c:v>6.2370062370062387E-2</c:v>
                </c:pt>
                <c:pt idx="3">
                  <c:v>0.12311848707062906</c:v>
                </c:pt>
                <c:pt idx="4">
                  <c:v>0.18041237113402059</c:v>
                </c:pt>
                <c:pt idx="5">
                  <c:v>2.1014161717679311E-3</c:v>
                </c:pt>
                <c:pt idx="6">
                  <c:v>4.105839416058394E-2</c:v>
                </c:pt>
                <c:pt idx="7">
                  <c:v>1.7600918308781324E-2</c:v>
                </c:pt>
                <c:pt idx="8">
                  <c:v>6.4043915827996312E-3</c:v>
                </c:pt>
                <c:pt idx="9">
                  <c:v>4.3832185347526649E-2</c:v>
                </c:pt>
                <c:pt idx="10">
                  <c:v>0.18132854578096946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3-4B6E-AD57-BCD2F7006B98}"/>
            </c:ext>
          </c:extLst>
        </c:ser>
        <c:ser>
          <c:idx val="2"/>
          <c:order val="2"/>
          <c:tx>
            <c:strRef>
              <c:f>S4a!$A$7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S4a!$B$7:$L$7</c:f>
              <c:numCache>
                <c:formatCode>General</c:formatCode>
                <c:ptCount val="11"/>
                <c:pt idx="0">
                  <c:v>0.94469835466179153</c:v>
                </c:pt>
                <c:pt idx="1">
                  <c:v>0.85506134969325187</c:v>
                </c:pt>
                <c:pt idx="2">
                  <c:v>0.75051975051975095</c:v>
                </c:pt>
                <c:pt idx="3">
                  <c:v>0.68313392512543381</c:v>
                </c:pt>
                <c:pt idx="4">
                  <c:v>0.5044182621502209</c:v>
                </c:pt>
                <c:pt idx="5">
                  <c:v>0.97359524897213368</c:v>
                </c:pt>
                <c:pt idx="6">
                  <c:v>0.36040145985401462</c:v>
                </c:pt>
                <c:pt idx="7">
                  <c:v>0.94451884446144985</c:v>
                </c:pt>
                <c:pt idx="8">
                  <c:v>0.93183897529734605</c:v>
                </c:pt>
                <c:pt idx="9">
                  <c:v>0.85410144020037615</c:v>
                </c:pt>
                <c:pt idx="10">
                  <c:v>0.17773788150807898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3-4B6E-AD57-BCD2F7006B98}"/>
            </c:ext>
          </c:extLst>
        </c:ser>
        <c:ser>
          <c:idx val="3"/>
          <c:order val="3"/>
          <c:tx>
            <c:strRef>
              <c:f>S4a!$A$8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S4a!$B$8:$L$8</c:f>
              <c:numCache>
                <c:formatCode>General</c:formatCode>
                <c:ptCount val="11"/>
                <c:pt idx="0">
                  <c:v>1.5539305301645339E-2</c:v>
                </c:pt>
                <c:pt idx="1">
                  <c:v>0.12231595092024541</c:v>
                </c:pt>
                <c:pt idx="2">
                  <c:v>3.4303534303534319E-2</c:v>
                </c:pt>
                <c:pt idx="3">
                  <c:v>3.4735623311462748E-3</c:v>
                </c:pt>
                <c:pt idx="4">
                  <c:v>3.6818851251840947E-4</c:v>
                </c:pt>
                <c:pt idx="5">
                  <c:v>1.863864778437643E-2</c:v>
                </c:pt>
                <c:pt idx="6">
                  <c:v>0.26824817518248184</c:v>
                </c:pt>
                <c:pt idx="7">
                  <c:v>5.7394298832982578E-4</c:v>
                </c:pt>
                <c:pt idx="8">
                  <c:v>4.9710277523635216E-2</c:v>
                </c:pt>
                <c:pt idx="9">
                  <c:v>3.7570444583594261E-3</c:v>
                </c:pt>
                <c:pt idx="10">
                  <c:v>8.0789946140035887E-2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73-4B6E-AD57-BCD2F7006B98}"/>
            </c:ext>
          </c:extLst>
        </c:ser>
        <c:ser>
          <c:idx val="4"/>
          <c:order val="4"/>
          <c:tx>
            <c:strRef>
              <c:f>S4a!$A$9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S4a!$B$9:$L$9</c:f>
              <c:numCache>
                <c:formatCode>General</c:formatCode>
                <c:ptCount val="11"/>
                <c:pt idx="0">
                  <c:v>6.8555758683729439E-3</c:v>
                </c:pt>
                <c:pt idx="1">
                  <c:v>3.8343558282208593E-3</c:v>
                </c:pt>
                <c:pt idx="2">
                  <c:v>5.9251559251559283E-2</c:v>
                </c:pt>
                <c:pt idx="3">
                  <c:v>7.2558857583944411E-2</c:v>
                </c:pt>
                <c:pt idx="4">
                  <c:v>0.10198821796759944</c:v>
                </c:pt>
                <c:pt idx="5">
                  <c:v>1.3704888076747376E-3</c:v>
                </c:pt>
                <c:pt idx="6">
                  <c:v>0.15875912408759127</c:v>
                </c:pt>
                <c:pt idx="7">
                  <c:v>3.520183661756264E-2</c:v>
                </c:pt>
                <c:pt idx="8">
                  <c:v>2.8972247636474512E-3</c:v>
                </c:pt>
                <c:pt idx="9">
                  <c:v>8.3281152160300603E-2</c:v>
                </c:pt>
                <c:pt idx="10">
                  <c:v>0.38779174147217221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73-4B6E-AD57-BCD2F7006B98}"/>
            </c:ext>
          </c:extLst>
        </c:ser>
        <c:ser>
          <c:idx val="5"/>
          <c:order val="5"/>
          <c:tx>
            <c:strRef>
              <c:f>S4a!$A$10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S4a!$B$10:$L$10</c:f>
              <c:numCache>
                <c:formatCode>General</c:formatCode>
                <c:ptCount val="11"/>
                <c:pt idx="0">
                  <c:v>2.7422303473491776E-3</c:v>
                </c:pt>
                <c:pt idx="1">
                  <c:v>4.6012269938650319E-3</c:v>
                </c:pt>
                <c:pt idx="2">
                  <c:v>9.3555093555093574E-2</c:v>
                </c:pt>
                <c:pt idx="3">
                  <c:v>0.11771516788884598</c:v>
                </c:pt>
                <c:pt idx="4">
                  <c:v>0.21281296023564067</c:v>
                </c:pt>
                <c:pt idx="5">
                  <c:v>3.9287345820009142E-3</c:v>
                </c:pt>
                <c:pt idx="6">
                  <c:v>4.3795620437956206E-2</c:v>
                </c:pt>
                <c:pt idx="7">
                  <c:v>2.1044576238760278E-3</c:v>
                </c:pt>
                <c:pt idx="8">
                  <c:v>9.1491308325709012E-3</c:v>
                </c:pt>
                <c:pt idx="9">
                  <c:v>1.5028177833437704E-2</c:v>
                </c:pt>
                <c:pt idx="10">
                  <c:v>8.25852782764811E-2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73-4B6E-AD57-BCD2F7006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176608"/>
        <c:axId val="824177088"/>
      </c:barChart>
      <c:catAx>
        <c:axId val="8241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77088"/>
        <c:crosses val="autoZero"/>
        <c:auto val="1"/>
        <c:lblAlgn val="ctr"/>
        <c:lblOffset val="100"/>
        <c:noMultiLvlLbl val="0"/>
      </c:catAx>
      <c:valAx>
        <c:axId val="82417708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Biomass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Hakefjord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S4a!$A$21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S4a!$B$20:$H$20</c:f>
              <c:strCache>
                <c:ptCount val="7"/>
                <c:pt idx="0">
                  <c:v>HH_1_2021</c:v>
                </c:pt>
                <c:pt idx="1">
                  <c:v>HH_2_2021</c:v>
                </c:pt>
                <c:pt idx="2">
                  <c:v>HH_3_2021</c:v>
                </c:pt>
                <c:pt idx="3">
                  <c:v>HH_4_2021</c:v>
                </c:pt>
                <c:pt idx="4">
                  <c:v>HH_5_2021</c:v>
                </c:pt>
                <c:pt idx="5">
                  <c:v>HC_HM_2021</c:v>
                </c:pt>
                <c:pt idx="6">
                  <c:v>HC_HM_2023</c:v>
                </c:pt>
              </c:strCache>
            </c:strRef>
          </c:cat>
          <c:val>
            <c:numRef>
              <c:f>S4a!$B$21:$H$21</c:f>
              <c:numCache>
                <c:formatCode>General</c:formatCode>
                <c:ptCount val="7"/>
                <c:pt idx="0">
                  <c:v>2.9774127310061623E-2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6.3025210084033624E-3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0-4040-9532-8026C40E76CF}"/>
            </c:ext>
          </c:extLst>
        </c:ser>
        <c:ser>
          <c:idx val="1"/>
          <c:order val="1"/>
          <c:tx>
            <c:strRef>
              <c:f>S4a!$A$22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S4a!$B$22:$H$22</c:f>
              <c:numCache>
                <c:formatCode>General</c:formatCode>
                <c:ptCount val="7"/>
                <c:pt idx="0">
                  <c:v>0.29106776180698152</c:v>
                </c:pt>
                <c:pt idx="1">
                  <c:v>0.46511627906976782</c:v>
                </c:pt>
                <c:pt idx="2">
                  <c:v>0.31747333880229706</c:v>
                </c:pt>
                <c:pt idx="3">
                  <c:v>0.69932523616734088</c:v>
                </c:pt>
                <c:pt idx="4">
                  <c:v>0.77811950790861195</c:v>
                </c:pt>
                <c:pt idx="5">
                  <c:v>0.71657754010695218</c:v>
                </c:pt>
                <c:pt idx="6">
                  <c:v>0.81407563025210106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0-4040-9532-8026C40E76CF}"/>
            </c:ext>
          </c:extLst>
        </c:ser>
        <c:ser>
          <c:idx val="2"/>
          <c:order val="2"/>
          <c:tx>
            <c:strRef>
              <c:f>S4a!$A$23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S4a!$B$23:$H$23</c:f>
              <c:numCache>
                <c:formatCode>General</c:formatCode>
                <c:ptCount val="7"/>
                <c:pt idx="0">
                  <c:v>0.42967145790554429</c:v>
                </c:pt>
                <c:pt idx="1">
                  <c:v>0.48273431994362254</c:v>
                </c:pt>
                <c:pt idx="2">
                  <c:v>0.55701394585726016</c:v>
                </c:pt>
                <c:pt idx="3">
                  <c:v>0.16653171390013488</c:v>
                </c:pt>
                <c:pt idx="4">
                  <c:v>0.12258347978910374</c:v>
                </c:pt>
                <c:pt idx="5">
                  <c:v>0.12931453573164808</c:v>
                </c:pt>
                <c:pt idx="6">
                  <c:v>0.15703781512605045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0-4040-9532-8026C40E76CF}"/>
            </c:ext>
          </c:extLst>
        </c:ser>
        <c:ser>
          <c:idx val="3"/>
          <c:order val="3"/>
          <c:tx>
            <c:strRef>
              <c:f>S4a!$A$24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S4a!$B$24:$H$24</c:f>
              <c:numCache>
                <c:formatCode>General</c:formatCode>
                <c:ptCount val="7"/>
                <c:pt idx="0">
                  <c:v>3.0800821355236162E-3</c:v>
                </c:pt>
                <c:pt idx="1">
                  <c:v>7.0472163495419356E-4</c:v>
                </c:pt>
                <c:pt idx="2">
                  <c:v>8.2034454470877802E-3</c:v>
                </c:pt>
                <c:pt idx="3">
                  <c:v>1.1875843454790818E-2</c:v>
                </c:pt>
                <c:pt idx="4">
                  <c:v>4.7451669595782092E-2</c:v>
                </c:pt>
                <c:pt idx="5">
                  <c:v>0.14681575109382602</c:v>
                </c:pt>
                <c:pt idx="6">
                  <c:v>2.1008403361344546E-3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D0-4040-9532-8026C40E76CF}"/>
            </c:ext>
          </c:extLst>
        </c:ser>
        <c:ser>
          <c:idx val="4"/>
          <c:order val="4"/>
          <c:tx>
            <c:strRef>
              <c:f>S4a!$A$25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S4a!$B$25:$H$25</c:f>
              <c:numCache>
                <c:formatCode>General</c:formatCode>
                <c:ptCount val="7"/>
                <c:pt idx="0">
                  <c:v>0.20225872689938407</c:v>
                </c:pt>
                <c:pt idx="1">
                  <c:v>4.5102184637068381E-2</c:v>
                </c:pt>
                <c:pt idx="2">
                  <c:v>0.11402789171452013</c:v>
                </c:pt>
                <c:pt idx="3">
                  <c:v>0.12091767881241558</c:v>
                </c:pt>
                <c:pt idx="4">
                  <c:v>4.349736379613358E-2</c:v>
                </c:pt>
                <c:pt idx="5">
                  <c:v>5.8337384540593125E-3</c:v>
                </c:pt>
                <c:pt idx="6">
                  <c:v>9.9789915966386564E-3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D0-4040-9532-8026C40E76CF}"/>
            </c:ext>
          </c:extLst>
        </c:ser>
        <c:ser>
          <c:idx val="5"/>
          <c:order val="5"/>
          <c:tx>
            <c:strRef>
              <c:f>S4a!$A$26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S4a!$B$26:$H$26</c:f>
              <c:numCache>
                <c:formatCode>General</c:formatCode>
                <c:ptCount val="7"/>
                <c:pt idx="0">
                  <c:v>4.4147843942505156E-2</c:v>
                </c:pt>
                <c:pt idx="1">
                  <c:v>6.3424947145877411E-3</c:v>
                </c:pt>
                <c:pt idx="2">
                  <c:v>3.2813781788351118E-3</c:v>
                </c:pt>
                <c:pt idx="3">
                  <c:v>1.3495276653171383E-3</c:v>
                </c:pt>
                <c:pt idx="4">
                  <c:v>8.3479789103690707E-3</c:v>
                </c:pt>
                <c:pt idx="5">
                  <c:v>1.4584346135148281E-3</c:v>
                </c:pt>
                <c:pt idx="6">
                  <c:v>1.0504201680672271E-2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D0-4040-9532-8026C40E7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879072"/>
        <c:axId val="1179878112"/>
      </c:barChart>
      <c:catAx>
        <c:axId val="11798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8112"/>
        <c:crosses val="autoZero"/>
        <c:auto val="1"/>
        <c:lblAlgn val="ctr"/>
        <c:lblOffset val="100"/>
        <c:noMultiLvlLbl val="0"/>
      </c:catAx>
      <c:valAx>
        <c:axId val="11798781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Biomass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Byfjord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S4a!$A$37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S4a!$B$36:$C$36</c:f>
              <c:strCache>
                <c:ptCount val="2"/>
                <c:pt idx="0">
                  <c:v>BH_1_2023</c:v>
                </c:pt>
                <c:pt idx="1">
                  <c:v>BH_2_2021</c:v>
                </c:pt>
              </c:strCache>
            </c:strRef>
          </c:cat>
          <c:val>
            <c:numRef>
              <c:f>S4a!$B$37:$C$37</c:f>
              <c:numCache>
                <c:formatCode>General</c:formatCode>
                <c:ptCount val="2"/>
                <c:pt idx="0">
                  <c:v>0</c:v>
                </c:pt>
                <c:pt idx="1">
                  <c:v>1.3245033112582787E-2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9-4153-B2EC-937B0CBA5B64}"/>
            </c:ext>
          </c:extLst>
        </c:ser>
        <c:ser>
          <c:idx val="1"/>
          <c:order val="1"/>
          <c:tx>
            <c:strRef>
              <c:f>S4a!$A$38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S4a!$B$38:$C$38</c:f>
              <c:numCache>
                <c:formatCode>General</c:formatCode>
                <c:ptCount val="2"/>
                <c:pt idx="0">
                  <c:v>0.16666666666666666</c:v>
                </c:pt>
                <c:pt idx="1">
                  <c:v>0.52052980132450355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9-4153-B2EC-937B0CBA5B64}"/>
            </c:ext>
          </c:extLst>
        </c:ser>
        <c:ser>
          <c:idx val="2"/>
          <c:order val="2"/>
          <c:tx>
            <c:strRef>
              <c:f>S4a!$A$39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S4a!$B$39:$C$39</c:f>
              <c:numCache>
                <c:formatCode>General</c:formatCode>
                <c:ptCount val="2"/>
                <c:pt idx="0">
                  <c:v>0.7416666666666667</c:v>
                </c:pt>
                <c:pt idx="1">
                  <c:v>0.45165562913907303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9-4153-B2EC-937B0CBA5B64}"/>
            </c:ext>
          </c:extLst>
        </c:ser>
        <c:ser>
          <c:idx val="3"/>
          <c:order val="3"/>
          <c:tx>
            <c:strRef>
              <c:f>S4a!$A$40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S4a!$B$40:$C$40</c:f>
              <c:numCache>
                <c:formatCode>General</c:formatCode>
                <c:ptCount val="2"/>
                <c:pt idx="0">
                  <c:v>8.3333333333333332E-3</c:v>
                </c:pt>
                <c:pt idx="1">
                  <c:v>1.3245033112582788E-3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B9-4153-B2EC-937B0CBA5B64}"/>
            </c:ext>
          </c:extLst>
        </c:ser>
        <c:ser>
          <c:idx val="4"/>
          <c:order val="4"/>
          <c:tx>
            <c:strRef>
              <c:f>S4a!$A$41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S4a!$B$41:$C$41</c:f>
              <c:numCache>
                <c:formatCode>General</c:formatCode>
                <c:ptCount val="2"/>
                <c:pt idx="0">
                  <c:v>6.6666666666666666E-2</c:v>
                </c:pt>
                <c:pt idx="1">
                  <c:v>1.1920529801324509E-2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B9-4153-B2EC-937B0CBA5B64}"/>
            </c:ext>
          </c:extLst>
        </c:ser>
        <c:ser>
          <c:idx val="5"/>
          <c:order val="5"/>
          <c:tx>
            <c:strRef>
              <c:f>S4a!$A$42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S4a!$B$42:$C$42</c:f>
              <c:numCache>
                <c:formatCode>General</c:formatCode>
                <c:ptCount val="2"/>
                <c:pt idx="0">
                  <c:v>1.6666666666666666E-2</c:v>
                </c:pt>
                <c:pt idx="1">
                  <c:v>1.3245033112582788E-3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B9-4153-B2EC-937B0CBA5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879072"/>
        <c:axId val="1179878112"/>
      </c:barChart>
      <c:catAx>
        <c:axId val="11798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8112"/>
        <c:crosses val="autoZero"/>
        <c:auto val="1"/>
        <c:lblAlgn val="ctr"/>
        <c:lblOffset val="100"/>
        <c:noMultiLvlLbl val="0"/>
      </c:catAx>
      <c:valAx>
        <c:axId val="11798781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Biomass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Epifauna</c:v>
          </c:tx>
          <c:spPr>
            <a:solidFill>
              <a:srgbClr val="440154"/>
            </a:solidFill>
            <a:ln>
              <a:solidFill>
                <a:srgbClr val="440154"/>
              </a:solidFill>
            </a:ln>
            <a:effectLst/>
          </c:spPr>
          <c:invertIfNegative val="0"/>
          <c:cat>
            <c:strRef>
              <c:f>S4a!$A$53:$A$61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(S4a!$I$21:$K$21,S4a!$M$5:$O$5,S4a!$D$37:$F$37)</c:f>
              <c:numCache>
                <c:formatCode>General</c:formatCode>
                <c:ptCount val="9"/>
                <c:pt idx="0">
                  <c:v>5.9548254620123246E-3</c:v>
                </c:pt>
                <c:pt idx="1">
                  <c:v>3.1512605042016812E-3</c:v>
                </c:pt>
                <c:pt idx="2">
                  <c:v>3.1512605042016812E-3</c:v>
                </c:pt>
                <c:pt idx="3">
                  <c:v>1.0283363802559415E-2</c:v>
                </c:pt>
                <c:pt idx="4">
                  <c:v>0</c:v>
                </c:pt>
                <c:pt idx="5">
                  <c:v>3.6311549463613493E-2</c:v>
                </c:pt>
                <c:pt idx="6">
                  <c:v>6.6225165562913933E-3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4-47B2-909D-D64AC0771E49}"/>
            </c:ext>
          </c:extLst>
        </c:ser>
        <c:ser>
          <c:idx val="1"/>
          <c:order val="1"/>
          <c:tx>
            <c:v>Surficial modifier</c:v>
          </c:tx>
          <c:spPr>
            <a:solidFill>
              <a:srgbClr val="3E4A89"/>
            </a:solidFill>
            <a:ln>
              <a:solidFill>
                <a:srgbClr val="3E4A89"/>
              </a:solidFill>
            </a:ln>
            <a:effectLst/>
          </c:spPr>
          <c:invertIfNegative val="0"/>
          <c:cat>
            <c:strRef>
              <c:f>S4a!$A$53:$A$61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(S4a!$I$22:$K$22,S4a!$M$6:$O$6,S4a!$D$38:$F$38)</c:f>
              <c:numCache>
                <c:formatCode>General</c:formatCode>
                <c:ptCount val="9"/>
                <c:pt idx="0">
                  <c:v>0.51022042475099982</c:v>
                </c:pt>
                <c:pt idx="1">
                  <c:v>0.76532658517952656</c:v>
                </c:pt>
                <c:pt idx="2">
                  <c:v>0.76532658517952656</c:v>
                </c:pt>
                <c:pt idx="3">
                  <c:v>1.189246139006965E-2</c:v>
                </c:pt>
                <c:pt idx="4">
                  <c:v>0.121966973524904</c:v>
                </c:pt>
                <c:pt idx="5">
                  <c:v>4.8720975225404826E-2</c:v>
                </c:pt>
                <c:pt idx="6">
                  <c:v>0.34359823399558509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4-47B2-909D-D64AC0771E49}"/>
            </c:ext>
          </c:extLst>
        </c:ser>
        <c:ser>
          <c:idx val="2"/>
          <c:order val="2"/>
          <c:tx>
            <c:v>Biodiffuser</c:v>
          </c:tx>
          <c:spPr>
            <a:solidFill>
              <a:srgbClr val="B4DE2C"/>
            </a:solidFill>
            <a:ln>
              <a:solidFill>
                <a:srgbClr val="B4DE2C"/>
              </a:solidFill>
            </a:ln>
            <a:effectLst/>
          </c:spPr>
          <c:invertIfNegative val="0"/>
          <c:cat>
            <c:strRef>
              <c:f>S4a!$A$53:$A$61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(S4a!$I$23:$K$23,S4a!$M$7:$O$7,S4a!$D$39:$F$39)</c:f>
              <c:numCache>
                <c:formatCode>General</c:formatCode>
                <c:ptCount val="9"/>
                <c:pt idx="0">
                  <c:v>0.35170698347913315</c:v>
                </c:pt>
                <c:pt idx="1">
                  <c:v>0.14317617542884925</c:v>
                </c:pt>
                <c:pt idx="2">
                  <c:v>0.14317617542884925</c:v>
                </c:pt>
                <c:pt idx="3">
                  <c:v>0.89987985217752176</c:v>
                </c:pt>
                <c:pt idx="4">
                  <c:v>0.64602397926513522</c:v>
                </c:pt>
                <c:pt idx="5">
                  <c:v>0.7070323083822333</c:v>
                </c:pt>
                <c:pt idx="6">
                  <c:v>0.59666114790286984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4-47B2-909D-D64AC0771E49}"/>
            </c:ext>
          </c:extLst>
        </c:ser>
        <c:ser>
          <c:idx val="3"/>
          <c:order val="3"/>
          <c:tx>
            <c:v>Upward conveyer</c:v>
          </c:tx>
          <c:spPr>
            <a:solidFill>
              <a:srgbClr val="26828E"/>
            </a:solidFill>
            <a:ln>
              <a:solidFill>
                <a:srgbClr val="26828E"/>
              </a:solidFill>
            </a:ln>
            <a:effectLst/>
          </c:spPr>
          <c:invertIfNegative val="0"/>
          <c:cat>
            <c:strRef>
              <c:f>S4a!$A$53:$A$61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(S4a!$I$24:$K$24,S4a!$M$8:$O$8,S4a!$D$40:$F$40)</c:f>
              <c:numCache>
                <c:formatCode>General</c:formatCode>
                <c:ptCount val="9"/>
                <c:pt idx="0">
                  <c:v>1.4263152453627701E-2</c:v>
                </c:pt>
                <c:pt idx="1">
                  <c:v>7.4458295714980235E-2</c:v>
                </c:pt>
                <c:pt idx="2">
                  <c:v>7.4458295714980235E-2</c:v>
                </c:pt>
                <c:pt idx="3">
                  <c:v>6.8927628110945383E-2</c:v>
                </c:pt>
                <c:pt idx="4">
                  <c:v>1.2715095049066335E-2</c:v>
                </c:pt>
                <c:pt idx="5">
                  <c:v>7.0286339012869764E-2</c:v>
                </c:pt>
                <c:pt idx="6">
                  <c:v>4.8289183222958061E-3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84-47B2-909D-D64AC0771E49}"/>
            </c:ext>
          </c:extLst>
        </c:ser>
        <c:ser>
          <c:idx val="4"/>
          <c:order val="4"/>
          <c:tx>
            <c:v>Downward conveyer</c:v>
          </c:tx>
          <c:spPr>
            <a:solidFill>
              <a:srgbClr val="35B779"/>
            </a:solidFill>
            <a:ln>
              <a:solidFill>
                <a:srgbClr val="35B779"/>
              </a:solidFill>
            </a:ln>
            <a:effectLst/>
          </c:spPr>
          <c:invertIfNegative val="0"/>
          <c:cat>
            <c:strRef>
              <c:f>S4a!$A$53:$A$61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(S4a!$I$25:$K$25,S4a!$M$9:$O$9,S4a!$D$41:$F$41)</c:f>
              <c:numCache>
                <c:formatCode>General</c:formatCode>
                <c:ptCount val="9"/>
                <c:pt idx="0">
                  <c:v>0.10516076917190434</c:v>
                </c:pt>
                <c:pt idx="1">
                  <c:v>7.9063650253489853E-3</c:v>
                </c:pt>
                <c:pt idx="2">
                  <c:v>7.9063650253489853E-3</c:v>
                </c:pt>
                <c:pt idx="3">
                  <c:v>5.3449658482969016E-3</c:v>
                </c:pt>
                <c:pt idx="4">
                  <c:v>7.7932878267701053E-2</c:v>
                </c:pt>
                <c:pt idx="5">
                  <c:v>0.11155026131815815</c:v>
                </c:pt>
                <c:pt idx="6">
                  <c:v>3.9293598233995586E-2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84-47B2-909D-D64AC0771E49}"/>
            </c:ext>
          </c:extLst>
        </c:ser>
        <c:ser>
          <c:idx val="5"/>
          <c:order val="5"/>
          <c:tx>
            <c:v>Upward and downward conveyer</c:v>
          </c:tx>
          <c:spPr>
            <a:solidFill>
              <a:srgbClr val="6DCD59"/>
            </a:solidFill>
            <a:ln>
              <a:solidFill>
                <a:srgbClr val="6DCD59"/>
              </a:solidFill>
            </a:ln>
            <a:effectLst/>
          </c:spPr>
          <c:invertIfNegative val="0"/>
          <c:cat>
            <c:strRef>
              <c:f>S4a!$A$53:$A$61</c:f>
              <c:strCache>
                <c:ptCount val="9"/>
                <c:pt idx="0">
                  <c:v>HH</c:v>
                </c:pt>
                <c:pt idx="1">
                  <c:v>HC</c:v>
                </c:pt>
                <c:pt idx="2">
                  <c:v>HM</c:v>
                </c:pt>
                <c:pt idx="3">
                  <c:v>GH</c:v>
                </c:pt>
                <c:pt idx="4">
                  <c:v>GC</c:v>
                </c:pt>
                <c:pt idx="5">
                  <c:v>GM</c:v>
                </c:pt>
                <c:pt idx="6">
                  <c:v>BH</c:v>
                </c:pt>
                <c:pt idx="7">
                  <c:v>BC</c:v>
                </c:pt>
                <c:pt idx="8">
                  <c:v>BM</c:v>
                </c:pt>
              </c:strCache>
            </c:strRef>
          </c:cat>
          <c:val>
            <c:numRef>
              <c:f>(S4a!$I$26:$K$26,S4a!$M$10:$O$10,S4a!$D$42:$F$42)</c:f>
              <c:numCache>
                <c:formatCode>General</c:formatCode>
                <c:ptCount val="9"/>
                <c:pt idx="0">
                  <c:v>1.2693844682322843E-2</c:v>
                </c:pt>
                <c:pt idx="1">
                  <c:v>5.9813181470935502E-3</c:v>
                </c:pt>
                <c:pt idx="2">
                  <c:v>5.9813181470935502E-3</c:v>
                </c:pt>
                <c:pt idx="3">
                  <c:v>3.6717286706071045E-3</c:v>
                </c:pt>
                <c:pt idx="4">
                  <c:v>0.14136107389319341</c:v>
                </c:pt>
                <c:pt idx="5">
                  <c:v>2.6098566597720474E-2</c:v>
                </c:pt>
                <c:pt idx="6">
                  <c:v>8.9955849889624719E-3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84-47B2-909D-D64AC0771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9879072"/>
        <c:axId val="1179878112"/>
      </c:barChart>
      <c:catAx>
        <c:axId val="11798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8112"/>
        <c:crosses val="autoZero"/>
        <c:auto val="1"/>
        <c:lblAlgn val="ctr"/>
        <c:lblOffset val="100"/>
        <c:noMultiLvlLbl val="0"/>
      </c:catAx>
      <c:valAx>
        <c:axId val="11798781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Biomass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Gullmarsfjord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S4b!$A$5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S4b!$B$4:$L$4</c:f>
              <c:strCache>
                <c:ptCount val="11"/>
                <c:pt idx="0">
                  <c:v>GH_2020</c:v>
                </c:pt>
                <c:pt idx="1">
                  <c:v>GH_2022</c:v>
                </c:pt>
                <c:pt idx="2">
                  <c:v>GC_2020</c:v>
                </c:pt>
                <c:pt idx="3">
                  <c:v>GC_1_2022</c:v>
                </c:pt>
                <c:pt idx="4">
                  <c:v>GC_2_2022</c:v>
                </c:pt>
                <c:pt idx="5">
                  <c:v>GM_1_2020</c:v>
                </c:pt>
                <c:pt idx="6">
                  <c:v>GM_2_2020</c:v>
                </c:pt>
                <c:pt idx="7">
                  <c:v>GM_3_2020</c:v>
                </c:pt>
                <c:pt idx="8">
                  <c:v>GM_1_2022</c:v>
                </c:pt>
                <c:pt idx="9">
                  <c:v>GM_2_2022</c:v>
                </c:pt>
                <c:pt idx="10">
                  <c:v>GM_3_2022</c:v>
                </c:pt>
              </c:strCache>
            </c:strRef>
          </c:cat>
          <c:val>
            <c:numRef>
              <c:f>S4b!$B$5:$L$5</c:f>
              <c:numCache>
                <c:formatCode>General</c:formatCode>
                <c:ptCount val="11"/>
                <c:pt idx="0">
                  <c:v>1.282051282051282E-2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6.8027210884353739E-3</c:v>
                </c:pt>
                <c:pt idx="6">
                  <c:v>1.8633540372670808E-2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9.6153846153846159E-3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6-4F6F-ABC8-AD99BF77AA4B}"/>
            </c:ext>
          </c:extLst>
        </c:ser>
        <c:ser>
          <c:idx val="1"/>
          <c:order val="1"/>
          <c:tx>
            <c:strRef>
              <c:f>S4b!$A$6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S4b!$B$6:$L$6</c:f>
              <c:numCache>
                <c:formatCode>General</c:formatCode>
                <c:ptCount val="11"/>
                <c:pt idx="0">
                  <c:v>0.23076923076923078</c:v>
                </c:pt>
                <c:pt idx="1">
                  <c:v>0.16577540106951869</c:v>
                </c:pt>
                <c:pt idx="2">
                  <c:v>0.25657894736842102</c:v>
                </c:pt>
                <c:pt idx="3">
                  <c:v>0.29425837320574166</c:v>
                </c:pt>
                <c:pt idx="4">
                  <c:v>0.40399002493765596</c:v>
                </c:pt>
                <c:pt idx="5">
                  <c:v>0.12925170068027209</c:v>
                </c:pt>
                <c:pt idx="6">
                  <c:v>0.47204968944099385</c:v>
                </c:pt>
                <c:pt idx="7">
                  <c:v>0.50505050505050508</c:v>
                </c:pt>
                <c:pt idx="8">
                  <c:v>0.17314487632508832</c:v>
                </c:pt>
                <c:pt idx="9">
                  <c:v>0.52554744525547448</c:v>
                </c:pt>
                <c:pt idx="10">
                  <c:v>0.51442307692307698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96-4F6F-ABC8-AD99BF77AA4B}"/>
            </c:ext>
          </c:extLst>
        </c:ser>
        <c:ser>
          <c:idx val="2"/>
          <c:order val="2"/>
          <c:tx>
            <c:strRef>
              <c:f>S4b!$A$7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S4b!$B$7:$L$7</c:f>
              <c:numCache>
                <c:formatCode>General</c:formatCode>
                <c:ptCount val="11"/>
                <c:pt idx="0">
                  <c:v>0.5448717948717946</c:v>
                </c:pt>
                <c:pt idx="1">
                  <c:v>0.64705882352941202</c:v>
                </c:pt>
                <c:pt idx="2">
                  <c:v>0.5625</c:v>
                </c:pt>
                <c:pt idx="3">
                  <c:v>0.42583732057416274</c:v>
                </c:pt>
                <c:pt idx="4">
                  <c:v>0.2793017456359102</c:v>
                </c:pt>
                <c:pt idx="5">
                  <c:v>0.72108843537414979</c:v>
                </c:pt>
                <c:pt idx="6">
                  <c:v>0.14285714285714288</c:v>
                </c:pt>
                <c:pt idx="7">
                  <c:v>0.25252525252525254</c:v>
                </c:pt>
                <c:pt idx="8">
                  <c:v>0.67491166077738551</c:v>
                </c:pt>
                <c:pt idx="9">
                  <c:v>0.13868613138686131</c:v>
                </c:pt>
                <c:pt idx="10">
                  <c:v>7.2115384615384609E-2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96-4F6F-ABC8-AD99BF77AA4B}"/>
            </c:ext>
          </c:extLst>
        </c:ser>
        <c:ser>
          <c:idx val="3"/>
          <c:order val="3"/>
          <c:tx>
            <c:strRef>
              <c:f>S4b!$A$8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S4b!$B$8:$L$8</c:f>
              <c:numCache>
                <c:formatCode>General</c:formatCode>
                <c:ptCount val="11"/>
                <c:pt idx="0">
                  <c:v>4.4871794871794872E-2</c:v>
                </c:pt>
                <c:pt idx="1">
                  <c:v>4.812834224598931E-2</c:v>
                </c:pt>
                <c:pt idx="2">
                  <c:v>4.6052631578947359E-2</c:v>
                </c:pt>
                <c:pt idx="3">
                  <c:v>2.1531100478468897E-2</c:v>
                </c:pt>
                <c:pt idx="4">
                  <c:v>1.2468827930174564E-2</c:v>
                </c:pt>
                <c:pt idx="5">
                  <c:v>2.7210884353741496E-2</c:v>
                </c:pt>
                <c:pt idx="6">
                  <c:v>2.4844720496894408E-2</c:v>
                </c:pt>
                <c:pt idx="7">
                  <c:v>2.0202020202020204E-2</c:v>
                </c:pt>
                <c:pt idx="8">
                  <c:v>5.3003533568904596E-2</c:v>
                </c:pt>
                <c:pt idx="9">
                  <c:v>3.6496350364963501E-2</c:v>
                </c:pt>
                <c:pt idx="10">
                  <c:v>4.3269230769230768E-2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96-4F6F-ABC8-AD99BF77AA4B}"/>
            </c:ext>
          </c:extLst>
        </c:ser>
        <c:ser>
          <c:idx val="4"/>
          <c:order val="4"/>
          <c:tx>
            <c:strRef>
              <c:f>S4b!$A$9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S4b!$B$9:$L$9</c:f>
              <c:numCache>
                <c:formatCode>General</c:formatCode>
                <c:ptCount val="11"/>
                <c:pt idx="0">
                  <c:v>9.6153846153846145E-2</c:v>
                </c:pt>
                <c:pt idx="1">
                  <c:v>6.4171122994652399E-2</c:v>
                </c:pt>
                <c:pt idx="2">
                  <c:v>5.5921052631578941E-2</c:v>
                </c:pt>
                <c:pt idx="3">
                  <c:v>0.14354066985645933</c:v>
                </c:pt>
                <c:pt idx="4">
                  <c:v>0.15960099750623441</c:v>
                </c:pt>
                <c:pt idx="5">
                  <c:v>6.1224489795918373E-2</c:v>
                </c:pt>
                <c:pt idx="6">
                  <c:v>8.6956521739130432E-2</c:v>
                </c:pt>
                <c:pt idx="7">
                  <c:v>0.10101010101010101</c:v>
                </c:pt>
                <c:pt idx="8">
                  <c:v>3.180212014134276E-2</c:v>
                </c:pt>
                <c:pt idx="9">
                  <c:v>0.24817518248175185</c:v>
                </c:pt>
                <c:pt idx="10">
                  <c:v>0.25961538461538458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96-4F6F-ABC8-AD99BF77AA4B}"/>
            </c:ext>
          </c:extLst>
        </c:ser>
        <c:ser>
          <c:idx val="5"/>
          <c:order val="5"/>
          <c:tx>
            <c:strRef>
              <c:f>S4b!$A$10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S4b!$B$10:$L$10</c:f>
              <c:numCache>
                <c:formatCode>General</c:formatCode>
                <c:ptCount val="11"/>
                <c:pt idx="0">
                  <c:v>7.0512820512820512E-2</c:v>
                </c:pt>
                <c:pt idx="1">
                  <c:v>7.4866310160427801E-2</c:v>
                </c:pt>
                <c:pt idx="2">
                  <c:v>7.8947368421052613E-2</c:v>
                </c:pt>
                <c:pt idx="3">
                  <c:v>0.11483253588516747</c:v>
                </c:pt>
                <c:pt idx="4">
                  <c:v>0.14463840399002495</c:v>
                </c:pt>
                <c:pt idx="5">
                  <c:v>5.4421768707482991E-2</c:v>
                </c:pt>
                <c:pt idx="6">
                  <c:v>0.25465838509316768</c:v>
                </c:pt>
                <c:pt idx="7">
                  <c:v>0.12121212121212122</c:v>
                </c:pt>
                <c:pt idx="8">
                  <c:v>6.7137809187279143E-2</c:v>
                </c:pt>
                <c:pt idx="9">
                  <c:v>5.1094890510948905E-2</c:v>
                </c:pt>
                <c:pt idx="10">
                  <c:v>0.10096153846153846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796-4F6F-ABC8-AD99BF77A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176608"/>
        <c:axId val="824177088"/>
      </c:barChart>
      <c:catAx>
        <c:axId val="82417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77088"/>
        <c:crosses val="autoZero"/>
        <c:auto val="1"/>
        <c:lblAlgn val="ctr"/>
        <c:lblOffset val="100"/>
        <c:noMultiLvlLbl val="0"/>
      </c:catAx>
      <c:valAx>
        <c:axId val="82417708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Abundance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Hakefjord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S4b!$A$15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S4b!$B$14:$H$14</c:f>
              <c:strCache>
                <c:ptCount val="7"/>
                <c:pt idx="0">
                  <c:v>HH_1_2021</c:v>
                </c:pt>
                <c:pt idx="1">
                  <c:v>HH_2_2021</c:v>
                </c:pt>
                <c:pt idx="2">
                  <c:v>HH_3_2021</c:v>
                </c:pt>
                <c:pt idx="3">
                  <c:v>HH_4_2021</c:v>
                </c:pt>
                <c:pt idx="4">
                  <c:v>HH_5_2021</c:v>
                </c:pt>
                <c:pt idx="5">
                  <c:v>HC_HM_2021</c:v>
                </c:pt>
                <c:pt idx="6">
                  <c:v>HC_HM_2023</c:v>
                </c:pt>
              </c:strCache>
            </c:strRef>
          </c:cat>
          <c:val>
            <c:numRef>
              <c:f>S4b!$B$15:$H$15</c:f>
              <c:numCache>
                <c:formatCode>General</c:formatCode>
                <c:ptCount val="7"/>
                <c:pt idx="0">
                  <c:v>1.2953367875647669E-2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2.34192037470726E-3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C-47AA-A516-705B664C2F8A}"/>
            </c:ext>
          </c:extLst>
        </c:ser>
        <c:ser>
          <c:idx val="1"/>
          <c:order val="1"/>
          <c:tx>
            <c:strRef>
              <c:f>S4b!$A$16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S4b!$B$16:$H$16</c:f>
              <c:numCache>
                <c:formatCode>General</c:formatCode>
                <c:ptCount val="7"/>
                <c:pt idx="0">
                  <c:v>0.64248704663212453</c:v>
                </c:pt>
                <c:pt idx="1">
                  <c:v>0.62022900763358757</c:v>
                </c:pt>
                <c:pt idx="2">
                  <c:v>0.4216589861751151</c:v>
                </c:pt>
                <c:pt idx="3">
                  <c:v>0.70703125</c:v>
                </c:pt>
                <c:pt idx="4">
                  <c:v>0.70559610705596087</c:v>
                </c:pt>
                <c:pt idx="5">
                  <c:v>0.52023121387283255</c:v>
                </c:pt>
                <c:pt idx="6">
                  <c:v>0.7704918032786886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3C-47AA-A516-705B664C2F8A}"/>
            </c:ext>
          </c:extLst>
        </c:ser>
        <c:ser>
          <c:idx val="2"/>
          <c:order val="2"/>
          <c:tx>
            <c:strRef>
              <c:f>S4b!$A$17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S4b!$B$17:$H$17</c:f>
              <c:numCache>
                <c:formatCode>General</c:formatCode>
                <c:ptCount val="7"/>
                <c:pt idx="0">
                  <c:v>0.26683937823834203</c:v>
                </c:pt>
                <c:pt idx="1">
                  <c:v>0.28244274809160302</c:v>
                </c:pt>
                <c:pt idx="2">
                  <c:v>0.43778801843317966</c:v>
                </c:pt>
                <c:pt idx="3">
                  <c:v>0.142578125</c:v>
                </c:pt>
                <c:pt idx="4">
                  <c:v>0.13625304136253041</c:v>
                </c:pt>
                <c:pt idx="5">
                  <c:v>0.4373795761078999</c:v>
                </c:pt>
                <c:pt idx="6">
                  <c:v>0.15925058548009369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3C-47AA-A516-705B664C2F8A}"/>
            </c:ext>
          </c:extLst>
        </c:ser>
        <c:ser>
          <c:idx val="3"/>
          <c:order val="3"/>
          <c:tx>
            <c:strRef>
              <c:f>S4b!$A$18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S4b!$B$18:$H$18</c:f>
              <c:numCache>
                <c:formatCode>General</c:formatCode>
                <c:ptCount val="7"/>
                <c:pt idx="0">
                  <c:v>7.7720207253886009E-3</c:v>
                </c:pt>
                <c:pt idx="1">
                  <c:v>1.9083969465648854E-3</c:v>
                </c:pt>
                <c:pt idx="2">
                  <c:v>1.6129032258064516E-2</c:v>
                </c:pt>
                <c:pt idx="3">
                  <c:v>2.734375E-2</c:v>
                </c:pt>
                <c:pt idx="4">
                  <c:v>1.9464720194647202E-2</c:v>
                </c:pt>
                <c:pt idx="5">
                  <c:v>1.1560693641618497E-2</c:v>
                </c:pt>
                <c:pt idx="6">
                  <c:v>7.0257611241217799E-3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3C-47AA-A516-705B664C2F8A}"/>
            </c:ext>
          </c:extLst>
        </c:ser>
        <c:ser>
          <c:idx val="4"/>
          <c:order val="4"/>
          <c:tx>
            <c:strRef>
              <c:f>S4b!$A$19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S4b!$B$19:$H$19</c:f>
              <c:numCache>
                <c:formatCode>General</c:formatCode>
                <c:ptCount val="7"/>
                <c:pt idx="0">
                  <c:v>3.10880829015544E-2</c:v>
                </c:pt>
                <c:pt idx="1">
                  <c:v>7.6335877862595422E-2</c:v>
                </c:pt>
                <c:pt idx="2">
                  <c:v>0.11751152073732718</c:v>
                </c:pt>
                <c:pt idx="3">
                  <c:v>0.10546875</c:v>
                </c:pt>
                <c:pt idx="4">
                  <c:v>0.1143552311435523</c:v>
                </c:pt>
                <c:pt idx="5">
                  <c:v>2.119460500963391E-2</c:v>
                </c:pt>
                <c:pt idx="6">
                  <c:v>3.9812646370023415E-2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3C-47AA-A516-705B664C2F8A}"/>
            </c:ext>
          </c:extLst>
        </c:ser>
        <c:ser>
          <c:idx val="5"/>
          <c:order val="5"/>
          <c:tx>
            <c:strRef>
              <c:f>S4b!$A$20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S4b!$B$20:$H$20</c:f>
              <c:numCache>
                <c:formatCode>General</c:formatCode>
                <c:ptCount val="7"/>
                <c:pt idx="0">
                  <c:v>3.8860103626943004E-2</c:v>
                </c:pt>
                <c:pt idx="1">
                  <c:v>1.9083969465648856E-2</c:v>
                </c:pt>
                <c:pt idx="2">
                  <c:v>6.9124423963133645E-3</c:v>
                </c:pt>
                <c:pt idx="3">
                  <c:v>1.7578125E-2</c:v>
                </c:pt>
                <c:pt idx="4">
                  <c:v>2.4330900243309004E-2</c:v>
                </c:pt>
                <c:pt idx="5">
                  <c:v>9.6339113680154135E-3</c:v>
                </c:pt>
                <c:pt idx="6">
                  <c:v>2.1077283372365342E-2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3C-47AA-A516-705B664C2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879072"/>
        <c:axId val="1179878112"/>
      </c:barChart>
      <c:catAx>
        <c:axId val="11798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8112"/>
        <c:crosses val="autoZero"/>
        <c:auto val="1"/>
        <c:lblAlgn val="ctr"/>
        <c:lblOffset val="100"/>
        <c:noMultiLvlLbl val="0"/>
      </c:catAx>
      <c:valAx>
        <c:axId val="11798781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Abundance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Byfjord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S4b!$A$26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S4b!$B$25:$C$25</c:f>
              <c:strCache>
                <c:ptCount val="2"/>
                <c:pt idx="0">
                  <c:v>BH_1_2023</c:v>
                </c:pt>
                <c:pt idx="1">
                  <c:v>BH_2_2021</c:v>
                </c:pt>
              </c:strCache>
            </c:strRef>
          </c:cat>
          <c:val>
            <c:numRef>
              <c:f>S4b!$B$26:$C$26</c:f>
              <c:numCache>
                <c:formatCode>General</c:formatCode>
                <c:ptCount val="2"/>
                <c:pt idx="0">
                  <c:v>0</c:v>
                </c:pt>
                <c:pt idx="1">
                  <c:v>8.0321285140562242E-3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3-432F-98CA-7F183E4C555C}"/>
            </c:ext>
          </c:extLst>
        </c:ser>
        <c:ser>
          <c:idx val="1"/>
          <c:order val="1"/>
          <c:tx>
            <c:strRef>
              <c:f>S4b!$A$27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S4b!$B$27:$C$27</c:f>
              <c:numCache>
                <c:formatCode>General</c:formatCode>
                <c:ptCount val="2"/>
                <c:pt idx="0">
                  <c:v>0.54022988505747127</c:v>
                </c:pt>
                <c:pt idx="1">
                  <c:v>0.26907630522088349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A3-432F-98CA-7F183E4C555C}"/>
            </c:ext>
          </c:extLst>
        </c:ser>
        <c:ser>
          <c:idx val="2"/>
          <c:order val="2"/>
          <c:tx>
            <c:strRef>
              <c:f>S4b!$A$28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val>
            <c:numRef>
              <c:f>S4b!$B$28:$C$28</c:f>
              <c:numCache>
                <c:formatCode>General</c:formatCode>
                <c:ptCount val="2"/>
                <c:pt idx="0">
                  <c:v>0.32183908045977005</c:v>
                </c:pt>
                <c:pt idx="1">
                  <c:v>0.65863453815261042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A3-432F-98CA-7F183E4C555C}"/>
            </c:ext>
          </c:extLst>
        </c:ser>
        <c:ser>
          <c:idx val="3"/>
          <c:order val="3"/>
          <c:tx>
            <c:strRef>
              <c:f>S4b!$A$29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S4b!$B$29:$C$29</c:f>
              <c:numCache>
                <c:formatCode>General</c:formatCode>
                <c:ptCount val="2"/>
                <c:pt idx="0">
                  <c:v>3.4482758620689655E-2</c:v>
                </c:pt>
                <c:pt idx="1">
                  <c:v>4.0160642570281121E-3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A3-432F-98CA-7F183E4C555C}"/>
            </c:ext>
          </c:extLst>
        </c:ser>
        <c:ser>
          <c:idx val="4"/>
          <c:order val="4"/>
          <c:tx>
            <c:strRef>
              <c:f>S4b!$A$30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S4b!$B$30:$C$30</c:f>
              <c:numCache>
                <c:formatCode>General</c:formatCode>
                <c:ptCount val="2"/>
                <c:pt idx="0">
                  <c:v>4.5977011494252873E-2</c:v>
                </c:pt>
                <c:pt idx="1">
                  <c:v>5.2208835341365466E-2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A3-432F-98CA-7F183E4C555C}"/>
            </c:ext>
          </c:extLst>
        </c:ser>
        <c:ser>
          <c:idx val="5"/>
          <c:order val="5"/>
          <c:tx>
            <c:strRef>
              <c:f>S4b!$A$31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S4b!$B$31:$C$31</c:f>
              <c:numCache>
                <c:formatCode>General</c:formatCode>
                <c:ptCount val="2"/>
                <c:pt idx="0">
                  <c:v>5.7471264367816091E-2</c:v>
                </c:pt>
                <c:pt idx="1">
                  <c:v>8.0321285140562242E-3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A3-432F-98CA-7F183E4C5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879072"/>
        <c:axId val="1179878112"/>
      </c:barChart>
      <c:catAx>
        <c:axId val="11798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8112"/>
        <c:crosses val="autoZero"/>
        <c:auto val="1"/>
        <c:lblAlgn val="ctr"/>
        <c:lblOffset val="100"/>
        <c:noMultiLvlLbl val="0"/>
      </c:catAx>
      <c:valAx>
        <c:axId val="11798781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Abundance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S4b!$A$15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(S4b!$M$4:$O$4,S4b!$I$14:$K$14,S4b!$D$25)</c:f>
              <c:strCache>
                <c:ptCount val="7"/>
                <c:pt idx="0">
                  <c:v>GH</c:v>
                </c:pt>
                <c:pt idx="1">
                  <c:v>GC</c:v>
                </c:pt>
                <c:pt idx="2">
                  <c:v>GM</c:v>
                </c:pt>
                <c:pt idx="3">
                  <c:v>HH</c:v>
                </c:pt>
                <c:pt idx="4">
                  <c:v>HC</c:v>
                </c:pt>
                <c:pt idx="5">
                  <c:v>HM</c:v>
                </c:pt>
                <c:pt idx="6">
                  <c:v>BH</c:v>
                </c:pt>
              </c:strCache>
            </c:strRef>
          </c:cat>
          <c:val>
            <c:numRef>
              <c:f>(S4b!$M$5:$O$5,S4b!$I$15:$K$15,S4b!$D$26)</c:f>
              <c:numCache>
                <c:formatCode>General</c:formatCode>
                <c:ptCount val="7"/>
                <c:pt idx="0">
                  <c:v>6.41025641025641E-3</c:v>
                </c:pt>
                <c:pt idx="1">
                  <c:v>0</c:v>
                </c:pt>
                <c:pt idx="2">
                  <c:v>5.8419410127484661E-3</c:v>
                </c:pt>
                <c:pt idx="3">
                  <c:v>2.5906735751295338E-3</c:v>
                </c:pt>
                <c:pt idx="4">
                  <c:v>1.17096018735363E-3</c:v>
                </c:pt>
                <c:pt idx="5">
                  <c:v>1.17096018735363E-3</c:v>
                </c:pt>
                <c:pt idx="6">
                  <c:v>4.0160642570281121E-3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3-4BCB-B17B-6C6F655B6A21}"/>
            </c:ext>
          </c:extLst>
        </c:ser>
        <c:ser>
          <c:idx val="1"/>
          <c:order val="1"/>
          <c:tx>
            <c:strRef>
              <c:f>S4b!$A$16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(S4b!$M$4:$O$4,S4b!$I$14:$K$14,S4b!$D$25)</c:f>
              <c:strCache>
                <c:ptCount val="7"/>
                <c:pt idx="0">
                  <c:v>GH</c:v>
                </c:pt>
                <c:pt idx="1">
                  <c:v>GC</c:v>
                </c:pt>
                <c:pt idx="2">
                  <c:v>GM</c:v>
                </c:pt>
                <c:pt idx="3">
                  <c:v>HH</c:v>
                </c:pt>
                <c:pt idx="4">
                  <c:v>HC</c:v>
                </c:pt>
                <c:pt idx="5">
                  <c:v>HM</c:v>
                </c:pt>
                <c:pt idx="6">
                  <c:v>BH</c:v>
                </c:pt>
              </c:strCache>
            </c:strRef>
          </c:cat>
          <c:val>
            <c:numRef>
              <c:f>(S4b!$M$6:$O$6,S4b!$I$16:$K$16,S4b!$D$27)</c:f>
              <c:numCache>
                <c:formatCode>General</c:formatCode>
                <c:ptCount val="7"/>
                <c:pt idx="0">
                  <c:v>0.19827231591937472</c:v>
                </c:pt>
                <c:pt idx="1">
                  <c:v>0.31827578183727284</c:v>
                </c:pt>
                <c:pt idx="2">
                  <c:v>0.38657788227923512</c:v>
                </c:pt>
                <c:pt idx="3">
                  <c:v>0.61940047949935761</c:v>
                </c:pt>
                <c:pt idx="4">
                  <c:v>0.64536150857576058</c:v>
                </c:pt>
                <c:pt idx="5">
                  <c:v>0.64536150857576058</c:v>
                </c:pt>
                <c:pt idx="6">
                  <c:v>0.40465309513917735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3-4BCB-B17B-6C6F655B6A21}"/>
            </c:ext>
          </c:extLst>
        </c:ser>
        <c:ser>
          <c:idx val="2"/>
          <c:order val="2"/>
          <c:tx>
            <c:strRef>
              <c:f>S4b!$A$17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strRef>
              <c:f>(S4b!$M$4:$O$4,S4b!$I$14:$K$14,S4b!$D$25)</c:f>
              <c:strCache>
                <c:ptCount val="7"/>
                <c:pt idx="0">
                  <c:v>GH</c:v>
                </c:pt>
                <c:pt idx="1">
                  <c:v>GC</c:v>
                </c:pt>
                <c:pt idx="2">
                  <c:v>GM</c:v>
                </c:pt>
                <c:pt idx="3">
                  <c:v>HH</c:v>
                </c:pt>
                <c:pt idx="4">
                  <c:v>HC</c:v>
                </c:pt>
                <c:pt idx="5">
                  <c:v>HM</c:v>
                </c:pt>
                <c:pt idx="6">
                  <c:v>BH</c:v>
                </c:pt>
              </c:strCache>
            </c:strRef>
          </c:cat>
          <c:val>
            <c:numRef>
              <c:f>(S4b!$M$7:$O$7,S4b!$I$17:$K$17,S4b!$D$28)</c:f>
              <c:numCache>
                <c:formatCode>General</c:formatCode>
                <c:ptCount val="7"/>
                <c:pt idx="0">
                  <c:v>0.59596530920060331</c:v>
                </c:pt>
                <c:pt idx="1">
                  <c:v>0.42254635540335767</c:v>
                </c:pt>
                <c:pt idx="2">
                  <c:v>0.33369733458936279</c:v>
                </c:pt>
                <c:pt idx="3">
                  <c:v>0.25318026222513101</c:v>
                </c:pt>
                <c:pt idx="4">
                  <c:v>0.29831508079399682</c:v>
                </c:pt>
                <c:pt idx="5">
                  <c:v>0.29831508079399682</c:v>
                </c:pt>
                <c:pt idx="6">
                  <c:v>0.49023680930619024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3-4BCB-B17B-6C6F655B6A21}"/>
            </c:ext>
          </c:extLst>
        </c:ser>
        <c:ser>
          <c:idx val="3"/>
          <c:order val="3"/>
          <c:tx>
            <c:strRef>
              <c:f>S4b!$A$18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(S4b!$M$4:$O$4,S4b!$I$14:$K$14,S4b!$D$25)</c:f>
              <c:strCache>
                <c:ptCount val="7"/>
                <c:pt idx="0">
                  <c:v>GH</c:v>
                </c:pt>
                <c:pt idx="1">
                  <c:v>GC</c:v>
                </c:pt>
                <c:pt idx="2">
                  <c:v>GM</c:v>
                </c:pt>
                <c:pt idx="3">
                  <c:v>HH</c:v>
                </c:pt>
                <c:pt idx="4">
                  <c:v>HC</c:v>
                </c:pt>
                <c:pt idx="5">
                  <c:v>HM</c:v>
                </c:pt>
                <c:pt idx="6">
                  <c:v>BH</c:v>
                </c:pt>
              </c:strCache>
            </c:strRef>
          </c:cat>
          <c:val>
            <c:numRef>
              <c:f>(S4b!$M$8:$O$8,S4b!$I$18:$K$18,S4b!$D$29)</c:f>
              <c:numCache>
                <c:formatCode>General</c:formatCode>
                <c:ptCount val="7"/>
                <c:pt idx="0">
                  <c:v>4.6500068558892091E-2</c:v>
                </c:pt>
                <c:pt idx="1">
                  <c:v>2.6684186662530276E-2</c:v>
                </c:pt>
                <c:pt idx="2">
                  <c:v>3.4171123292625831E-2</c:v>
                </c:pt>
                <c:pt idx="3">
                  <c:v>1.4523584024933043E-2</c:v>
                </c:pt>
                <c:pt idx="4">
                  <c:v>9.2932273828701378E-3</c:v>
                </c:pt>
                <c:pt idx="5">
                  <c:v>9.2932273828701378E-3</c:v>
                </c:pt>
                <c:pt idx="6">
                  <c:v>1.9249411438858884E-2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3-4BCB-B17B-6C6F655B6A21}"/>
            </c:ext>
          </c:extLst>
        </c:ser>
        <c:ser>
          <c:idx val="4"/>
          <c:order val="4"/>
          <c:tx>
            <c:strRef>
              <c:f>S4b!$A$19</c:f>
              <c:strCache>
                <c:ptCount val="1"/>
                <c:pt idx="0">
                  <c:v>DC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(S4b!$M$4:$O$4,S4b!$I$14:$K$14,S4b!$D$25)</c:f>
              <c:strCache>
                <c:ptCount val="7"/>
                <c:pt idx="0">
                  <c:v>GH</c:v>
                </c:pt>
                <c:pt idx="1">
                  <c:v>GC</c:v>
                </c:pt>
                <c:pt idx="2">
                  <c:v>GM</c:v>
                </c:pt>
                <c:pt idx="3">
                  <c:v>HH</c:v>
                </c:pt>
                <c:pt idx="4">
                  <c:v>HC</c:v>
                </c:pt>
                <c:pt idx="5">
                  <c:v>HM</c:v>
                </c:pt>
                <c:pt idx="6">
                  <c:v>BH</c:v>
                </c:pt>
              </c:strCache>
            </c:strRef>
          </c:cat>
          <c:val>
            <c:numRef>
              <c:f>(S4b!$M$9:$O$9,S4b!$I$19:$K$19,S4b!$D$30)</c:f>
              <c:numCache>
                <c:formatCode>General</c:formatCode>
                <c:ptCount val="7"/>
                <c:pt idx="0">
                  <c:v>8.0162484574249265E-2</c:v>
                </c:pt>
                <c:pt idx="1">
                  <c:v>0.11968757333142423</c:v>
                </c:pt>
                <c:pt idx="2">
                  <c:v>0.13146396663060483</c:v>
                </c:pt>
                <c:pt idx="3">
                  <c:v>8.8951892529005858E-2</c:v>
                </c:pt>
                <c:pt idx="4">
                  <c:v>3.0503625689828662E-2</c:v>
                </c:pt>
                <c:pt idx="5">
                  <c:v>3.0503625689828662E-2</c:v>
                </c:pt>
                <c:pt idx="6">
                  <c:v>4.9092923417809173E-2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53-4BCB-B17B-6C6F655B6A21}"/>
            </c:ext>
          </c:extLst>
        </c:ser>
        <c:ser>
          <c:idx val="5"/>
          <c:order val="5"/>
          <c:tx>
            <c:strRef>
              <c:f>S4b!$A$20</c:f>
              <c:strCache>
                <c:ptCount val="1"/>
                <c:pt idx="0">
                  <c:v>UC/DC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(S4b!$M$4:$O$4,S4b!$I$14:$K$14,S4b!$D$25)</c:f>
              <c:strCache>
                <c:ptCount val="7"/>
                <c:pt idx="0">
                  <c:v>GH</c:v>
                </c:pt>
                <c:pt idx="1">
                  <c:v>GC</c:v>
                </c:pt>
                <c:pt idx="2">
                  <c:v>GM</c:v>
                </c:pt>
                <c:pt idx="3">
                  <c:v>HH</c:v>
                </c:pt>
                <c:pt idx="4">
                  <c:v>HC</c:v>
                </c:pt>
                <c:pt idx="5">
                  <c:v>HM</c:v>
                </c:pt>
                <c:pt idx="6">
                  <c:v>BH</c:v>
                </c:pt>
              </c:strCache>
            </c:strRef>
          </c:cat>
          <c:val>
            <c:numRef>
              <c:f>(S4b!$M$10:$O$10,S4b!$I$20:$K$20,S4b!$D$31)</c:f>
              <c:numCache>
                <c:formatCode>General</c:formatCode>
                <c:ptCount val="7"/>
                <c:pt idx="0">
                  <c:v>7.2689565336624157E-2</c:v>
                </c:pt>
                <c:pt idx="1">
                  <c:v>0.11280610276541501</c:v>
                </c:pt>
                <c:pt idx="2">
                  <c:v>0.10824775219542306</c:v>
                </c:pt>
                <c:pt idx="3">
                  <c:v>2.1353108146442847E-2</c:v>
                </c:pt>
                <c:pt idx="4">
                  <c:v>1.5355597370190377E-2</c:v>
                </c:pt>
                <c:pt idx="5">
                  <c:v>1.5355597370190377E-2</c:v>
                </c:pt>
                <c:pt idx="6">
                  <c:v>3.2751696440936159E-2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53-4BCB-B17B-6C6F655B6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879072"/>
        <c:axId val="1179878112"/>
      </c:barChart>
      <c:catAx>
        <c:axId val="117987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8112"/>
        <c:crosses val="autoZero"/>
        <c:auto val="1"/>
        <c:lblAlgn val="ctr"/>
        <c:lblOffset val="100"/>
        <c:noMultiLvlLbl val="0"/>
      </c:catAx>
      <c:valAx>
        <c:axId val="11798781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Relative</a:t>
                </a:r>
                <a:r>
                  <a:rPr lang="en-GB" baseline="0"/>
                  <a:t> Abundance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363519</xdr:colOff>
      <xdr:row>0</xdr:row>
      <xdr:rowOff>95922</xdr:rowOff>
    </xdr:from>
    <xdr:to>
      <xdr:col>30</xdr:col>
      <xdr:colOff>58718</xdr:colOff>
      <xdr:row>21</xdr:row>
      <xdr:rowOff>107896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EECC6-C0C8-4918-B071-EBCFC78BF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376518</xdr:colOff>
      <xdr:row>22</xdr:row>
      <xdr:rowOff>0</xdr:rowOff>
    </xdr:from>
    <xdr:to>
      <xdr:col>26</xdr:col>
      <xdr:colOff>320185</xdr:colOff>
      <xdr:row>43</xdr:row>
      <xdr:rowOff>10837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39D17-E483-4219-B951-9511D6AEF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37</xdr:col>
      <xdr:colOff>549457</xdr:colOff>
      <xdr:row>43</xdr:row>
      <xdr:rowOff>2673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978714-A543-434B-8FA7-F7A8DB2557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388058</xdr:colOff>
      <xdr:row>43</xdr:row>
      <xdr:rowOff>121918</xdr:rowOff>
    </xdr:from>
    <xdr:to>
      <xdr:col>26</xdr:col>
      <xdr:colOff>340018</xdr:colOff>
      <xdr:row>62</xdr:row>
      <xdr:rowOff>22411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E56AAE-BD1E-44D7-BE24-86BA4BB87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363519</xdr:colOff>
      <xdr:row>0</xdr:row>
      <xdr:rowOff>95922</xdr:rowOff>
    </xdr:from>
    <xdr:to>
      <xdr:col>30</xdr:col>
      <xdr:colOff>58718</xdr:colOff>
      <xdr:row>15</xdr:row>
      <xdr:rowOff>107896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78043-C6BA-464F-8A93-AB1850418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376518</xdr:colOff>
      <xdr:row>16</xdr:row>
      <xdr:rowOff>0</xdr:rowOff>
    </xdr:from>
    <xdr:to>
      <xdr:col>26</xdr:col>
      <xdr:colOff>320185</xdr:colOff>
      <xdr:row>32</xdr:row>
      <xdr:rowOff>10837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711B9-ACDA-401F-8B78-1BB2D3394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0</xdr:colOff>
      <xdr:row>16</xdr:row>
      <xdr:rowOff>0</xdr:rowOff>
    </xdr:from>
    <xdr:to>
      <xdr:col>37</xdr:col>
      <xdr:colOff>549457</xdr:colOff>
      <xdr:row>32</xdr:row>
      <xdr:rowOff>2673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939EEA-BDC5-4B9F-AE71-B7A13FC50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367552</xdr:colOff>
      <xdr:row>32</xdr:row>
      <xdr:rowOff>71718</xdr:rowOff>
    </xdr:from>
    <xdr:to>
      <xdr:col>26</xdr:col>
      <xdr:colOff>311219</xdr:colOff>
      <xdr:row>48</xdr:row>
      <xdr:rowOff>82555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62CCD6-AE6D-405D-A312-7E967E499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19D6-B25C-483D-B5A6-73CF7B230ADC}">
  <dimension ref="A1:AM643"/>
  <sheetViews>
    <sheetView topLeftCell="J1" zoomScale="70" zoomScaleNormal="70" workbookViewId="0">
      <pane ySplit="1" topLeftCell="A368" activePane="bottomLeft" state="frozen"/>
      <selection activeCell="C1" sqref="C1"/>
      <selection pane="bottomLeft" activeCell="AJ644" sqref="AJ644"/>
    </sheetView>
  </sheetViews>
  <sheetFormatPr defaultRowHeight="14.4" x14ac:dyDescent="0.3"/>
  <cols>
    <col min="22" max="24" width="18.109375" customWidth="1"/>
  </cols>
  <sheetData>
    <row r="1" spans="1:39" s="6" customFormat="1" ht="15.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541</v>
      </c>
      <c r="P1" s="6" t="s">
        <v>14</v>
      </c>
      <c r="Q1" s="6" t="s">
        <v>519</v>
      </c>
      <c r="R1" s="6" t="s">
        <v>568</v>
      </c>
      <c r="S1" s="6" t="s">
        <v>517</v>
      </c>
      <c r="T1" s="6" t="s">
        <v>520</v>
      </c>
      <c r="U1" s="6" t="s">
        <v>543</v>
      </c>
      <c r="V1" s="6" t="s">
        <v>514</v>
      </c>
      <c r="W1" s="6" t="s">
        <v>515</v>
      </c>
      <c r="X1" s="6" t="s">
        <v>516</v>
      </c>
      <c r="Y1" s="6" t="s">
        <v>15</v>
      </c>
      <c r="Z1" s="6" t="s">
        <v>16</v>
      </c>
      <c r="AA1" s="6" t="s">
        <v>17</v>
      </c>
      <c r="AB1" s="6" t="s">
        <v>560</v>
      </c>
      <c r="AC1" s="6" t="s">
        <v>587</v>
      </c>
      <c r="AD1" s="6" t="s">
        <v>565</v>
      </c>
      <c r="AE1" s="6" t="s">
        <v>489</v>
      </c>
      <c r="AF1" s="6" t="s">
        <v>490</v>
      </c>
      <c r="AG1" s="6" t="s">
        <v>513</v>
      </c>
      <c r="AH1" s="6" t="s">
        <v>561</v>
      </c>
      <c r="AI1" s="6" t="s">
        <v>588</v>
      </c>
      <c r="AJ1" s="6" t="s">
        <v>566</v>
      </c>
      <c r="AM1" s="6" t="s">
        <v>496</v>
      </c>
    </row>
    <row r="2" spans="1:39" x14ac:dyDescent="0.3">
      <c r="A2">
        <v>2020</v>
      </c>
      <c r="B2" t="s">
        <v>18</v>
      </c>
      <c r="C2" t="s">
        <v>19</v>
      </c>
      <c r="D2" t="s">
        <v>20</v>
      </c>
      <c r="E2" t="s">
        <v>21</v>
      </c>
      <c r="F2">
        <v>44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1004764</v>
      </c>
      <c r="M2">
        <v>123613</v>
      </c>
      <c r="N2">
        <v>15</v>
      </c>
      <c r="O2">
        <f>N2/$N$29</f>
        <v>9.6153846153846159E-2</v>
      </c>
      <c r="P2">
        <v>150</v>
      </c>
      <c r="Q2">
        <f t="shared" ref="Q2:Q28" si="0">P2/$P$29</f>
        <v>9.6153846153846159E-2</v>
      </c>
      <c r="R2">
        <v>6.92</v>
      </c>
      <c r="S2">
        <f>R2*10</f>
        <v>69.2</v>
      </c>
      <c r="T2">
        <f t="shared" ref="T2:T28" si="1">S2/$S$29</f>
        <v>0.31627056672760512</v>
      </c>
      <c r="U2">
        <f t="shared" ref="U2:U28" si="2">O2*LN(O2)</f>
        <v>-0.22517363520647377</v>
      </c>
      <c r="V2">
        <f t="shared" ref="V2:V28" si="3">16.3/1000</f>
        <v>1.6300000000000002E-2</v>
      </c>
      <c r="W2">
        <v>0.1</v>
      </c>
      <c r="X2">
        <f t="shared" ref="X2:X28" si="4">V2/W2</f>
        <v>0.16300000000000001</v>
      </c>
      <c r="Y2">
        <v>4</v>
      </c>
      <c r="Z2">
        <v>3</v>
      </c>
      <c r="AA2" t="s">
        <v>27</v>
      </c>
      <c r="AB2">
        <f>(SQRT(S2/P2))*P2*Z2*Y2</f>
        <v>1222.5874201872027</v>
      </c>
      <c r="AC2">
        <f>(SQRT(S2/P2))*P2*4*4</f>
        <v>1630.1165602496037</v>
      </c>
      <c r="AE2">
        <v>2</v>
      </c>
      <c r="AF2">
        <v>4</v>
      </c>
      <c r="AG2">
        <v>3</v>
      </c>
      <c r="AH2">
        <f>((S2/P2)^0.75)*P2*AE2*AF2*AG2</f>
        <v>2015.1789932643235</v>
      </c>
      <c r="AI2">
        <f>((S2/P2)^0.75)*P2*4*4*4</f>
        <v>5373.8106487048626</v>
      </c>
      <c r="AM2" t="s">
        <v>567</v>
      </c>
    </row>
    <row r="3" spans="1:39" x14ac:dyDescent="0.3">
      <c r="A3">
        <v>2020</v>
      </c>
      <c r="B3" t="s">
        <v>18</v>
      </c>
      <c r="C3" t="s">
        <v>19</v>
      </c>
      <c r="D3" t="s">
        <v>20</v>
      </c>
      <c r="E3" t="s">
        <v>21</v>
      </c>
      <c r="F3">
        <v>44</v>
      </c>
      <c r="G3" t="s">
        <v>28</v>
      </c>
      <c r="H3" t="s">
        <v>29</v>
      </c>
      <c r="I3" t="s">
        <v>30</v>
      </c>
      <c r="J3" t="s">
        <v>31</v>
      </c>
      <c r="K3" t="s">
        <v>33</v>
      </c>
      <c r="L3">
        <v>217698</v>
      </c>
      <c r="M3">
        <v>125073</v>
      </c>
      <c r="N3">
        <v>34</v>
      </c>
      <c r="O3">
        <f t="shared" ref="O3:O28" si="5">N3/$N$29</f>
        <v>0.21794871794871795</v>
      </c>
      <c r="P3">
        <v>340</v>
      </c>
      <c r="Q3">
        <f t="shared" si="0"/>
        <v>0.21794871794871795</v>
      </c>
      <c r="R3">
        <v>2.88</v>
      </c>
      <c r="S3">
        <f t="shared" ref="S3:S28" si="6">R3*10</f>
        <v>28.799999999999997</v>
      </c>
      <c r="T3">
        <f t="shared" si="1"/>
        <v>0.13162705667276048</v>
      </c>
      <c r="U3">
        <f t="shared" si="2"/>
        <v>-0.33204388724060752</v>
      </c>
      <c r="V3">
        <f t="shared" si="3"/>
        <v>1.6300000000000002E-2</v>
      </c>
      <c r="W3">
        <v>0.1</v>
      </c>
      <c r="X3">
        <f t="shared" si="4"/>
        <v>0.16300000000000001</v>
      </c>
      <c r="Y3">
        <v>4</v>
      </c>
      <c r="Z3">
        <v>3</v>
      </c>
      <c r="AA3" t="s">
        <v>27</v>
      </c>
      <c r="AB3">
        <f t="shared" ref="AB3:AB28" si="7">(SQRT(S3/P3))*P3*Z3*Y3</f>
        <v>1187.4544201778863</v>
      </c>
      <c r="AC3">
        <f t="shared" ref="AC3:AC66" si="8">(SQRT(S3/P3))*P3*4*4</f>
        <v>1583.2725602371818</v>
      </c>
      <c r="AE3">
        <v>2</v>
      </c>
      <c r="AF3">
        <v>4</v>
      </c>
      <c r="AG3">
        <v>3</v>
      </c>
      <c r="AH3">
        <f>((S3/P3)^0.75)*P3*AE3*AF3*AG3</f>
        <v>1281.2248009049429</v>
      </c>
      <c r="AI3">
        <f t="shared" ref="AI3:AI66" si="9">((S3/P3)^0.75)*P3*4*4*4</f>
        <v>3416.5994690798475</v>
      </c>
    </row>
    <row r="4" spans="1:39" x14ac:dyDescent="0.3">
      <c r="A4">
        <v>2020</v>
      </c>
      <c r="B4" t="s">
        <v>18</v>
      </c>
      <c r="C4" t="s">
        <v>19</v>
      </c>
      <c r="D4" t="s">
        <v>20</v>
      </c>
      <c r="E4" t="s">
        <v>21</v>
      </c>
      <c r="F4">
        <v>44</v>
      </c>
      <c r="G4" t="s">
        <v>28</v>
      </c>
      <c r="H4" t="s">
        <v>29</v>
      </c>
      <c r="I4" t="s">
        <v>30</v>
      </c>
      <c r="J4" t="s">
        <v>31</v>
      </c>
      <c r="K4" t="s">
        <v>34</v>
      </c>
      <c r="L4">
        <v>217699</v>
      </c>
      <c r="M4">
        <v>125080</v>
      </c>
      <c r="N4">
        <v>26</v>
      </c>
      <c r="O4">
        <f t="shared" si="5"/>
        <v>0.16666666666666666</v>
      </c>
      <c r="P4">
        <v>260</v>
      </c>
      <c r="Q4">
        <f t="shared" si="0"/>
        <v>0.16666666666666666</v>
      </c>
      <c r="R4">
        <v>1.43</v>
      </c>
      <c r="S4">
        <f t="shared" si="6"/>
        <v>14.299999999999999</v>
      </c>
      <c r="T4">
        <f t="shared" si="1"/>
        <v>6.5356489945155388E-2</v>
      </c>
      <c r="U4">
        <f t="shared" si="2"/>
        <v>-0.29862657820467581</v>
      </c>
      <c r="V4">
        <f t="shared" si="3"/>
        <v>1.6300000000000002E-2</v>
      </c>
      <c r="W4">
        <v>0.1</v>
      </c>
      <c r="X4">
        <f t="shared" si="4"/>
        <v>0.16300000000000001</v>
      </c>
      <c r="Y4">
        <v>4</v>
      </c>
      <c r="Z4">
        <v>3</v>
      </c>
      <c r="AA4" t="s">
        <v>27</v>
      </c>
      <c r="AB4">
        <f t="shared" si="7"/>
        <v>731.70485853245486</v>
      </c>
      <c r="AC4">
        <f t="shared" si="8"/>
        <v>975.60647804327323</v>
      </c>
      <c r="AE4">
        <v>2</v>
      </c>
      <c r="AF4">
        <v>4</v>
      </c>
      <c r="AG4">
        <v>3</v>
      </c>
      <c r="AH4">
        <f t="shared" ref="AH4:AH28" si="10">((S4/P4)^0.75)*P4*AE4*AF4*AG4</f>
        <v>708.69049301982125</v>
      </c>
      <c r="AI4">
        <f t="shared" si="9"/>
        <v>1889.8413147195233</v>
      </c>
    </row>
    <row r="5" spans="1:39" x14ac:dyDescent="0.3">
      <c r="A5">
        <v>2020</v>
      </c>
      <c r="B5" t="s">
        <v>18</v>
      </c>
      <c r="C5" t="s">
        <v>19</v>
      </c>
      <c r="D5" t="s">
        <v>20</v>
      </c>
      <c r="E5" t="s">
        <v>21</v>
      </c>
      <c r="F5">
        <v>44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217719</v>
      </c>
      <c r="M5">
        <v>124373</v>
      </c>
      <c r="N5">
        <v>1</v>
      </c>
      <c r="O5">
        <f t="shared" si="5"/>
        <v>6.41025641025641E-3</v>
      </c>
      <c r="P5">
        <v>10</v>
      </c>
      <c r="Q5">
        <f t="shared" si="0"/>
        <v>6.41025641025641E-3</v>
      </c>
      <c r="R5">
        <v>9.31</v>
      </c>
      <c r="S5">
        <f t="shared" si="6"/>
        <v>93.100000000000009</v>
      </c>
      <c r="T5">
        <f t="shared" si="1"/>
        <v>0.42550274223034734</v>
      </c>
      <c r="U5">
        <f t="shared" si="2"/>
        <v>-3.2370871841343185E-2</v>
      </c>
      <c r="V5">
        <f t="shared" si="3"/>
        <v>1.6300000000000002E-2</v>
      </c>
      <c r="W5">
        <v>0.1</v>
      </c>
      <c r="X5">
        <f t="shared" si="4"/>
        <v>0.16300000000000001</v>
      </c>
      <c r="Y5">
        <v>4</v>
      </c>
      <c r="Z5">
        <v>3</v>
      </c>
      <c r="AA5" t="s">
        <v>27</v>
      </c>
      <c r="AB5">
        <f t="shared" si="7"/>
        <v>366.14751125741657</v>
      </c>
      <c r="AC5">
        <f t="shared" si="8"/>
        <v>488.19668167655544</v>
      </c>
      <c r="AE5">
        <v>1.38</v>
      </c>
      <c r="AF5">
        <v>3.5</v>
      </c>
      <c r="AG5">
        <v>2.5</v>
      </c>
      <c r="AH5">
        <f t="shared" si="10"/>
        <v>643.57534794127196</v>
      </c>
      <c r="AI5">
        <f t="shared" si="9"/>
        <v>3411.0825895023936</v>
      </c>
    </row>
    <row r="6" spans="1:39" x14ac:dyDescent="0.3">
      <c r="A6">
        <v>2020</v>
      </c>
      <c r="B6" t="s">
        <v>18</v>
      </c>
      <c r="C6" t="s">
        <v>19</v>
      </c>
      <c r="D6" t="s">
        <v>20</v>
      </c>
      <c r="E6" t="s">
        <v>21</v>
      </c>
      <c r="F6">
        <v>44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>
        <v>227229</v>
      </c>
      <c r="M6">
        <v>146469</v>
      </c>
      <c r="N6">
        <v>1</v>
      </c>
      <c r="O6">
        <f t="shared" si="5"/>
        <v>6.41025641025641E-3</v>
      </c>
      <c r="P6">
        <v>10</v>
      </c>
      <c r="Q6">
        <f t="shared" si="0"/>
        <v>6.41025641025641E-3</v>
      </c>
      <c r="R6">
        <f>0.03</f>
        <v>0.03</v>
      </c>
      <c r="S6">
        <f t="shared" si="6"/>
        <v>0.3</v>
      </c>
      <c r="T6">
        <f t="shared" si="1"/>
        <v>1.3711151736745886E-3</v>
      </c>
      <c r="U6">
        <f t="shared" si="2"/>
        <v>-3.2370871841343185E-2</v>
      </c>
      <c r="V6">
        <f t="shared" si="3"/>
        <v>1.6300000000000002E-2</v>
      </c>
      <c r="W6">
        <v>0.1</v>
      </c>
      <c r="X6">
        <f t="shared" si="4"/>
        <v>0.16300000000000001</v>
      </c>
      <c r="Y6">
        <v>4</v>
      </c>
      <c r="Z6">
        <v>3</v>
      </c>
      <c r="AA6" t="s">
        <v>27</v>
      </c>
      <c r="AB6">
        <f t="shared" si="7"/>
        <v>20.784609690826528</v>
      </c>
      <c r="AC6">
        <f t="shared" si="8"/>
        <v>27.712812921102035</v>
      </c>
      <c r="AE6">
        <v>1.38</v>
      </c>
      <c r="AF6">
        <v>2</v>
      </c>
      <c r="AG6">
        <v>3.5</v>
      </c>
      <c r="AH6">
        <f t="shared" si="10"/>
        <v>6.9633474781625191</v>
      </c>
      <c r="AI6">
        <f t="shared" si="9"/>
        <v>46.133979151387294</v>
      </c>
    </row>
    <row r="7" spans="1:39" x14ac:dyDescent="0.3">
      <c r="A7">
        <v>2020</v>
      </c>
      <c r="B7" t="s">
        <v>18</v>
      </c>
      <c r="C7" t="s">
        <v>19</v>
      </c>
      <c r="D7" t="s">
        <v>20</v>
      </c>
      <c r="E7" t="s">
        <v>21</v>
      </c>
      <c r="F7">
        <v>44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>
        <v>1011282</v>
      </c>
      <c r="M7">
        <v>122348</v>
      </c>
      <c r="N7">
        <v>1</v>
      </c>
      <c r="O7">
        <f t="shared" si="5"/>
        <v>6.41025641025641E-3</v>
      </c>
      <c r="P7">
        <v>10</v>
      </c>
      <c r="Q7">
        <f t="shared" si="0"/>
        <v>6.41025641025641E-3</v>
      </c>
      <c r="R7">
        <v>0.05</v>
      </c>
      <c r="S7">
        <f t="shared" si="6"/>
        <v>0.5</v>
      </c>
      <c r="T7">
        <f t="shared" si="1"/>
        <v>2.2851919561243145E-3</v>
      </c>
      <c r="U7">
        <f t="shared" si="2"/>
        <v>-3.2370871841343185E-2</v>
      </c>
      <c r="V7">
        <f t="shared" si="3"/>
        <v>1.6300000000000002E-2</v>
      </c>
      <c r="W7">
        <v>0.1</v>
      </c>
      <c r="X7">
        <f t="shared" si="4"/>
        <v>0.16300000000000001</v>
      </c>
      <c r="Y7">
        <v>4</v>
      </c>
      <c r="Z7">
        <v>3</v>
      </c>
      <c r="AA7" t="s">
        <v>27</v>
      </c>
      <c r="AB7">
        <f t="shared" si="7"/>
        <v>26.832815729997478</v>
      </c>
      <c r="AC7">
        <f t="shared" si="8"/>
        <v>35.777087639996637</v>
      </c>
      <c r="AE7">
        <v>1</v>
      </c>
      <c r="AF7">
        <v>2</v>
      </c>
      <c r="AG7">
        <v>2</v>
      </c>
      <c r="AH7">
        <f t="shared" si="10"/>
        <v>4.2294850537622564</v>
      </c>
      <c r="AI7">
        <f t="shared" si="9"/>
        <v>67.671760860196102</v>
      </c>
    </row>
    <row r="8" spans="1:39" x14ac:dyDescent="0.3">
      <c r="A8">
        <v>2020</v>
      </c>
      <c r="B8" t="s">
        <v>18</v>
      </c>
      <c r="C8" t="s">
        <v>19</v>
      </c>
      <c r="D8" t="s">
        <v>20</v>
      </c>
      <c r="E8" t="s">
        <v>21</v>
      </c>
      <c r="F8">
        <v>44</v>
      </c>
      <c r="G8" t="s">
        <v>22</v>
      </c>
      <c r="I8" t="s">
        <v>105</v>
      </c>
      <c r="J8" t="s">
        <v>106</v>
      </c>
      <c r="K8" t="s">
        <v>107</v>
      </c>
      <c r="L8">
        <v>227839</v>
      </c>
      <c r="M8">
        <v>130980</v>
      </c>
      <c r="N8">
        <v>2</v>
      </c>
      <c r="O8">
        <f t="shared" si="5"/>
        <v>1.282051282051282E-2</v>
      </c>
      <c r="P8">
        <v>20</v>
      </c>
      <c r="Q8">
        <f t="shared" si="0"/>
        <v>1.282051282051282E-2</v>
      </c>
      <c r="R8">
        <v>5.0000000000000001E-3</v>
      </c>
      <c r="S8">
        <f t="shared" si="6"/>
        <v>0.05</v>
      </c>
      <c r="T8">
        <f t="shared" si="1"/>
        <v>2.2851919561243144E-4</v>
      </c>
      <c r="U8">
        <f t="shared" si="2"/>
        <v>-5.5855241367815278E-2</v>
      </c>
      <c r="V8">
        <f t="shared" si="3"/>
        <v>1.6300000000000002E-2</v>
      </c>
      <c r="W8">
        <v>0.1</v>
      </c>
      <c r="X8">
        <f t="shared" si="4"/>
        <v>0.16300000000000001</v>
      </c>
      <c r="Y8">
        <v>4</v>
      </c>
      <c r="Z8">
        <v>4</v>
      </c>
      <c r="AA8" t="s">
        <v>27</v>
      </c>
      <c r="AB8">
        <f t="shared" si="7"/>
        <v>16</v>
      </c>
      <c r="AC8">
        <f t="shared" si="8"/>
        <v>16</v>
      </c>
      <c r="AE8">
        <v>2</v>
      </c>
      <c r="AF8">
        <v>3</v>
      </c>
      <c r="AG8">
        <v>3</v>
      </c>
      <c r="AH8">
        <f t="shared" si="10"/>
        <v>4.0249223594996213</v>
      </c>
      <c r="AI8">
        <f t="shared" si="9"/>
        <v>14.310835055998654</v>
      </c>
    </row>
    <row r="9" spans="1:39" x14ac:dyDescent="0.3">
      <c r="A9">
        <v>2020</v>
      </c>
      <c r="B9" t="s">
        <v>18</v>
      </c>
      <c r="C9" t="s">
        <v>19</v>
      </c>
      <c r="D9" t="s">
        <v>20</v>
      </c>
      <c r="E9" t="s">
        <v>21</v>
      </c>
      <c r="F9">
        <v>44</v>
      </c>
      <c r="G9" t="s">
        <v>22</v>
      </c>
      <c r="H9" t="s">
        <v>67</v>
      </c>
      <c r="I9" t="s">
        <v>68</v>
      </c>
      <c r="J9" t="s">
        <v>69</v>
      </c>
      <c r="K9" t="s">
        <v>70</v>
      </c>
      <c r="L9">
        <v>226809</v>
      </c>
      <c r="M9">
        <v>130131</v>
      </c>
      <c r="N9">
        <v>1</v>
      </c>
      <c r="O9">
        <f t="shared" si="5"/>
        <v>6.41025641025641E-3</v>
      </c>
      <c r="P9">
        <v>10</v>
      </c>
      <c r="Q9">
        <f t="shared" si="0"/>
        <v>6.41025641025641E-3</v>
      </c>
      <c r="R9">
        <v>0.01</v>
      </c>
      <c r="S9">
        <f t="shared" si="6"/>
        <v>0.1</v>
      </c>
      <c r="T9">
        <f t="shared" si="1"/>
        <v>4.5703839122486289E-4</v>
      </c>
      <c r="U9">
        <f t="shared" si="2"/>
        <v>-3.2370871841343185E-2</v>
      </c>
      <c r="V9">
        <f t="shared" si="3"/>
        <v>1.6300000000000002E-2</v>
      </c>
      <c r="W9">
        <v>0.1</v>
      </c>
      <c r="X9">
        <f t="shared" si="4"/>
        <v>0.16300000000000001</v>
      </c>
      <c r="Y9">
        <v>4</v>
      </c>
      <c r="Z9">
        <v>3</v>
      </c>
      <c r="AA9" t="s">
        <v>27</v>
      </c>
      <c r="AB9">
        <f t="shared" si="7"/>
        <v>12</v>
      </c>
      <c r="AC9">
        <f t="shared" si="8"/>
        <v>16</v>
      </c>
      <c r="AE9">
        <v>2</v>
      </c>
      <c r="AF9">
        <v>2</v>
      </c>
      <c r="AG9">
        <v>2</v>
      </c>
      <c r="AH9">
        <f t="shared" si="10"/>
        <v>2.529822128134704</v>
      </c>
      <c r="AI9">
        <f t="shared" si="9"/>
        <v>20.238577025077632</v>
      </c>
    </row>
    <row r="10" spans="1:39" x14ac:dyDescent="0.3">
      <c r="A10">
        <v>2020</v>
      </c>
      <c r="B10" t="s">
        <v>18</v>
      </c>
      <c r="C10" t="s">
        <v>19</v>
      </c>
      <c r="D10" t="s">
        <v>20</v>
      </c>
      <c r="E10" t="s">
        <v>21</v>
      </c>
      <c r="F10">
        <v>44</v>
      </c>
      <c r="K10" t="s">
        <v>75</v>
      </c>
      <c r="L10">
        <v>5000018</v>
      </c>
      <c r="M10">
        <v>152391</v>
      </c>
      <c r="N10">
        <v>1</v>
      </c>
      <c r="O10">
        <f t="shared" si="5"/>
        <v>6.41025641025641E-3</v>
      </c>
      <c r="P10">
        <v>10</v>
      </c>
      <c r="Q10">
        <f t="shared" si="0"/>
        <v>6.41025641025641E-3</v>
      </c>
      <c r="R10">
        <v>5.0000000000000001E-3</v>
      </c>
      <c r="S10">
        <f t="shared" si="6"/>
        <v>0.05</v>
      </c>
      <c r="T10">
        <f t="shared" si="1"/>
        <v>2.2851919561243144E-4</v>
      </c>
      <c r="U10">
        <f t="shared" si="2"/>
        <v>-3.2370871841343185E-2</v>
      </c>
      <c r="V10">
        <f t="shared" si="3"/>
        <v>1.6300000000000002E-2</v>
      </c>
      <c r="W10">
        <v>0.1</v>
      </c>
      <c r="X10">
        <f t="shared" si="4"/>
        <v>0.16300000000000001</v>
      </c>
      <c r="Y10">
        <v>4</v>
      </c>
      <c r="Z10">
        <v>3</v>
      </c>
      <c r="AA10" t="s">
        <v>27</v>
      </c>
      <c r="AB10">
        <f t="shared" si="7"/>
        <v>8.4852813742385695</v>
      </c>
      <c r="AC10">
        <f t="shared" si="8"/>
        <v>11.313708498984759</v>
      </c>
      <c r="AE10">
        <v>2</v>
      </c>
      <c r="AF10">
        <v>2</v>
      </c>
      <c r="AG10">
        <v>2</v>
      </c>
      <c r="AH10">
        <f t="shared" si="10"/>
        <v>1.5042412372345582</v>
      </c>
      <c r="AI10">
        <f t="shared" si="9"/>
        <v>12.033929897876465</v>
      </c>
    </row>
    <row r="11" spans="1:39" x14ac:dyDescent="0.3">
      <c r="A11">
        <v>2020</v>
      </c>
      <c r="B11" t="s">
        <v>18</v>
      </c>
      <c r="C11" t="s">
        <v>19</v>
      </c>
      <c r="D11" t="s">
        <v>20</v>
      </c>
      <c r="E11" t="s">
        <v>21</v>
      </c>
      <c r="F11">
        <v>44</v>
      </c>
      <c r="G11" t="s">
        <v>22</v>
      </c>
      <c r="H11" t="s">
        <v>67</v>
      </c>
      <c r="I11" t="s">
        <v>76</v>
      </c>
      <c r="J11" t="s">
        <v>77</v>
      </c>
      <c r="K11" t="s">
        <v>78</v>
      </c>
      <c r="L11">
        <v>226852</v>
      </c>
      <c r="M11">
        <v>710680</v>
      </c>
      <c r="N11">
        <v>2</v>
      </c>
      <c r="O11">
        <f t="shared" si="5"/>
        <v>1.282051282051282E-2</v>
      </c>
      <c r="P11">
        <v>20</v>
      </c>
      <c r="Q11">
        <f t="shared" si="0"/>
        <v>1.282051282051282E-2</v>
      </c>
      <c r="R11">
        <v>0.02</v>
      </c>
      <c r="S11">
        <f t="shared" si="6"/>
        <v>0.2</v>
      </c>
      <c r="T11">
        <f t="shared" si="1"/>
        <v>9.1407678244972577E-4</v>
      </c>
      <c r="U11">
        <f t="shared" si="2"/>
        <v>-5.5855241367815278E-2</v>
      </c>
      <c r="V11">
        <f t="shared" si="3"/>
        <v>1.6300000000000002E-2</v>
      </c>
      <c r="W11">
        <v>0.1</v>
      </c>
      <c r="X11">
        <f t="shared" si="4"/>
        <v>0.16300000000000001</v>
      </c>
      <c r="Y11">
        <v>4</v>
      </c>
      <c r="Z11">
        <v>3</v>
      </c>
      <c r="AA11" t="s">
        <v>27</v>
      </c>
      <c r="AB11">
        <f t="shared" si="7"/>
        <v>24</v>
      </c>
      <c r="AC11">
        <f t="shared" si="8"/>
        <v>32</v>
      </c>
      <c r="AE11">
        <v>1</v>
      </c>
      <c r="AF11">
        <v>2</v>
      </c>
      <c r="AG11">
        <v>1</v>
      </c>
      <c r="AH11">
        <f t="shared" si="10"/>
        <v>1.264911064067352</v>
      </c>
      <c r="AI11">
        <f t="shared" si="9"/>
        <v>40.477154050155264</v>
      </c>
    </row>
    <row r="12" spans="1:39" x14ac:dyDescent="0.3">
      <c r="A12">
        <v>2020</v>
      </c>
      <c r="B12" t="s">
        <v>18</v>
      </c>
      <c r="C12" t="s">
        <v>19</v>
      </c>
      <c r="D12" t="s">
        <v>20</v>
      </c>
      <c r="E12" t="s">
        <v>21</v>
      </c>
      <c r="F12">
        <v>44</v>
      </c>
      <c r="G12" t="s">
        <v>22</v>
      </c>
      <c r="H12" t="s">
        <v>67</v>
      </c>
      <c r="I12" t="s">
        <v>87</v>
      </c>
      <c r="J12" t="s">
        <v>88</v>
      </c>
      <c r="K12" t="s">
        <v>89</v>
      </c>
      <c r="L12">
        <v>226881</v>
      </c>
      <c r="M12">
        <v>130700</v>
      </c>
      <c r="N12">
        <v>1</v>
      </c>
      <c r="O12">
        <f t="shared" si="5"/>
        <v>6.41025641025641E-3</v>
      </c>
      <c r="P12">
        <v>10</v>
      </c>
      <c r="Q12">
        <f t="shared" si="0"/>
        <v>6.41025641025641E-3</v>
      </c>
      <c r="R12">
        <v>0.01</v>
      </c>
      <c r="S12">
        <f t="shared" si="6"/>
        <v>0.1</v>
      </c>
      <c r="T12">
        <f t="shared" si="1"/>
        <v>4.5703839122486289E-4</v>
      </c>
      <c r="U12">
        <f t="shared" si="2"/>
        <v>-3.2370871841343185E-2</v>
      </c>
      <c r="V12">
        <f t="shared" si="3"/>
        <v>1.6300000000000002E-2</v>
      </c>
      <c r="W12">
        <v>0.1</v>
      </c>
      <c r="X12">
        <f t="shared" si="4"/>
        <v>0.16300000000000001</v>
      </c>
      <c r="Y12">
        <v>4</v>
      </c>
      <c r="Z12">
        <v>3</v>
      </c>
      <c r="AA12" t="s">
        <v>27</v>
      </c>
      <c r="AB12">
        <f t="shared" si="7"/>
        <v>12</v>
      </c>
      <c r="AC12">
        <f t="shared" si="8"/>
        <v>16</v>
      </c>
      <c r="AE12">
        <v>1</v>
      </c>
      <c r="AF12">
        <v>2</v>
      </c>
      <c r="AG12">
        <v>1</v>
      </c>
      <c r="AH12">
        <f t="shared" si="10"/>
        <v>0.63245553203367599</v>
      </c>
      <c r="AI12">
        <f t="shared" si="9"/>
        <v>20.238577025077632</v>
      </c>
    </row>
    <row r="13" spans="1:39" x14ac:dyDescent="0.3">
      <c r="A13">
        <v>2020</v>
      </c>
      <c r="B13" t="s">
        <v>18</v>
      </c>
      <c r="C13" t="s">
        <v>19</v>
      </c>
      <c r="D13" t="s">
        <v>20</v>
      </c>
      <c r="E13" t="s">
        <v>21</v>
      </c>
      <c r="F13">
        <v>44</v>
      </c>
      <c r="G13" t="s">
        <v>22</v>
      </c>
      <c r="H13" t="s">
        <v>56</v>
      </c>
      <c r="I13" t="s">
        <v>90</v>
      </c>
      <c r="J13" t="s">
        <v>117</v>
      </c>
      <c r="K13" t="s">
        <v>118</v>
      </c>
      <c r="L13">
        <v>227496</v>
      </c>
      <c r="M13">
        <v>131573</v>
      </c>
      <c r="N13">
        <v>5</v>
      </c>
      <c r="O13">
        <f t="shared" si="5"/>
        <v>3.2051282051282048E-2</v>
      </c>
      <c r="P13">
        <v>50</v>
      </c>
      <c r="Q13">
        <f t="shared" si="0"/>
        <v>3.2051282051282048E-2</v>
      </c>
      <c r="R13">
        <v>0.04</v>
      </c>
      <c r="S13">
        <f t="shared" si="6"/>
        <v>0.4</v>
      </c>
      <c r="T13">
        <f t="shared" si="1"/>
        <v>1.8281535648994515E-3</v>
      </c>
      <c r="U13">
        <f t="shared" si="2"/>
        <v>-0.11026981073126399</v>
      </c>
      <c r="V13">
        <f t="shared" si="3"/>
        <v>1.6300000000000002E-2</v>
      </c>
      <c r="W13">
        <v>0.1</v>
      </c>
      <c r="X13">
        <f t="shared" si="4"/>
        <v>0.16300000000000001</v>
      </c>
      <c r="Y13">
        <v>3</v>
      </c>
      <c r="Z13">
        <v>1</v>
      </c>
      <c r="AA13" t="s">
        <v>93</v>
      </c>
      <c r="AB13">
        <f t="shared" si="7"/>
        <v>13.416407864998739</v>
      </c>
      <c r="AC13">
        <f t="shared" si="8"/>
        <v>71.554175279993274</v>
      </c>
      <c r="AE13">
        <v>3</v>
      </c>
      <c r="AF13">
        <v>3</v>
      </c>
      <c r="AG13">
        <v>1</v>
      </c>
      <c r="AH13">
        <f t="shared" si="10"/>
        <v>12.037325489575593</v>
      </c>
      <c r="AI13">
        <f t="shared" si="9"/>
        <v>85.598759036982003</v>
      </c>
    </row>
    <row r="14" spans="1:39" x14ac:dyDescent="0.3">
      <c r="A14">
        <v>2020</v>
      </c>
      <c r="B14" t="s">
        <v>18</v>
      </c>
      <c r="C14" t="s">
        <v>19</v>
      </c>
      <c r="D14" t="s">
        <v>20</v>
      </c>
      <c r="E14" t="s">
        <v>21</v>
      </c>
      <c r="F14">
        <v>44</v>
      </c>
      <c r="G14" t="s">
        <v>22</v>
      </c>
      <c r="H14" t="s">
        <v>56</v>
      </c>
      <c r="I14" t="s">
        <v>90</v>
      </c>
      <c r="J14" t="s">
        <v>91</v>
      </c>
      <c r="K14" t="s">
        <v>92</v>
      </c>
      <c r="L14">
        <v>227550</v>
      </c>
      <c r="M14">
        <v>131534</v>
      </c>
      <c r="N14">
        <v>10</v>
      </c>
      <c r="O14">
        <f t="shared" si="5"/>
        <v>6.4102564102564097E-2</v>
      </c>
      <c r="P14">
        <v>100</v>
      </c>
      <c r="Q14">
        <f t="shared" si="0"/>
        <v>6.4102564102564097E-2</v>
      </c>
      <c r="R14">
        <v>0.11</v>
      </c>
      <c r="S14">
        <f t="shared" si="6"/>
        <v>1.1000000000000001</v>
      </c>
      <c r="T14">
        <f t="shared" si="1"/>
        <v>5.0274223034734921E-3</v>
      </c>
      <c r="U14">
        <f t="shared" si="2"/>
        <v>-0.17610710988817252</v>
      </c>
      <c r="V14">
        <f t="shared" si="3"/>
        <v>1.6300000000000002E-2</v>
      </c>
      <c r="W14">
        <v>0.1</v>
      </c>
      <c r="X14">
        <f t="shared" si="4"/>
        <v>0.16300000000000001</v>
      </c>
      <c r="Y14">
        <v>3</v>
      </c>
      <c r="Z14">
        <v>1</v>
      </c>
      <c r="AA14" t="s">
        <v>93</v>
      </c>
      <c r="AB14">
        <f t="shared" si="7"/>
        <v>31.464265445104544</v>
      </c>
      <c r="AC14">
        <f t="shared" si="8"/>
        <v>167.80941570722425</v>
      </c>
      <c r="AE14">
        <v>1</v>
      </c>
      <c r="AF14">
        <v>3</v>
      </c>
      <c r="AG14">
        <v>1</v>
      </c>
      <c r="AH14">
        <f t="shared" si="10"/>
        <v>10.189802548079381</v>
      </c>
      <c r="AI14">
        <f t="shared" si="9"/>
        <v>217.38245435902681</v>
      </c>
    </row>
    <row r="15" spans="1:39" x14ac:dyDescent="0.3">
      <c r="A15">
        <v>2020</v>
      </c>
      <c r="B15" t="s">
        <v>18</v>
      </c>
      <c r="C15" t="s">
        <v>19</v>
      </c>
      <c r="D15" t="s">
        <v>20</v>
      </c>
      <c r="E15" t="s">
        <v>21</v>
      </c>
      <c r="F15">
        <v>44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>
        <v>217841</v>
      </c>
      <c r="M15">
        <v>128506</v>
      </c>
      <c r="N15">
        <v>1</v>
      </c>
      <c r="O15">
        <f t="shared" si="5"/>
        <v>6.41025641025641E-3</v>
      </c>
      <c r="P15">
        <v>10</v>
      </c>
      <c r="Q15">
        <f t="shared" si="0"/>
        <v>6.41025641025641E-3</v>
      </c>
      <c r="R15">
        <v>0.43</v>
      </c>
      <c r="S15">
        <f t="shared" si="6"/>
        <v>4.3</v>
      </c>
      <c r="T15">
        <f t="shared" si="1"/>
        <v>1.9652650822669104E-2</v>
      </c>
      <c r="U15">
        <f t="shared" si="2"/>
        <v>-3.2370871841343185E-2</v>
      </c>
      <c r="V15">
        <f t="shared" si="3"/>
        <v>1.6300000000000002E-2</v>
      </c>
      <c r="W15">
        <v>0.1</v>
      </c>
      <c r="X15">
        <f t="shared" si="4"/>
        <v>0.16300000000000001</v>
      </c>
      <c r="Y15">
        <v>1</v>
      </c>
      <c r="Z15">
        <v>1</v>
      </c>
      <c r="AA15" t="s">
        <v>66</v>
      </c>
      <c r="AB15">
        <f t="shared" si="7"/>
        <v>6.5574385243020004</v>
      </c>
      <c r="AC15">
        <f t="shared" si="8"/>
        <v>104.91901638883201</v>
      </c>
      <c r="AE15">
        <v>1</v>
      </c>
      <c r="AF15">
        <v>1</v>
      </c>
      <c r="AG15">
        <v>1</v>
      </c>
      <c r="AH15">
        <f t="shared" si="10"/>
        <v>5.3100833943073429</v>
      </c>
      <c r="AI15">
        <f t="shared" si="9"/>
        <v>339.84533723566994</v>
      </c>
    </row>
    <row r="16" spans="1:39" x14ac:dyDescent="0.3">
      <c r="A16">
        <v>2020</v>
      </c>
      <c r="B16" t="s">
        <v>18</v>
      </c>
      <c r="C16" t="s">
        <v>19</v>
      </c>
      <c r="D16" t="s">
        <v>20</v>
      </c>
      <c r="E16" t="s">
        <v>21</v>
      </c>
      <c r="F16">
        <v>44</v>
      </c>
      <c r="G16" t="s">
        <v>94</v>
      </c>
      <c r="H16" t="s">
        <v>95</v>
      </c>
      <c r="K16" t="s">
        <v>95</v>
      </c>
      <c r="L16">
        <v>4000019</v>
      </c>
      <c r="M16">
        <v>2853</v>
      </c>
      <c r="N16">
        <v>1</v>
      </c>
      <c r="O16">
        <f t="shared" si="5"/>
        <v>6.41025641025641E-3</v>
      </c>
      <c r="P16">
        <v>10</v>
      </c>
      <c r="Q16">
        <f t="shared" si="0"/>
        <v>6.41025641025641E-3</v>
      </c>
      <c r="R16">
        <v>0.02</v>
      </c>
      <c r="S16">
        <f t="shared" si="6"/>
        <v>0.2</v>
      </c>
      <c r="T16">
        <f t="shared" si="1"/>
        <v>9.1407678244972577E-4</v>
      </c>
      <c r="U16">
        <f t="shared" si="2"/>
        <v>-3.2370871841343185E-2</v>
      </c>
      <c r="V16">
        <f t="shared" si="3"/>
        <v>1.6300000000000002E-2</v>
      </c>
      <c r="W16">
        <v>0.1</v>
      </c>
      <c r="X16">
        <f t="shared" si="4"/>
        <v>0.16300000000000001</v>
      </c>
      <c r="Y16">
        <v>1</v>
      </c>
      <c r="Z16">
        <v>2</v>
      </c>
      <c r="AA16" t="s">
        <v>66</v>
      </c>
      <c r="AB16">
        <f t="shared" si="7"/>
        <v>2.8284271247461898</v>
      </c>
      <c r="AC16">
        <f t="shared" si="8"/>
        <v>22.627416997969519</v>
      </c>
      <c r="AE16">
        <v>1</v>
      </c>
      <c r="AF16">
        <v>2</v>
      </c>
      <c r="AG16">
        <v>1</v>
      </c>
      <c r="AH16">
        <f t="shared" si="10"/>
        <v>1.063659179388998</v>
      </c>
      <c r="AI16">
        <f t="shared" si="9"/>
        <v>34.037093740447936</v>
      </c>
    </row>
    <row r="17" spans="1:36" x14ac:dyDescent="0.3">
      <c r="A17">
        <v>2020</v>
      </c>
      <c r="B17" t="s">
        <v>18</v>
      </c>
      <c r="C17" t="s">
        <v>19</v>
      </c>
      <c r="D17" t="s">
        <v>20</v>
      </c>
      <c r="E17" t="s">
        <v>21</v>
      </c>
      <c r="F17">
        <v>44</v>
      </c>
      <c r="G17" t="s">
        <v>79</v>
      </c>
      <c r="H17" t="s">
        <v>80</v>
      </c>
      <c r="I17" t="s">
        <v>81</v>
      </c>
      <c r="J17" t="s">
        <v>82</v>
      </c>
      <c r="K17" t="s">
        <v>83</v>
      </c>
      <c r="L17">
        <v>218348</v>
      </c>
      <c r="M17">
        <v>954693</v>
      </c>
      <c r="N17">
        <v>6</v>
      </c>
      <c r="O17">
        <f t="shared" si="5"/>
        <v>3.8461538461538464E-2</v>
      </c>
      <c r="P17">
        <v>60</v>
      </c>
      <c r="Q17">
        <f t="shared" si="0"/>
        <v>3.8461538461538464E-2</v>
      </c>
      <c r="R17">
        <v>0.11</v>
      </c>
      <c r="S17">
        <f t="shared" si="6"/>
        <v>1.1000000000000001</v>
      </c>
      <c r="T17">
        <f t="shared" si="1"/>
        <v>5.0274223034734921E-3</v>
      </c>
      <c r="U17">
        <f t="shared" si="2"/>
        <v>-0.12531140530851856</v>
      </c>
      <c r="V17">
        <f t="shared" si="3"/>
        <v>1.6300000000000002E-2</v>
      </c>
      <c r="W17">
        <v>0.1</v>
      </c>
      <c r="X17">
        <f t="shared" si="4"/>
        <v>0.16300000000000001</v>
      </c>
      <c r="Y17">
        <v>2</v>
      </c>
      <c r="Z17">
        <v>2</v>
      </c>
      <c r="AA17" t="s">
        <v>50</v>
      </c>
      <c r="AB17">
        <f t="shared" si="7"/>
        <v>32.496153618543843</v>
      </c>
      <c r="AC17">
        <f t="shared" si="8"/>
        <v>129.98461447417537</v>
      </c>
      <c r="AE17">
        <v>2.5</v>
      </c>
      <c r="AF17">
        <v>2</v>
      </c>
      <c r="AG17">
        <v>2.5</v>
      </c>
      <c r="AH17">
        <f t="shared" si="10"/>
        <v>37.367353409049535</v>
      </c>
      <c r="AI17">
        <f t="shared" si="9"/>
        <v>191.32084945433363</v>
      </c>
    </row>
    <row r="18" spans="1:36" x14ac:dyDescent="0.3">
      <c r="A18">
        <v>2020</v>
      </c>
      <c r="B18" t="s">
        <v>18</v>
      </c>
      <c r="C18" t="s">
        <v>19</v>
      </c>
      <c r="D18" t="s">
        <v>20</v>
      </c>
      <c r="E18" t="s">
        <v>21</v>
      </c>
      <c r="F18">
        <v>44</v>
      </c>
      <c r="G18" t="s">
        <v>79</v>
      </c>
      <c r="H18" t="s">
        <v>113</v>
      </c>
      <c r="I18" t="s">
        <v>114</v>
      </c>
      <c r="J18" t="s">
        <v>115</v>
      </c>
      <c r="K18" t="s">
        <v>116</v>
      </c>
      <c r="L18">
        <v>232154</v>
      </c>
      <c r="M18">
        <v>152397</v>
      </c>
      <c r="N18">
        <v>3</v>
      </c>
      <c r="O18">
        <f t="shared" si="5"/>
        <v>1.9230769230769232E-2</v>
      </c>
      <c r="P18">
        <v>30</v>
      </c>
      <c r="Q18">
        <f t="shared" si="0"/>
        <v>1.9230769230769232E-2</v>
      </c>
      <c r="R18">
        <v>0.02</v>
      </c>
      <c r="S18">
        <f t="shared" si="6"/>
        <v>0.2</v>
      </c>
      <c r="T18">
        <f t="shared" si="1"/>
        <v>9.1407678244972577E-4</v>
      </c>
      <c r="U18">
        <f t="shared" si="2"/>
        <v>-7.5985456126565903E-2</v>
      </c>
      <c r="V18">
        <f t="shared" si="3"/>
        <v>1.6300000000000002E-2</v>
      </c>
      <c r="W18">
        <v>0.1</v>
      </c>
      <c r="X18">
        <f t="shared" si="4"/>
        <v>0.16300000000000001</v>
      </c>
      <c r="Y18">
        <v>2</v>
      </c>
      <c r="Z18">
        <v>2</v>
      </c>
      <c r="AA18" t="s">
        <v>50</v>
      </c>
      <c r="AB18">
        <f t="shared" si="7"/>
        <v>9.7979589711327133</v>
      </c>
      <c r="AC18">
        <f t="shared" si="8"/>
        <v>39.191835884530853</v>
      </c>
      <c r="AE18">
        <v>3</v>
      </c>
      <c r="AF18">
        <v>4</v>
      </c>
      <c r="AG18">
        <v>4</v>
      </c>
      <c r="AH18">
        <f t="shared" si="10"/>
        <v>33.596500911173607</v>
      </c>
      <c r="AI18">
        <f t="shared" si="9"/>
        <v>44.795334548231473</v>
      </c>
    </row>
    <row r="19" spans="1:36" x14ac:dyDescent="0.3">
      <c r="A19">
        <v>2020</v>
      </c>
      <c r="B19" t="s">
        <v>18</v>
      </c>
      <c r="C19" t="s">
        <v>19</v>
      </c>
      <c r="D19" t="s">
        <v>20</v>
      </c>
      <c r="E19" t="s">
        <v>21</v>
      </c>
      <c r="F19">
        <v>44</v>
      </c>
      <c r="G19" t="s">
        <v>45</v>
      </c>
      <c r="H19" t="s">
        <v>71</v>
      </c>
      <c r="I19" t="s">
        <v>72</v>
      </c>
      <c r="J19" t="s">
        <v>73</v>
      </c>
      <c r="K19" t="s">
        <v>74</v>
      </c>
      <c r="L19">
        <v>217978</v>
      </c>
      <c r="M19">
        <v>140129</v>
      </c>
      <c r="N19">
        <v>23</v>
      </c>
      <c r="O19">
        <f t="shared" si="5"/>
        <v>0.14743589743589744</v>
      </c>
      <c r="P19">
        <v>230</v>
      </c>
      <c r="Q19">
        <f t="shared" si="0"/>
        <v>0.14743589743589744</v>
      </c>
      <c r="R19">
        <v>0.06</v>
      </c>
      <c r="S19">
        <f t="shared" si="6"/>
        <v>0.6</v>
      </c>
      <c r="T19">
        <f t="shared" si="1"/>
        <v>2.7422303473491772E-3</v>
      </c>
      <c r="U19">
        <f t="shared" si="2"/>
        <v>-0.28224564872031355</v>
      </c>
      <c r="V19">
        <f t="shared" si="3"/>
        <v>1.6300000000000002E-2</v>
      </c>
      <c r="W19">
        <v>0.1</v>
      </c>
      <c r="X19">
        <f t="shared" si="4"/>
        <v>0.16300000000000001</v>
      </c>
      <c r="Y19">
        <v>2</v>
      </c>
      <c r="Z19">
        <v>3</v>
      </c>
      <c r="AA19" t="s">
        <v>50</v>
      </c>
      <c r="AB19">
        <f t="shared" si="7"/>
        <v>70.484040746824377</v>
      </c>
      <c r="AC19">
        <f t="shared" si="8"/>
        <v>187.95744199153168</v>
      </c>
      <c r="AE19">
        <v>1</v>
      </c>
      <c r="AF19">
        <v>3</v>
      </c>
      <c r="AG19">
        <v>1</v>
      </c>
      <c r="AH19">
        <f t="shared" si="10"/>
        <v>7.9646491870101794</v>
      </c>
      <c r="AI19">
        <f t="shared" si="9"/>
        <v>169.91251598955049</v>
      </c>
    </row>
    <row r="20" spans="1:36" x14ac:dyDescent="0.3">
      <c r="A20">
        <v>2020</v>
      </c>
      <c r="B20" t="s">
        <v>18</v>
      </c>
      <c r="C20" t="s">
        <v>19</v>
      </c>
      <c r="D20" t="s">
        <v>20</v>
      </c>
      <c r="E20" t="s">
        <v>21</v>
      </c>
      <c r="F20">
        <v>44</v>
      </c>
      <c r="G20" t="s">
        <v>45</v>
      </c>
      <c r="H20" t="s">
        <v>46</v>
      </c>
      <c r="I20" t="s">
        <v>47</v>
      </c>
      <c r="J20" t="s">
        <v>48</v>
      </c>
      <c r="K20" t="s">
        <v>49</v>
      </c>
      <c r="L20">
        <v>218099</v>
      </c>
      <c r="M20">
        <v>139476</v>
      </c>
      <c r="N20">
        <v>2</v>
      </c>
      <c r="O20">
        <f t="shared" si="5"/>
        <v>1.282051282051282E-2</v>
      </c>
      <c r="P20">
        <v>20</v>
      </c>
      <c r="Q20">
        <f t="shared" si="0"/>
        <v>1.282051282051282E-2</v>
      </c>
      <c r="R20">
        <v>0.01</v>
      </c>
      <c r="S20">
        <f t="shared" si="6"/>
        <v>0.1</v>
      </c>
      <c r="T20">
        <f t="shared" si="1"/>
        <v>4.5703839122486289E-4</v>
      </c>
      <c r="U20">
        <f t="shared" si="2"/>
        <v>-5.5855241367815278E-2</v>
      </c>
      <c r="V20">
        <f t="shared" si="3"/>
        <v>1.6300000000000002E-2</v>
      </c>
      <c r="W20">
        <v>0.1</v>
      </c>
      <c r="X20">
        <f t="shared" si="4"/>
        <v>0.16300000000000001</v>
      </c>
      <c r="Y20">
        <v>2</v>
      </c>
      <c r="Z20">
        <v>3</v>
      </c>
      <c r="AA20" t="s">
        <v>50</v>
      </c>
      <c r="AB20">
        <f t="shared" si="7"/>
        <v>8.4852813742385695</v>
      </c>
      <c r="AC20">
        <f t="shared" si="8"/>
        <v>22.627416997969519</v>
      </c>
      <c r="AE20">
        <v>3</v>
      </c>
      <c r="AF20">
        <v>2</v>
      </c>
      <c r="AG20">
        <v>2</v>
      </c>
      <c r="AH20">
        <f t="shared" si="10"/>
        <v>4.5127237117036749</v>
      </c>
      <c r="AI20">
        <f t="shared" si="9"/>
        <v>24.067859795752931</v>
      </c>
    </row>
    <row r="21" spans="1:36" x14ac:dyDescent="0.3">
      <c r="A21">
        <v>2020</v>
      </c>
      <c r="B21" t="s">
        <v>18</v>
      </c>
      <c r="C21" t="s">
        <v>19</v>
      </c>
      <c r="D21" t="s">
        <v>20</v>
      </c>
      <c r="E21" t="s">
        <v>21</v>
      </c>
      <c r="F21">
        <v>44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>
        <v>233416</v>
      </c>
      <c r="M21">
        <v>110488</v>
      </c>
      <c r="N21">
        <v>1</v>
      </c>
      <c r="O21">
        <f t="shared" si="5"/>
        <v>6.41025641025641E-3</v>
      </c>
      <c r="P21">
        <v>10</v>
      </c>
      <c r="Q21">
        <f t="shared" si="0"/>
        <v>6.41025641025641E-3</v>
      </c>
      <c r="R21">
        <v>5.0000000000000001E-3</v>
      </c>
      <c r="S21">
        <f t="shared" si="6"/>
        <v>0.05</v>
      </c>
      <c r="T21">
        <f t="shared" si="1"/>
        <v>2.2851919561243144E-4</v>
      </c>
      <c r="U21">
        <f t="shared" si="2"/>
        <v>-3.2370871841343185E-2</v>
      </c>
      <c r="V21">
        <f t="shared" si="3"/>
        <v>1.6300000000000002E-2</v>
      </c>
      <c r="W21">
        <v>0.1</v>
      </c>
      <c r="X21">
        <f t="shared" si="4"/>
        <v>0.16300000000000001</v>
      </c>
      <c r="Y21">
        <v>2</v>
      </c>
      <c r="Z21">
        <v>3</v>
      </c>
      <c r="AA21" t="s">
        <v>50</v>
      </c>
      <c r="AB21">
        <f t="shared" si="7"/>
        <v>4.2426406871192848</v>
      </c>
      <c r="AC21">
        <f t="shared" si="8"/>
        <v>11.313708498984759</v>
      </c>
      <c r="AE21">
        <v>3</v>
      </c>
      <c r="AF21">
        <v>2</v>
      </c>
      <c r="AG21">
        <v>1</v>
      </c>
      <c r="AH21">
        <f t="shared" si="10"/>
        <v>1.1281809279259187</v>
      </c>
      <c r="AI21">
        <f t="shared" si="9"/>
        <v>12.033929897876465</v>
      </c>
    </row>
    <row r="22" spans="1:36" x14ac:dyDescent="0.3">
      <c r="A22">
        <v>2020</v>
      </c>
      <c r="B22" t="s">
        <v>18</v>
      </c>
      <c r="C22" t="s">
        <v>19</v>
      </c>
      <c r="D22" t="s">
        <v>20</v>
      </c>
      <c r="E22" t="s">
        <v>21</v>
      </c>
      <c r="F22">
        <v>44</v>
      </c>
      <c r="G22" t="s">
        <v>22</v>
      </c>
      <c r="H22" t="s">
        <v>67</v>
      </c>
      <c r="I22" t="s">
        <v>84</v>
      </c>
      <c r="J22" t="s">
        <v>85</v>
      </c>
      <c r="K22" t="s">
        <v>86</v>
      </c>
      <c r="L22">
        <v>227135</v>
      </c>
      <c r="M22">
        <v>130604</v>
      </c>
      <c r="N22">
        <v>1</v>
      </c>
      <c r="O22">
        <f t="shared" si="5"/>
        <v>6.41025641025641E-3</v>
      </c>
      <c r="P22">
        <v>10</v>
      </c>
      <c r="Q22">
        <f t="shared" si="0"/>
        <v>6.41025641025641E-3</v>
      </c>
      <c r="R22">
        <v>5.0000000000000001E-3</v>
      </c>
      <c r="S22">
        <f t="shared" si="6"/>
        <v>0.05</v>
      </c>
      <c r="T22">
        <f t="shared" si="1"/>
        <v>2.2851919561243144E-4</v>
      </c>
      <c r="U22">
        <f t="shared" si="2"/>
        <v>-3.2370871841343185E-2</v>
      </c>
      <c r="V22">
        <f t="shared" si="3"/>
        <v>1.6300000000000002E-2</v>
      </c>
      <c r="W22">
        <v>0.1</v>
      </c>
      <c r="X22">
        <f t="shared" si="4"/>
        <v>0.16300000000000001</v>
      </c>
      <c r="Y22">
        <v>2</v>
      </c>
      <c r="Z22">
        <v>2</v>
      </c>
      <c r="AA22" t="s">
        <v>50</v>
      </c>
      <c r="AB22">
        <f t="shared" si="7"/>
        <v>2.8284271247461898</v>
      </c>
      <c r="AC22">
        <f t="shared" si="8"/>
        <v>11.313708498984759</v>
      </c>
      <c r="AE22">
        <v>1</v>
      </c>
      <c r="AF22">
        <v>2</v>
      </c>
      <c r="AG22">
        <v>1</v>
      </c>
      <c r="AH22">
        <f t="shared" si="10"/>
        <v>0.37606030930863954</v>
      </c>
      <c r="AI22">
        <f t="shared" si="9"/>
        <v>12.033929897876465</v>
      </c>
    </row>
    <row r="23" spans="1:36" x14ac:dyDescent="0.3">
      <c r="A23">
        <v>2020</v>
      </c>
      <c r="B23" t="s">
        <v>18</v>
      </c>
      <c r="C23" t="s">
        <v>19</v>
      </c>
      <c r="D23" t="s">
        <v>20</v>
      </c>
      <c r="E23" t="s">
        <v>21</v>
      </c>
      <c r="F23">
        <v>44</v>
      </c>
      <c r="G23" t="s">
        <v>22</v>
      </c>
      <c r="I23" t="s">
        <v>102</v>
      </c>
      <c r="J23" t="s">
        <v>103</v>
      </c>
      <c r="K23" t="s">
        <v>104</v>
      </c>
      <c r="L23">
        <v>227806</v>
      </c>
      <c r="M23">
        <v>130331</v>
      </c>
      <c r="N23">
        <v>6</v>
      </c>
      <c r="O23">
        <f t="shared" si="5"/>
        <v>3.8461538461538464E-2</v>
      </c>
      <c r="P23">
        <v>60</v>
      </c>
      <c r="Q23">
        <f t="shared" si="0"/>
        <v>3.8461538461538464E-2</v>
      </c>
      <c r="R23">
        <v>0.32</v>
      </c>
      <c r="S23">
        <f t="shared" si="6"/>
        <v>3.2</v>
      </c>
      <c r="T23">
        <f t="shared" si="1"/>
        <v>1.4625228519195612E-2</v>
      </c>
      <c r="U23">
        <f t="shared" si="2"/>
        <v>-0.12531140530851856</v>
      </c>
      <c r="V23">
        <f t="shared" si="3"/>
        <v>1.6300000000000002E-2</v>
      </c>
      <c r="W23">
        <v>0.1</v>
      </c>
      <c r="X23">
        <f t="shared" si="4"/>
        <v>0.16300000000000001</v>
      </c>
      <c r="Y23">
        <v>3</v>
      </c>
      <c r="Z23">
        <v>1</v>
      </c>
      <c r="AA23" t="s">
        <v>60</v>
      </c>
      <c r="AB23">
        <f t="shared" si="7"/>
        <v>41.569219381653056</v>
      </c>
      <c r="AC23">
        <f t="shared" si="8"/>
        <v>221.70250336881631</v>
      </c>
      <c r="AE23">
        <v>3</v>
      </c>
      <c r="AF23">
        <v>4</v>
      </c>
      <c r="AG23">
        <v>2.71</v>
      </c>
      <c r="AH23">
        <f t="shared" si="10"/>
        <v>216.54633274137569</v>
      </c>
      <c r="AI23">
        <f t="shared" si="9"/>
        <v>426.16744450947249</v>
      </c>
    </row>
    <row r="24" spans="1:36" x14ac:dyDescent="0.3">
      <c r="A24">
        <v>2020</v>
      </c>
      <c r="B24" t="s">
        <v>18</v>
      </c>
      <c r="C24" t="s">
        <v>19</v>
      </c>
      <c r="D24" t="s">
        <v>20</v>
      </c>
      <c r="E24" t="s">
        <v>21</v>
      </c>
      <c r="F24">
        <v>44</v>
      </c>
      <c r="G24" t="s">
        <v>22</v>
      </c>
      <c r="H24" t="s">
        <v>56</v>
      </c>
      <c r="I24" t="s">
        <v>57</v>
      </c>
      <c r="J24" t="s">
        <v>58</v>
      </c>
      <c r="K24" t="s">
        <v>59</v>
      </c>
      <c r="L24">
        <v>227394</v>
      </c>
      <c r="M24">
        <v>130100</v>
      </c>
      <c r="N24">
        <v>1</v>
      </c>
      <c r="O24">
        <f t="shared" si="5"/>
        <v>6.41025641025641E-3</v>
      </c>
      <c r="P24">
        <v>10</v>
      </c>
      <c r="Q24">
        <f t="shared" si="0"/>
        <v>6.41025641025641E-3</v>
      </c>
      <c r="R24">
        <v>0.02</v>
      </c>
      <c r="S24">
        <f t="shared" si="6"/>
        <v>0.2</v>
      </c>
      <c r="T24">
        <f t="shared" si="1"/>
        <v>9.1407678244972577E-4</v>
      </c>
      <c r="U24">
        <f t="shared" si="2"/>
        <v>-3.2370871841343185E-2</v>
      </c>
      <c r="V24">
        <f t="shared" si="3"/>
        <v>1.6300000000000002E-2</v>
      </c>
      <c r="W24">
        <v>0.1</v>
      </c>
      <c r="X24">
        <f t="shared" si="4"/>
        <v>0.16300000000000001</v>
      </c>
      <c r="Y24">
        <v>3</v>
      </c>
      <c r="Z24">
        <v>2</v>
      </c>
      <c r="AA24" t="s">
        <v>60</v>
      </c>
      <c r="AB24">
        <f t="shared" si="7"/>
        <v>8.4852813742385695</v>
      </c>
      <c r="AC24">
        <f t="shared" si="8"/>
        <v>22.627416997969519</v>
      </c>
      <c r="AE24">
        <v>1</v>
      </c>
      <c r="AF24">
        <v>3</v>
      </c>
      <c r="AG24">
        <v>2</v>
      </c>
      <c r="AH24">
        <f t="shared" si="10"/>
        <v>3.1909775381669938</v>
      </c>
      <c r="AI24">
        <f t="shared" si="9"/>
        <v>34.037093740447936</v>
      </c>
    </row>
    <row r="25" spans="1:36" x14ac:dyDescent="0.3">
      <c r="A25">
        <v>2020</v>
      </c>
      <c r="B25" t="s">
        <v>18</v>
      </c>
      <c r="C25" t="s">
        <v>19</v>
      </c>
      <c r="D25" t="s">
        <v>20</v>
      </c>
      <c r="E25" t="s">
        <v>21</v>
      </c>
      <c r="F25">
        <v>44</v>
      </c>
      <c r="G25" t="s">
        <v>22</v>
      </c>
      <c r="H25" t="s">
        <v>96</v>
      </c>
      <c r="I25" t="s">
        <v>97</v>
      </c>
      <c r="J25" t="s">
        <v>110</v>
      </c>
      <c r="K25" t="s">
        <v>111</v>
      </c>
      <c r="L25" t="s">
        <v>112</v>
      </c>
      <c r="M25">
        <v>157576</v>
      </c>
      <c r="N25">
        <v>6</v>
      </c>
      <c r="O25">
        <f t="shared" si="5"/>
        <v>3.8461538461538464E-2</v>
      </c>
      <c r="P25">
        <v>60</v>
      </c>
      <c r="Q25">
        <f t="shared" si="0"/>
        <v>3.8461538461538464E-2</v>
      </c>
      <c r="R25">
        <v>0.03</v>
      </c>
      <c r="S25">
        <f t="shared" si="6"/>
        <v>0.3</v>
      </c>
      <c r="T25">
        <f t="shared" si="1"/>
        <v>1.3711151736745886E-3</v>
      </c>
      <c r="U25">
        <f t="shared" si="2"/>
        <v>-0.12531140530851856</v>
      </c>
      <c r="V25">
        <f t="shared" si="3"/>
        <v>1.6300000000000002E-2</v>
      </c>
      <c r="W25">
        <v>0.1</v>
      </c>
      <c r="X25">
        <f t="shared" si="4"/>
        <v>0.16300000000000001</v>
      </c>
      <c r="Y25">
        <v>3</v>
      </c>
      <c r="Z25">
        <v>1</v>
      </c>
      <c r="AA25" t="s">
        <v>100</v>
      </c>
      <c r="AB25">
        <f t="shared" si="7"/>
        <v>12.727922061357855</v>
      </c>
      <c r="AC25">
        <f t="shared" si="8"/>
        <v>67.882250993908556</v>
      </c>
      <c r="AE25">
        <v>3</v>
      </c>
      <c r="AF25">
        <v>3</v>
      </c>
      <c r="AG25">
        <v>4</v>
      </c>
      <c r="AH25">
        <f t="shared" si="10"/>
        <v>40.614513405333071</v>
      </c>
      <c r="AI25">
        <f t="shared" si="9"/>
        <v>72.203579387258799</v>
      </c>
    </row>
    <row r="26" spans="1:36" x14ac:dyDescent="0.3">
      <c r="A26">
        <v>2020</v>
      </c>
      <c r="B26" t="s">
        <v>18</v>
      </c>
      <c r="C26" t="s">
        <v>19</v>
      </c>
      <c r="D26" t="s">
        <v>20</v>
      </c>
      <c r="E26" t="s">
        <v>21</v>
      </c>
      <c r="F26">
        <v>44</v>
      </c>
      <c r="G26" t="s">
        <v>22</v>
      </c>
      <c r="H26" t="s">
        <v>96</v>
      </c>
      <c r="I26" t="s">
        <v>97</v>
      </c>
      <c r="J26" t="s">
        <v>98</v>
      </c>
      <c r="K26" t="s">
        <v>99</v>
      </c>
      <c r="L26">
        <v>227336</v>
      </c>
      <c r="M26">
        <v>131155</v>
      </c>
      <c r="N26">
        <v>1</v>
      </c>
      <c r="O26">
        <f t="shared" si="5"/>
        <v>6.41025641025641E-3</v>
      </c>
      <c r="P26">
        <v>10</v>
      </c>
      <c r="Q26">
        <f t="shared" si="0"/>
        <v>6.41025641025641E-3</v>
      </c>
      <c r="R26">
        <v>0.02</v>
      </c>
      <c r="S26">
        <f t="shared" si="6"/>
        <v>0.2</v>
      </c>
      <c r="T26">
        <f t="shared" si="1"/>
        <v>9.1407678244972577E-4</v>
      </c>
      <c r="U26">
        <f t="shared" si="2"/>
        <v>-3.2370871841343185E-2</v>
      </c>
      <c r="V26">
        <f t="shared" si="3"/>
        <v>1.6300000000000002E-2</v>
      </c>
      <c r="W26">
        <v>0.1</v>
      </c>
      <c r="X26">
        <f t="shared" si="4"/>
        <v>0.16300000000000001</v>
      </c>
      <c r="Y26">
        <v>3</v>
      </c>
      <c r="Z26">
        <v>2</v>
      </c>
      <c r="AA26" t="s">
        <v>100</v>
      </c>
      <c r="AB26">
        <f t="shared" si="7"/>
        <v>8.4852813742385695</v>
      </c>
      <c r="AC26">
        <f t="shared" si="8"/>
        <v>22.627416997969519</v>
      </c>
      <c r="AE26">
        <v>2.5</v>
      </c>
      <c r="AF26">
        <v>3</v>
      </c>
      <c r="AG26">
        <v>2</v>
      </c>
      <c r="AH26">
        <f t="shared" si="10"/>
        <v>7.9774438454174854</v>
      </c>
      <c r="AI26">
        <f t="shared" si="9"/>
        <v>34.037093740447936</v>
      </c>
    </row>
    <row r="27" spans="1:36" x14ac:dyDescent="0.3">
      <c r="A27">
        <v>2020</v>
      </c>
      <c r="B27" t="s">
        <v>18</v>
      </c>
      <c r="C27" t="s">
        <v>19</v>
      </c>
      <c r="D27" t="s">
        <v>20</v>
      </c>
      <c r="E27" t="s">
        <v>21</v>
      </c>
      <c r="F27">
        <v>44</v>
      </c>
      <c r="G27" t="s">
        <v>22</v>
      </c>
      <c r="H27" t="s">
        <v>96</v>
      </c>
      <c r="I27" t="s">
        <v>97</v>
      </c>
      <c r="J27" t="s">
        <v>108</v>
      </c>
      <c r="K27" t="s">
        <v>109</v>
      </c>
      <c r="L27">
        <v>227352</v>
      </c>
      <c r="M27">
        <v>131174</v>
      </c>
      <c r="N27">
        <v>2</v>
      </c>
      <c r="O27">
        <f t="shared" si="5"/>
        <v>1.282051282051282E-2</v>
      </c>
      <c r="P27">
        <v>20</v>
      </c>
      <c r="Q27">
        <f t="shared" si="0"/>
        <v>1.282051282051282E-2</v>
      </c>
      <c r="R27">
        <v>5.0000000000000001E-3</v>
      </c>
      <c r="S27">
        <f t="shared" si="6"/>
        <v>0.05</v>
      </c>
      <c r="T27">
        <f t="shared" si="1"/>
        <v>2.2851919561243144E-4</v>
      </c>
      <c r="U27">
        <f t="shared" si="2"/>
        <v>-5.5855241367815278E-2</v>
      </c>
      <c r="V27">
        <f t="shared" si="3"/>
        <v>1.6300000000000002E-2</v>
      </c>
      <c r="W27">
        <v>0.1</v>
      </c>
      <c r="X27">
        <f t="shared" si="4"/>
        <v>0.16300000000000001</v>
      </c>
      <c r="Y27">
        <v>3</v>
      </c>
      <c r="Z27">
        <v>2</v>
      </c>
      <c r="AA27" t="s">
        <v>100</v>
      </c>
      <c r="AB27">
        <f t="shared" si="7"/>
        <v>6</v>
      </c>
      <c r="AC27">
        <f t="shared" si="8"/>
        <v>16</v>
      </c>
      <c r="AE27">
        <v>3</v>
      </c>
      <c r="AF27">
        <v>3</v>
      </c>
      <c r="AG27">
        <v>3</v>
      </c>
      <c r="AH27">
        <f t="shared" si="10"/>
        <v>6.0373835392494319</v>
      </c>
      <c r="AI27">
        <f t="shared" si="9"/>
        <v>14.310835055998654</v>
      </c>
    </row>
    <row r="28" spans="1:36" x14ac:dyDescent="0.3">
      <c r="A28">
        <v>2020</v>
      </c>
      <c r="B28" t="s">
        <v>18</v>
      </c>
      <c r="C28" t="s">
        <v>19</v>
      </c>
      <c r="D28" t="s">
        <v>20</v>
      </c>
      <c r="E28" t="s">
        <v>21</v>
      </c>
      <c r="F28">
        <v>44</v>
      </c>
      <c r="G28" t="s">
        <v>22</v>
      </c>
      <c r="H28" t="s">
        <v>96</v>
      </c>
      <c r="I28" t="s">
        <v>97</v>
      </c>
      <c r="J28" t="s">
        <v>98</v>
      </c>
      <c r="K28" t="s">
        <v>101</v>
      </c>
      <c r="L28">
        <v>227337</v>
      </c>
      <c r="M28">
        <v>131157</v>
      </c>
      <c r="N28">
        <v>2</v>
      </c>
      <c r="O28">
        <f t="shared" si="5"/>
        <v>1.282051282051282E-2</v>
      </c>
      <c r="P28">
        <v>20</v>
      </c>
      <c r="Q28">
        <f t="shared" si="0"/>
        <v>1.282051282051282E-2</v>
      </c>
      <c r="R28">
        <v>5.0000000000000001E-3</v>
      </c>
      <c r="S28">
        <f t="shared" si="6"/>
        <v>0.05</v>
      </c>
      <c r="T28">
        <f t="shared" si="1"/>
        <v>2.2851919561243144E-4</v>
      </c>
      <c r="U28">
        <f t="shared" si="2"/>
        <v>-5.5855241367815278E-2</v>
      </c>
      <c r="V28">
        <f t="shared" si="3"/>
        <v>1.6300000000000002E-2</v>
      </c>
      <c r="W28">
        <v>0.1</v>
      </c>
      <c r="X28">
        <f t="shared" si="4"/>
        <v>0.16300000000000001</v>
      </c>
      <c r="Y28">
        <v>3</v>
      </c>
      <c r="Z28">
        <v>2</v>
      </c>
      <c r="AA28" t="s">
        <v>100</v>
      </c>
      <c r="AB28">
        <f t="shared" si="7"/>
        <v>6</v>
      </c>
      <c r="AC28">
        <f t="shared" si="8"/>
        <v>16</v>
      </c>
      <c r="AE28">
        <v>2.5</v>
      </c>
      <c r="AF28">
        <v>3</v>
      </c>
      <c r="AG28">
        <v>2</v>
      </c>
      <c r="AH28">
        <f t="shared" si="10"/>
        <v>3.3541019662496847</v>
      </c>
      <c r="AI28">
        <f t="shared" si="9"/>
        <v>14.310835055998654</v>
      </c>
    </row>
    <row r="29" spans="1:36" s="4" customFormat="1" x14ac:dyDescent="0.3">
      <c r="N29" s="4">
        <f>SUM(N2:N28)</f>
        <v>156</v>
      </c>
      <c r="O29" s="4">
        <f>SUM(O2:O28)</f>
        <v>0.99999999999999944</v>
      </c>
      <c r="P29" s="4">
        <f t="shared" ref="P29:AI29" si="11">SUM(P2:P28)</f>
        <v>1560</v>
      </c>
      <c r="Q29" s="4">
        <f t="shared" si="11"/>
        <v>0.99999999999999944</v>
      </c>
      <c r="R29" s="4">
        <f>SUM(R2:R28)</f>
        <v>21.879999999999995</v>
      </c>
      <c r="S29" s="4">
        <f>SUM(S2:S28)</f>
        <v>218.8</v>
      </c>
      <c r="T29" s="4">
        <f>SUM(T2:T28)</f>
        <v>0.99999999999999978</v>
      </c>
      <c r="U29" s="4">
        <f>-SUM(U2:U28)</f>
        <v>2.5441130109788235</v>
      </c>
      <c r="V29" s="6"/>
      <c r="W29" s="6"/>
      <c r="X29" s="6"/>
      <c r="Y29" s="4">
        <v>4</v>
      </c>
      <c r="Z29" s="4">
        <v>4</v>
      </c>
      <c r="AB29" s="4">
        <f>SUM(AB2:AB28)</f>
        <v>3893.8656626232678</v>
      </c>
      <c r="AC29" s="4">
        <f t="shared" si="11"/>
        <v>5968.1342283455579</v>
      </c>
      <c r="AD29" s="4">
        <f>AB29/AC29</f>
        <v>0.65244270883342659</v>
      </c>
      <c r="AE29" s="4">
        <v>4</v>
      </c>
      <c r="AF29" s="4">
        <v>4</v>
      </c>
      <c r="AG29" s="4">
        <v>4</v>
      </c>
      <c r="AH29" s="4">
        <f t="shared" si="11"/>
        <v>5061.0859120865698</v>
      </c>
      <c r="AI29" s="4">
        <f t="shared" si="11"/>
        <v>16038.533780517764</v>
      </c>
      <c r="AJ29" s="4">
        <f>AH29/AI29</f>
        <v>0.31555789209574403</v>
      </c>
    </row>
    <row r="30" spans="1:36" x14ac:dyDescent="0.3">
      <c r="A30">
        <v>2020</v>
      </c>
      <c r="B30" t="s">
        <v>119</v>
      </c>
      <c r="C30" t="s">
        <v>120</v>
      </c>
      <c r="D30" t="s">
        <v>121</v>
      </c>
      <c r="E30" t="s">
        <v>122</v>
      </c>
      <c r="F30">
        <v>118</v>
      </c>
      <c r="G30" t="s">
        <v>22</v>
      </c>
      <c r="I30" t="s">
        <v>105</v>
      </c>
      <c r="J30" t="s">
        <v>151</v>
      </c>
      <c r="K30" t="s">
        <v>152</v>
      </c>
      <c r="L30">
        <v>227836</v>
      </c>
      <c r="M30">
        <v>333843</v>
      </c>
      <c r="N30">
        <v>11</v>
      </c>
      <c r="O30">
        <f t="shared" ref="O30:O56" si="12">N30/$N$57</f>
        <v>3.6184210526315791E-2</v>
      </c>
      <c r="P30">
        <v>110</v>
      </c>
      <c r="Q30">
        <f t="shared" ref="Q30:Q56" si="13">P30/$P$57</f>
        <v>3.6184210526315791E-2</v>
      </c>
      <c r="R30">
        <v>1.94</v>
      </c>
      <c r="S30">
        <f>R30*10</f>
        <v>19.399999999999999</v>
      </c>
      <c r="T30">
        <f t="shared" ref="T30:T56" si="14">S30/$S$57</f>
        <v>0.40332640332640346</v>
      </c>
      <c r="U30">
        <f t="shared" ref="U30:U56" si="15">O30*LN(O30)</f>
        <v>-0.1201001865614683</v>
      </c>
      <c r="V30">
        <f t="shared" ref="V30:V56" si="16">16.3/1000</f>
        <v>1.6300000000000002E-2</v>
      </c>
      <c r="W30">
        <v>0.1</v>
      </c>
      <c r="X30">
        <f t="shared" ref="X30:X56" si="17">V30/W30</f>
        <v>0.16300000000000001</v>
      </c>
      <c r="Y30">
        <v>3.5</v>
      </c>
      <c r="Z30">
        <v>4</v>
      </c>
      <c r="AA30" t="s">
        <v>27</v>
      </c>
      <c r="AB30">
        <f t="shared" ref="AB30:AB56" si="18">(SQRT(S30/P30))*P30*Z30*Y30</f>
        <v>646.73332989726146</v>
      </c>
      <c r="AC30">
        <f t="shared" si="8"/>
        <v>739.12380559687017</v>
      </c>
      <c r="AE30">
        <v>2.5</v>
      </c>
      <c r="AF30">
        <v>3.75</v>
      </c>
      <c r="AG30">
        <v>3.29</v>
      </c>
      <c r="AH30">
        <f t="shared" ref="AH30:AH56" si="19">((S30/P30)^0.75)*P30*AE30*AF30*AG30</f>
        <v>923.35061563637487</v>
      </c>
      <c r="AI30">
        <f t="shared" si="9"/>
        <v>1915.9291396385977</v>
      </c>
    </row>
    <row r="31" spans="1:36" x14ac:dyDescent="0.3">
      <c r="A31">
        <v>2020</v>
      </c>
      <c r="B31" t="s">
        <v>119</v>
      </c>
      <c r="C31" t="s">
        <v>120</v>
      </c>
      <c r="D31" t="s">
        <v>121</v>
      </c>
      <c r="E31" t="s">
        <v>122</v>
      </c>
      <c r="F31">
        <v>118</v>
      </c>
      <c r="G31" t="s">
        <v>22</v>
      </c>
      <c r="H31" t="s">
        <v>163</v>
      </c>
      <c r="I31" t="s">
        <v>164</v>
      </c>
      <c r="J31" t="s">
        <v>165</v>
      </c>
      <c r="K31" t="s">
        <v>166</v>
      </c>
      <c r="L31" t="s">
        <v>112</v>
      </c>
      <c r="M31">
        <v>129837</v>
      </c>
      <c r="N31">
        <v>95</v>
      </c>
      <c r="O31">
        <f t="shared" si="12"/>
        <v>0.3125</v>
      </c>
      <c r="P31">
        <v>950</v>
      </c>
      <c r="Q31">
        <f t="shared" si="13"/>
        <v>0.3125</v>
      </c>
      <c r="R31">
        <v>0.9</v>
      </c>
      <c r="S31">
        <f t="shared" ref="S31:S56" si="20">R31*10</f>
        <v>9</v>
      </c>
      <c r="T31">
        <f t="shared" si="14"/>
        <v>0.18711018711018718</v>
      </c>
      <c r="U31">
        <f t="shared" si="15"/>
        <v>-0.36348462806427528</v>
      </c>
      <c r="V31">
        <f t="shared" si="16"/>
        <v>1.6300000000000002E-2</v>
      </c>
      <c r="W31">
        <v>0.1</v>
      </c>
      <c r="X31">
        <f t="shared" si="17"/>
        <v>0.16300000000000001</v>
      </c>
      <c r="Y31">
        <v>4</v>
      </c>
      <c r="Z31">
        <v>3</v>
      </c>
      <c r="AA31" t="s">
        <v>27</v>
      </c>
      <c r="AB31">
        <f t="shared" si="18"/>
        <v>1109.5945205344158</v>
      </c>
      <c r="AC31">
        <f t="shared" si="8"/>
        <v>1479.4593607125544</v>
      </c>
      <c r="AE31">
        <v>3</v>
      </c>
      <c r="AF31">
        <v>2</v>
      </c>
      <c r="AG31">
        <v>1</v>
      </c>
      <c r="AH31">
        <f t="shared" si="19"/>
        <v>173.08683385638912</v>
      </c>
      <c r="AI31">
        <f t="shared" si="9"/>
        <v>1846.2595611348172</v>
      </c>
    </row>
    <row r="32" spans="1:36" x14ac:dyDescent="0.3">
      <c r="A32">
        <v>2020</v>
      </c>
      <c r="B32" t="s">
        <v>119</v>
      </c>
      <c r="C32" t="s">
        <v>120</v>
      </c>
      <c r="D32" t="s">
        <v>121</v>
      </c>
      <c r="E32" t="s">
        <v>122</v>
      </c>
      <c r="F32">
        <v>118</v>
      </c>
      <c r="G32" t="s">
        <v>22</v>
      </c>
      <c r="I32" t="s">
        <v>105</v>
      </c>
      <c r="J32" t="s">
        <v>106</v>
      </c>
      <c r="K32" t="s">
        <v>107</v>
      </c>
      <c r="L32">
        <v>227839</v>
      </c>
      <c r="M32">
        <v>130980</v>
      </c>
      <c r="N32">
        <v>6</v>
      </c>
      <c r="O32">
        <f t="shared" si="12"/>
        <v>1.9736842105263157E-2</v>
      </c>
      <c r="P32">
        <v>60</v>
      </c>
      <c r="Q32">
        <f t="shared" si="13"/>
        <v>1.9736842105263157E-2</v>
      </c>
      <c r="R32">
        <v>0.15</v>
      </c>
      <c r="S32">
        <f t="shared" si="20"/>
        <v>1.5</v>
      </c>
      <c r="T32">
        <f t="shared" si="14"/>
        <v>3.1185031185031197E-2</v>
      </c>
      <c r="U32">
        <f t="shared" si="15"/>
        <v>-7.7472399319305926E-2</v>
      </c>
      <c r="V32">
        <f t="shared" si="16"/>
        <v>1.6300000000000002E-2</v>
      </c>
      <c r="W32">
        <v>0.1</v>
      </c>
      <c r="X32">
        <f t="shared" si="17"/>
        <v>0.16300000000000001</v>
      </c>
      <c r="Y32">
        <v>4</v>
      </c>
      <c r="Z32">
        <v>4</v>
      </c>
      <c r="AA32" t="s">
        <v>27</v>
      </c>
      <c r="AB32">
        <f t="shared" si="18"/>
        <v>151.78932768808221</v>
      </c>
      <c r="AC32">
        <f t="shared" si="8"/>
        <v>151.78932768808221</v>
      </c>
      <c r="AE32">
        <v>2</v>
      </c>
      <c r="AF32">
        <v>3</v>
      </c>
      <c r="AG32">
        <v>3</v>
      </c>
      <c r="AH32">
        <f t="shared" si="19"/>
        <v>67.901405202878522</v>
      </c>
      <c r="AI32">
        <f t="shared" si="9"/>
        <v>241.4272184991236</v>
      </c>
    </row>
    <row r="33" spans="1:35" x14ac:dyDescent="0.3">
      <c r="A33">
        <v>2020</v>
      </c>
      <c r="B33" t="s">
        <v>119</v>
      </c>
      <c r="C33" t="s">
        <v>120</v>
      </c>
      <c r="D33" t="s">
        <v>121</v>
      </c>
      <c r="E33" t="s">
        <v>122</v>
      </c>
      <c r="F33">
        <v>118</v>
      </c>
      <c r="G33" t="s">
        <v>22</v>
      </c>
      <c r="H33" t="s">
        <v>67</v>
      </c>
      <c r="I33" t="s">
        <v>76</v>
      </c>
      <c r="J33" t="s">
        <v>156</v>
      </c>
      <c r="K33" t="s">
        <v>157</v>
      </c>
      <c r="L33">
        <v>245755</v>
      </c>
      <c r="M33">
        <v>532020</v>
      </c>
      <c r="N33">
        <v>38</v>
      </c>
      <c r="O33">
        <f t="shared" si="12"/>
        <v>0.125</v>
      </c>
      <c r="P33">
        <v>380</v>
      </c>
      <c r="Q33">
        <f t="shared" si="13"/>
        <v>0.125</v>
      </c>
      <c r="R33">
        <v>0.5</v>
      </c>
      <c r="S33">
        <f t="shared" si="20"/>
        <v>5</v>
      </c>
      <c r="T33">
        <f t="shared" si="14"/>
        <v>0.103950103950104</v>
      </c>
      <c r="U33">
        <f t="shared" si="15"/>
        <v>-0.25993019270997947</v>
      </c>
      <c r="V33">
        <f t="shared" si="16"/>
        <v>1.6300000000000002E-2</v>
      </c>
      <c r="W33">
        <v>0.1</v>
      </c>
      <c r="X33">
        <f t="shared" si="17"/>
        <v>0.16300000000000001</v>
      </c>
      <c r="Y33">
        <v>4</v>
      </c>
      <c r="Z33">
        <v>3</v>
      </c>
      <c r="AA33" t="s">
        <v>27</v>
      </c>
      <c r="AB33">
        <f t="shared" si="18"/>
        <v>523.06787322488083</v>
      </c>
      <c r="AC33">
        <f t="shared" si="8"/>
        <v>697.42383096650781</v>
      </c>
      <c r="AE33">
        <v>1.5</v>
      </c>
      <c r="AF33">
        <v>2.2000000000000002</v>
      </c>
      <c r="AG33">
        <v>1</v>
      </c>
      <c r="AH33">
        <f t="shared" si="19"/>
        <v>48.717763441663628</v>
      </c>
      <c r="AI33">
        <f t="shared" si="9"/>
        <v>944.82935159590068</v>
      </c>
    </row>
    <row r="34" spans="1:35" x14ac:dyDescent="0.3">
      <c r="A34">
        <v>2020</v>
      </c>
      <c r="B34" t="s">
        <v>119</v>
      </c>
      <c r="C34" t="s">
        <v>120</v>
      </c>
      <c r="D34" t="s">
        <v>121</v>
      </c>
      <c r="E34" t="s">
        <v>122</v>
      </c>
      <c r="F34">
        <v>118</v>
      </c>
      <c r="G34" t="s">
        <v>22</v>
      </c>
      <c r="I34" t="s">
        <v>158</v>
      </c>
      <c r="J34" t="s">
        <v>159</v>
      </c>
      <c r="K34" t="s">
        <v>160</v>
      </c>
      <c r="L34">
        <v>227825</v>
      </c>
      <c r="M34">
        <v>130500</v>
      </c>
      <c r="N34">
        <v>1</v>
      </c>
      <c r="O34">
        <f t="shared" si="12"/>
        <v>3.2894736842105261E-3</v>
      </c>
      <c r="P34">
        <v>10</v>
      </c>
      <c r="Q34">
        <f t="shared" si="13"/>
        <v>3.2894736842105261E-3</v>
      </c>
      <c r="R34">
        <v>0.09</v>
      </c>
      <c r="S34">
        <f t="shared" si="20"/>
        <v>0.89999999999999991</v>
      </c>
      <c r="T34">
        <f t="shared" si="14"/>
        <v>1.8711018711018716E-2</v>
      </c>
      <c r="U34">
        <f t="shared" si="15"/>
        <v>-1.8806012175678361E-2</v>
      </c>
      <c r="V34">
        <f t="shared" si="16"/>
        <v>1.6300000000000002E-2</v>
      </c>
      <c r="W34">
        <v>0.1</v>
      </c>
      <c r="X34">
        <f t="shared" si="17"/>
        <v>0.16300000000000001</v>
      </c>
      <c r="Y34">
        <v>4</v>
      </c>
      <c r="Z34">
        <v>3</v>
      </c>
      <c r="AA34" t="s">
        <v>27</v>
      </c>
      <c r="AB34">
        <f t="shared" si="18"/>
        <v>36</v>
      </c>
      <c r="AC34">
        <f t="shared" si="8"/>
        <v>48</v>
      </c>
      <c r="AE34">
        <v>1</v>
      </c>
      <c r="AF34">
        <v>4</v>
      </c>
      <c r="AG34">
        <v>3</v>
      </c>
      <c r="AH34">
        <f t="shared" si="19"/>
        <v>19.718012070185974</v>
      </c>
      <c r="AI34">
        <f t="shared" si="9"/>
        <v>105.16273104099186</v>
      </c>
    </row>
    <row r="35" spans="1:35" x14ac:dyDescent="0.3">
      <c r="A35">
        <v>2020</v>
      </c>
      <c r="B35" t="s">
        <v>119</v>
      </c>
      <c r="C35" t="s">
        <v>120</v>
      </c>
      <c r="D35" t="s">
        <v>121</v>
      </c>
      <c r="E35" t="s">
        <v>122</v>
      </c>
      <c r="F35">
        <v>118</v>
      </c>
      <c r="K35" t="s">
        <v>75</v>
      </c>
      <c r="L35">
        <v>5000018</v>
      </c>
      <c r="M35">
        <v>152391</v>
      </c>
      <c r="N35">
        <v>20</v>
      </c>
      <c r="O35">
        <f t="shared" si="12"/>
        <v>6.5789473684210523E-2</v>
      </c>
      <c r="P35">
        <v>200</v>
      </c>
      <c r="Q35">
        <f t="shared" si="13"/>
        <v>6.5789473684210523E-2</v>
      </c>
      <c r="R35">
        <v>0.03</v>
      </c>
      <c r="S35">
        <f t="shared" si="20"/>
        <v>0.3</v>
      </c>
      <c r="T35">
        <f t="shared" si="14"/>
        <v>6.2370062370062391E-3</v>
      </c>
      <c r="U35">
        <f t="shared" si="15"/>
        <v>-0.17903259393764673</v>
      </c>
      <c r="V35">
        <f t="shared" si="16"/>
        <v>1.6300000000000002E-2</v>
      </c>
      <c r="W35">
        <v>0.1</v>
      </c>
      <c r="X35">
        <f t="shared" si="17"/>
        <v>0.16300000000000001</v>
      </c>
      <c r="Y35">
        <v>4</v>
      </c>
      <c r="Z35">
        <v>3</v>
      </c>
      <c r="AA35" t="s">
        <v>27</v>
      </c>
      <c r="AB35">
        <f t="shared" si="18"/>
        <v>92.951600308978016</v>
      </c>
      <c r="AC35">
        <f t="shared" si="8"/>
        <v>123.93546707863734</v>
      </c>
      <c r="AE35">
        <v>2</v>
      </c>
      <c r="AF35">
        <v>2</v>
      </c>
      <c r="AG35">
        <v>2</v>
      </c>
      <c r="AH35">
        <f t="shared" si="19"/>
        <v>12.195185955710761</v>
      </c>
      <c r="AI35">
        <f t="shared" si="9"/>
        <v>97.561487645686086</v>
      </c>
    </row>
    <row r="36" spans="1:35" x14ac:dyDescent="0.3">
      <c r="A36">
        <v>2020</v>
      </c>
      <c r="B36" t="s">
        <v>119</v>
      </c>
      <c r="C36" t="s">
        <v>120</v>
      </c>
      <c r="D36" t="s">
        <v>121</v>
      </c>
      <c r="E36" t="s">
        <v>122</v>
      </c>
      <c r="F36">
        <v>118</v>
      </c>
      <c r="G36" t="s">
        <v>79</v>
      </c>
      <c r="H36" t="s">
        <v>80</v>
      </c>
      <c r="I36" t="s">
        <v>81</v>
      </c>
      <c r="J36" t="s">
        <v>177</v>
      </c>
      <c r="K36" t="s">
        <v>178</v>
      </c>
      <c r="L36">
        <v>218350</v>
      </c>
      <c r="M36">
        <v>141662</v>
      </c>
      <c r="N36">
        <v>16</v>
      </c>
      <c r="O36">
        <f t="shared" si="12"/>
        <v>5.2631578947368418E-2</v>
      </c>
      <c r="P36">
        <v>160</v>
      </c>
      <c r="Q36">
        <f t="shared" si="13"/>
        <v>5.2631578947368418E-2</v>
      </c>
      <c r="R36">
        <v>0.28000000000000003</v>
      </c>
      <c r="S36">
        <f t="shared" si="20"/>
        <v>2.8000000000000003</v>
      </c>
      <c r="T36">
        <f t="shared" si="14"/>
        <v>5.8212058212058243E-2</v>
      </c>
      <c r="U36">
        <f t="shared" si="15"/>
        <v>-0.15497047258770741</v>
      </c>
      <c r="V36">
        <f t="shared" si="16"/>
        <v>1.6300000000000002E-2</v>
      </c>
      <c r="W36">
        <v>0.1</v>
      </c>
      <c r="X36">
        <f t="shared" si="17"/>
        <v>0.16300000000000001</v>
      </c>
      <c r="Y36">
        <v>3</v>
      </c>
      <c r="Z36">
        <v>2</v>
      </c>
      <c r="AA36" t="s">
        <v>93</v>
      </c>
      <c r="AB36">
        <f t="shared" si="18"/>
        <v>126.99606293110035</v>
      </c>
      <c r="AC36">
        <f t="shared" si="8"/>
        <v>338.65616781626761</v>
      </c>
      <c r="AE36">
        <v>3</v>
      </c>
      <c r="AF36">
        <v>3</v>
      </c>
      <c r="AG36">
        <v>3</v>
      </c>
      <c r="AH36">
        <f t="shared" si="19"/>
        <v>207.85586498619756</v>
      </c>
      <c r="AI36">
        <f t="shared" si="9"/>
        <v>492.69538367098676</v>
      </c>
    </row>
    <row r="37" spans="1:35" x14ac:dyDescent="0.3">
      <c r="A37">
        <v>2020</v>
      </c>
      <c r="B37" t="s">
        <v>119</v>
      </c>
      <c r="C37" t="s">
        <v>120</v>
      </c>
      <c r="D37" t="s">
        <v>121</v>
      </c>
      <c r="E37" t="s">
        <v>122</v>
      </c>
      <c r="F37">
        <v>118</v>
      </c>
      <c r="G37" t="s">
        <v>22</v>
      </c>
      <c r="H37" t="s">
        <v>135</v>
      </c>
      <c r="I37" t="s">
        <v>142</v>
      </c>
      <c r="J37" t="s">
        <v>143</v>
      </c>
      <c r="K37" t="s">
        <v>144</v>
      </c>
      <c r="L37">
        <v>227556</v>
      </c>
      <c r="M37">
        <v>146950</v>
      </c>
      <c r="N37">
        <v>1</v>
      </c>
      <c r="O37">
        <f t="shared" si="12"/>
        <v>3.2894736842105261E-3</v>
      </c>
      <c r="P37">
        <v>10</v>
      </c>
      <c r="Q37">
        <f t="shared" si="13"/>
        <v>3.2894736842105261E-3</v>
      </c>
      <c r="R37">
        <v>5.0000000000000001E-3</v>
      </c>
      <c r="S37">
        <f t="shared" si="20"/>
        <v>0.05</v>
      </c>
      <c r="T37">
        <f t="shared" si="14"/>
        <v>1.03950103950104E-3</v>
      </c>
      <c r="U37">
        <f t="shared" si="15"/>
        <v>-1.8806012175678361E-2</v>
      </c>
      <c r="V37">
        <f t="shared" si="16"/>
        <v>1.6300000000000002E-2</v>
      </c>
      <c r="W37">
        <v>0.1</v>
      </c>
      <c r="X37">
        <f t="shared" si="17"/>
        <v>0.16300000000000001</v>
      </c>
      <c r="Y37">
        <v>3</v>
      </c>
      <c r="Z37">
        <v>1</v>
      </c>
      <c r="AA37" t="s">
        <v>93</v>
      </c>
      <c r="AB37">
        <f t="shared" si="18"/>
        <v>2.1213203435596424</v>
      </c>
      <c r="AC37">
        <f t="shared" si="8"/>
        <v>11.313708498984759</v>
      </c>
      <c r="AE37">
        <v>3</v>
      </c>
      <c r="AF37">
        <v>3</v>
      </c>
      <c r="AG37">
        <v>1</v>
      </c>
      <c r="AH37">
        <f t="shared" si="19"/>
        <v>1.6922713918888781</v>
      </c>
      <c r="AI37">
        <f t="shared" si="9"/>
        <v>12.033929897876465</v>
      </c>
    </row>
    <row r="38" spans="1:35" x14ac:dyDescent="0.3">
      <c r="A38">
        <v>2020</v>
      </c>
      <c r="B38" t="s">
        <v>119</v>
      </c>
      <c r="C38" t="s">
        <v>120</v>
      </c>
      <c r="D38" t="s">
        <v>121</v>
      </c>
      <c r="E38" t="s">
        <v>122</v>
      </c>
      <c r="F38">
        <v>118</v>
      </c>
      <c r="G38" t="s">
        <v>79</v>
      </c>
      <c r="H38" t="s">
        <v>80</v>
      </c>
      <c r="I38" t="s">
        <v>81</v>
      </c>
      <c r="J38" t="s">
        <v>82</v>
      </c>
      <c r="K38" t="s">
        <v>83</v>
      </c>
      <c r="L38">
        <v>218348</v>
      </c>
      <c r="M38">
        <v>954693</v>
      </c>
      <c r="N38">
        <v>15</v>
      </c>
      <c r="O38">
        <f t="shared" si="12"/>
        <v>4.9342105263157895E-2</v>
      </c>
      <c r="P38">
        <v>150</v>
      </c>
      <c r="Q38">
        <f t="shared" si="13"/>
        <v>4.9342105263157895E-2</v>
      </c>
      <c r="R38">
        <v>0.19</v>
      </c>
      <c r="S38">
        <f t="shared" si="20"/>
        <v>1.9</v>
      </c>
      <c r="T38">
        <f t="shared" si="14"/>
        <v>3.9501039501039517E-2</v>
      </c>
      <c r="U38">
        <f t="shared" si="15"/>
        <v>-0.14846928455447428</v>
      </c>
      <c r="V38">
        <f t="shared" si="16"/>
        <v>1.6300000000000002E-2</v>
      </c>
      <c r="W38">
        <v>0.1</v>
      </c>
      <c r="X38">
        <f t="shared" si="17"/>
        <v>0.16300000000000001</v>
      </c>
      <c r="Y38">
        <v>2</v>
      </c>
      <c r="Z38">
        <v>2</v>
      </c>
      <c r="AA38" t="s">
        <v>50</v>
      </c>
      <c r="AB38">
        <f t="shared" si="18"/>
        <v>67.527772064536535</v>
      </c>
      <c r="AC38">
        <f t="shared" si="8"/>
        <v>270.11108825814614</v>
      </c>
      <c r="AE38">
        <v>2.5</v>
      </c>
      <c r="AF38">
        <v>2</v>
      </c>
      <c r="AG38">
        <v>2.5</v>
      </c>
      <c r="AH38">
        <f t="shared" si="19"/>
        <v>70.794257061677129</v>
      </c>
      <c r="AI38">
        <f t="shared" si="9"/>
        <v>362.46659615578687</v>
      </c>
    </row>
    <row r="39" spans="1:35" x14ac:dyDescent="0.3">
      <c r="A39">
        <v>2020</v>
      </c>
      <c r="B39" t="s">
        <v>119</v>
      </c>
      <c r="C39" t="s">
        <v>120</v>
      </c>
      <c r="D39" t="s">
        <v>121</v>
      </c>
      <c r="E39" t="s">
        <v>122</v>
      </c>
      <c r="F39">
        <v>118</v>
      </c>
      <c r="G39" t="s">
        <v>22</v>
      </c>
      <c r="H39" t="s">
        <v>56</v>
      </c>
      <c r="I39" t="s">
        <v>132</v>
      </c>
      <c r="K39" t="s">
        <v>132</v>
      </c>
      <c r="L39">
        <v>2000535</v>
      </c>
      <c r="M39">
        <v>919</v>
      </c>
      <c r="N39">
        <v>35</v>
      </c>
      <c r="O39">
        <f t="shared" si="12"/>
        <v>0.11513157894736842</v>
      </c>
      <c r="P39">
        <v>350</v>
      </c>
      <c r="Q39">
        <f t="shared" si="13"/>
        <v>0.11513157894736842</v>
      </c>
      <c r="R39">
        <v>0.02</v>
      </c>
      <c r="S39">
        <f t="shared" si="20"/>
        <v>0.2</v>
      </c>
      <c r="T39">
        <f t="shared" si="14"/>
        <v>4.15800415800416E-3</v>
      </c>
      <c r="U39">
        <f t="shared" si="15"/>
        <v>-0.24887759012200089</v>
      </c>
      <c r="V39">
        <f t="shared" si="16"/>
        <v>1.6300000000000002E-2</v>
      </c>
      <c r="W39">
        <v>0.1</v>
      </c>
      <c r="X39">
        <f t="shared" si="17"/>
        <v>0.16300000000000001</v>
      </c>
      <c r="Y39">
        <v>2</v>
      </c>
      <c r="Z39">
        <v>2</v>
      </c>
      <c r="AA39" t="s">
        <v>50</v>
      </c>
      <c r="AB39">
        <f t="shared" si="18"/>
        <v>33.466401061363023</v>
      </c>
      <c r="AC39">
        <f t="shared" si="8"/>
        <v>133.86560424545209</v>
      </c>
      <c r="AE39">
        <v>2.8333333333333299</v>
      </c>
      <c r="AF39">
        <v>2.7333333333333298</v>
      </c>
      <c r="AG39">
        <v>2</v>
      </c>
      <c r="AH39">
        <f t="shared" si="19"/>
        <v>20.035942292197962</v>
      </c>
      <c r="AI39">
        <f t="shared" si="9"/>
        <v>82.788398567475284</v>
      </c>
    </row>
    <row r="40" spans="1:35" x14ac:dyDescent="0.3">
      <c r="A40">
        <v>2020</v>
      </c>
      <c r="B40" t="s">
        <v>119</v>
      </c>
      <c r="C40" t="s">
        <v>120</v>
      </c>
      <c r="D40" t="s">
        <v>121</v>
      </c>
      <c r="E40" t="s">
        <v>122</v>
      </c>
      <c r="F40">
        <v>118</v>
      </c>
      <c r="G40" t="s">
        <v>22</v>
      </c>
      <c r="H40" t="s">
        <v>56</v>
      </c>
      <c r="I40" t="s">
        <v>132</v>
      </c>
      <c r="J40" t="s">
        <v>175</v>
      </c>
      <c r="K40" t="s">
        <v>176</v>
      </c>
      <c r="L40">
        <v>227433</v>
      </c>
      <c r="M40">
        <v>152269</v>
      </c>
      <c r="N40">
        <v>14</v>
      </c>
      <c r="O40">
        <f t="shared" si="12"/>
        <v>4.6052631578947366E-2</v>
      </c>
      <c r="P40">
        <v>140</v>
      </c>
      <c r="Q40">
        <f t="shared" si="13"/>
        <v>4.6052631578947366E-2</v>
      </c>
      <c r="R40">
        <v>0.03</v>
      </c>
      <c r="S40">
        <f t="shared" si="20"/>
        <v>0.3</v>
      </c>
      <c r="T40">
        <f t="shared" si="14"/>
        <v>6.2370062370062391E-3</v>
      </c>
      <c r="U40">
        <f t="shared" si="15"/>
        <v>-0.14174863554300488</v>
      </c>
      <c r="V40">
        <f t="shared" si="16"/>
        <v>1.6300000000000002E-2</v>
      </c>
      <c r="W40">
        <v>0.1</v>
      </c>
      <c r="X40">
        <f t="shared" si="17"/>
        <v>0.16300000000000001</v>
      </c>
      <c r="Y40">
        <v>2</v>
      </c>
      <c r="Z40">
        <v>2</v>
      </c>
      <c r="AA40" t="s">
        <v>50</v>
      </c>
      <c r="AB40">
        <f t="shared" si="18"/>
        <v>25.922962793631442</v>
      </c>
      <c r="AC40">
        <f t="shared" si="8"/>
        <v>103.69185117452577</v>
      </c>
      <c r="AE40">
        <v>2.5</v>
      </c>
      <c r="AF40">
        <v>2.2000000000000002</v>
      </c>
      <c r="AG40">
        <v>2</v>
      </c>
      <c r="AH40">
        <f t="shared" si="19"/>
        <v>15.337890577005867</v>
      </c>
      <c r="AI40">
        <f t="shared" si="9"/>
        <v>89.238636084397768</v>
      </c>
    </row>
    <row r="41" spans="1:35" x14ac:dyDescent="0.3">
      <c r="A41">
        <v>2020</v>
      </c>
      <c r="B41" t="s">
        <v>119</v>
      </c>
      <c r="C41" t="s">
        <v>120</v>
      </c>
      <c r="D41" t="s">
        <v>121</v>
      </c>
      <c r="E41" t="s">
        <v>122</v>
      </c>
      <c r="F41">
        <v>118</v>
      </c>
      <c r="G41" t="s">
        <v>22</v>
      </c>
      <c r="H41" t="s">
        <v>56</v>
      </c>
      <c r="I41" t="s">
        <v>132</v>
      </c>
      <c r="J41" t="s">
        <v>133</v>
      </c>
      <c r="K41" t="s">
        <v>134</v>
      </c>
      <c r="L41">
        <v>227416</v>
      </c>
      <c r="M41">
        <v>129955</v>
      </c>
      <c r="N41">
        <v>5</v>
      </c>
      <c r="O41">
        <f t="shared" si="12"/>
        <v>1.6447368421052631E-2</v>
      </c>
      <c r="P41">
        <v>50</v>
      </c>
      <c r="Q41">
        <f t="shared" si="13"/>
        <v>1.6447368421052631E-2</v>
      </c>
      <c r="R41">
        <v>0.01</v>
      </c>
      <c r="S41">
        <f t="shared" si="20"/>
        <v>0.1</v>
      </c>
      <c r="T41">
        <f t="shared" si="14"/>
        <v>2.07900207900208E-3</v>
      </c>
      <c r="U41">
        <f t="shared" si="15"/>
        <v>-6.7559042581778306E-2</v>
      </c>
      <c r="V41">
        <f t="shared" si="16"/>
        <v>1.6300000000000002E-2</v>
      </c>
      <c r="W41">
        <v>0.1</v>
      </c>
      <c r="X41">
        <f t="shared" si="17"/>
        <v>0.16300000000000001</v>
      </c>
      <c r="Y41">
        <v>2</v>
      </c>
      <c r="Z41">
        <v>2</v>
      </c>
      <c r="AA41" t="s">
        <v>50</v>
      </c>
      <c r="AB41">
        <f t="shared" si="18"/>
        <v>8.9442719099991592</v>
      </c>
      <c r="AC41">
        <f t="shared" si="8"/>
        <v>35.777087639996637</v>
      </c>
      <c r="AE41">
        <v>3</v>
      </c>
      <c r="AF41">
        <v>3</v>
      </c>
      <c r="AG41">
        <v>2</v>
      </c>
      <c r="AH41">
        <f t="shared" si="19"/>
        <v>8.5116744810285798</v>
      </c>
      <c r="AI41">
        <f t="shared" si="9"/>
        <v>30.26373148810162</v>
      </c>
    </row>
    <row r="42" spans="1:35" x14ac:dyDescent="0.3">
      <c r="A42">
        <v>2020</v>
      </c>
      <c r="B42" t="s">
        <v>119</v>
      </c>
      <c r="C42" t="s">
        <v>120</v>
      </c>
      <c r="D42" t="s">
        <v>121</v>
      </c>
      <c r="E42" t="s">
        <v>122</v>
      </c>
      <c r="F42">
        <v>118</v>
      </c>
      <c r="G42" t="s">
        <v>22</v>
      </c>
      <c r="I42" t="s">
        <v>139</v>
      </c>
      <c r="J42" t="s">
        <v>140</v>
      </c>
      <c r="K42" t="s">
        <v>141</v>
      </c>
      <c r="L42">
        <v>227884</v>
      </c>
      <c r="M42">
        <v>129984</v>
      </c>
      <c r="N42">
        <v>1</v>
      </c>
      <c r="O42">
        <f t="shared" si="12"/>
        <v>3.2894736842105261E-3</v>
      </c>
      <c r="P42">
        <v>10</v>
      </c>
      <c r="Q42">
        <f t="shared" si="13"/>
        <v>3.2894736842105261E-3</v>
      </c>
      <c r="R42">
        <v>5.0000000000000001E-3</v>
      </c>
      <c r="S42">
        <f t="shared" si="20"/>
        <v>0.05</v>
      </c>
      <c r="T42">
        <f t="shared" si="14"/>
        <v>1.03950103950104E-3</v>
      </c>
      <c r="U42">
        <f t="shared" si="15"/>
        <v>-1.8806012175678361E-2</v>
      </c>
      <c r="V42">
        <f t="shared" si="16"/>
        <v>1.6300000000000002E-2</v>
      </c>
      <c r="W42">
        <v>0.1</v>
      </c>
      <c r="X42">
        <f t="shared" si="17"/>
        <v>0.16300000000000001</v>
      </c>
      <c r="Y42">
        <v>2</v>
      </c>
      <c r="Z42">
        <v>3</v>
      </c>
      <c r="AA42" t="s">
        <v>50</v>
      </c>
      <c r="AB42">
        <f t="shared" si="18"/>
        <v>4.2426406871192848</v>
      </c>
      <c r="AC42">
        <f t="shared" si="8"/>
        <v>11.313708498984759</v>
      </c>
      <c r="AE42">
        <v>1.58</v>
      </c>
      <c r="AF42">
        <v>2.33</v>
      </c>
      <c r="AG42">
        <v>2.5</v>
      </c>
      <c r="AH42">
        <f t="shared" si="19"/>
        <v>1.7305355283610322</v>
      </c>
      <c r="AI42">
        <f t="shared" si="9"/>
        <v>12.033929897876465</v>
      </c>
    </row>
    <row r="43" spans="1:35" x14ac:dyDescent="0.3">
      <c r="A43">
        <v>2020</v>
      </c>
      <c r="B43" t="s">
        <v>119</v>
      </c>
      <c r="C43" t="s">
        <v>120</v>
      </c>
      <c r="D43" t="s">
        <v>121</v>
      </c>
      <c r="E43" t="s">
        <v>122</v>
      </c>
      <c r="F43">
        <v>118</v>
      </c>
      <c r="G43" t="s">
        <v>22</v>
      </c>
      <c r="I43" t="s">
        <v>148</v>
      </c>
      <c r="J43" t="s">
        <v>161</v>
      </c>
      <c r="K43" t="s">
        <v>162</v>
      </c>
      <c r="L43">
        <v>1007755</v>
      </c>
      <c r="M43">
        <v>129433</v>
      </c>
      <c r="N43">
        <v>2</v>
      </c>
      <c r="O43">
        <f t="shared" si="12"/>
        <v>6.5789473684210523E-3</v>
      </c>
      <c r="P43">
        <v>20</v>
      </c>
      <c r="Q43">
        <f t="shared" si="13"/>
        <v>6.5789473684210523E-3</v>
      </c>
      <c r="R43">
        <v>5.0000000000000001E-3</v>
      </c>
      <c r="S43">
        <f t="shared" si="20"/>
        <v>0.05</v>
      </c>
      <c r="T43">
        <f t="shared" si="14"/>
        <v>1.03950103950104E-3</v>
      </c>
      <c r="U43">
        <f t="shared" si="15"/>
        <v>-3.3051845531883395E-2</v>
      </c>
      <c r="V43">
        <f t="shared" si="16"/>
        <v>1.6300000000000002E-2</v>
      </c>
      <c r="W43">
        <v>0.1</v>
      </c>
      <c r="X43">
        <f t="shared" si="17"/>
        <v>0.16300000000000001</v>
      </c>
      <c r="Y43">
        <v>2</v>
      </c>
      <c r="Z43">
        <v>3</v>
      </c>
      <c r="AA43" t="s">
        <v>50</v>
      </c>
      <c r="AB43">
        <f t="shared" si="18"/>
        <v>6</v>
      </c>
      <c r="AC43">
        <f t="shared" si="8"/>
        <v>16</v>
      </c>
      <c r="AE43">
        <v>1</v>
      </c>
      <c r="AF43">
        <v>3.33</v>
      </c>
      <c r="AG43">
        <v>2</v>
      </c>
      <c r="AH43">
        <f t="shared" si="19"/>
        <v>1.48922127301486</v>
      </c>
      <c r="AI43">
        <f t="shared" si="9"/>
        <v>14.310835055998654</v>
      </c>
    </row>
    <row r="44" spans="1:35" x14ac:dyDescent="0.3">
      <c r="A44">
        <v>2020</v>
      </c>
      <c r="B44" t="s">
        <v>119</v>
      </c>
      <c r="C44" t="s">
        <v>120</v>
      </c>
      <c r="D44" t="s">
        <v>121</v>
      </c>
      <c r="E44" t="s">
        <v>122</v>
      </c>
      <c r="F44">
        <v>118</v>
      </c>
      <c r="G44" t="s">
        <v>22</v>
      </c>
      <c r="I44" t="s">
        <v>148</v>
      </c>
      <c r="J44" t="s">
        <v>149</v>
      </c>
      <c r="K44" t="s">
        <v>150</v>
      </c>
      <c r="L44">
        <v>227872</v>
      </c>
      <c r="M44">
        <v>130578</v>
      </c>
      <c r="N44">
        <v>2</v>
      </c>
      <c r="O44">
        <f t="shared" si="12"/>
        <v>6.5789473684210523E-3</v>
      </c>
      <c r="P44">
        <v>20</v>
      </c>
      <c r="Q44">
        <f t="shared" si="13"/>
        <v>6.5789473684210523E-3</v>
      </c>
      <c r="R44">
        <v>5.0000000000000001E-3</v>
      </c>
      <c r="S44">
        <f t="shared" si="20"/>
        <v>0.05</v>
      </c>
      <c r="T44">
        <f t="shared" si="14"/>
        <v>1.03950103950104E-3</v>
      </c>
      <c r="U44">
        <f t="shared" si="15"/>
        <v>-3.3051845531883395E-2</v>
      </c>
      <c r="V44">
        <f t="shared" si="16"/>
        <v>1.6300000000000002E-2</v>
      </c>
      <c r="W44">
        <v>0.1</v>
      </c>
      <c r="X44">
        <f t="shared" si="17"/>
        <v>0.16300000000000001</v>
      </c>
      <c r="Y44">
        <v>2</v>
      </c>
      <c r="Z44">
        <v>3</v>
      </c>
      <c r="AA44" t="s">
        <v>50</v>
      </c>
      <c r="AB44">
        <f t="shared" si="18"/>
        <v>6</v>
      </c>
      <c r="AC44">
        <f t="shared" si="8"/>
        <v>16</v>
      </c>
      <c r="AE44">
        <v>1</v>
      </c>
      <c r="AF44">
        <v>3.25</v>
      </c>
      <c r="AG44">
        <v>2</v>
      </c>
      <c r="AH44">
        <f t="shared" si="19"/>
        <v>1.4534441853748632</v>
      </c>
      <c r="AI44">
        <f t="shared" si="9"/>
        <v>14.310835055998654</v>
      </c>
    </row>
    <row r="45" spans="1:35" x14ac:dyDescent="0.3">
      <c r="A45">
        <v>2020</v>
      </c>
      <c r="B45" t="s">
        <v>119</v>
      </c>
      <c r="C45" t="s">
        <v>120</v>
      </c>
      <c r="D45" t="s">
        <v>121</v>
      </c>
      <c r="E45" t="s">
        <v>122</v>
      </c>
      <c r="F45">
        <v>118</v>
      </c>
      <c r="G45" t="s">
        <v>79</v>
      </c>
      <c r="H45" t="s">
        <v>113</v>
      </c>
      <c r="I45" t="s">
        <v>123</v>
      </c>
      <c r="J45" t="s">
        <v>124</v>
      </c>
      <c r="K45" t="s">
        <v>125</v>
      </c>
      <c r="L45">
        <v>218310</v>
      </c>
      <c r="M45">
        <v>141435</v>
      </c>
      <c r="N45">
        <v>1</v>
      </c>
      <c r="O45">
        <f t="shared" si="12"/>
        <v>3.2894736842105261E-3</v>
      </c>
      <c r="P45">
        <v>10</v>
      </c>
      <c r="Q45">
        <f t="shared" si="13"/>
        <v>3.2894736842105261E-3</v>
      </c>
      <c r="R45">
        <v>0.02</v>
      </c>
      <c r="S45">
        <f t="shared" si="20"/>
        <v>0.2</v>
      </c>
      <c r="T45">
        <f t="shared" si="14"/>
        <v>4.15800415800416E-3</v>
      </c>
      <c r="U45">
        <f t="shared" si="15"/>
        <v>-1.8806012175678361E-2</v>
      </c>
      <c r="V45">
        <f t="shared" si="16"/>
        <v>1.6300000000000002E-2</v>
      </c>
      <c r="W45">
        <v>0.1</v>
      </c>
      <c r="X45">
        <f t="shared" si="17"/>
        <v>0.16300000000000001</v>
      </c>
      <c r="Y45">
        <v>2</v>
      </c>
      <c r="Z45">
        <v>2</v>
      </c>
      <c r="AA45" t="s">
        <v>50</v>
      </c>
      <c r="AB45">
        <f t="shared" si="18"/>
        <v>5.6568542494923797</v>
      </c>
      <c r="AC45">
        <f t="shared" si="8"/>
        <v>22.627416997969519</v>
      </c>
      <c r="AE45">
        <v>1</v>
      </c>
      <c r="AF45">
        <v>1</v>
      </c>
      <c r="AG45">
        <v>2</v>
      </c>
      <c r="AH45">
        <f t="shared" si="19"/>
        <v>1.063659179388998</v>
      </c>
      <c r="AI45">
        <f t="shared" si="9"/>
        <v>34.037093740447936</v>
      </c>
    </row>
    <row r="46" spans="1:35" x14ac:dyDescent="0.3">
      <c r="A46">
        <v>2020</v>
      </c>
      <c r="B46" t="s">
        <v>119</v>
      </c>
      <c r="C46" t="s">
        <v>120</v>
      </c>
      <c r="D46" t="s">
        <v>121</v>
      </c>
      <c r="E46" t="s">
        <v>122</v>
      </c>
      <c r="F46">
        <v>118</v>
      </c>
      <c r="G46" t="s">
        <v>51</v>
      </c>
      <c r="H46" t="s">
        <v>126</v>
      </c>
      <c r="I46" t="s">
        <v>127</v>
      </c>
      <c r="J46" t="s">
        <v>128</v>
      </c>
      <c r="K46" t="s">
        <v>129</v>
      </c>
      <c r="L46">
        <v>233406</v>
      </c>
      <c r="M46">
        <v>102876</v>
      </c>
      <c r="N46">
        <v>1</v>
      </c>
      <c r="O46">
        <f t="shared" si="12"/>
        <v>3.2894736842105261E-3</v>
      </c>
      <c r="P46">
        <v>10</v>
      </c>
      <c r="Q46">
        <f t="shared" si="13"/>
        <v>3.2894736842105261E-3</v>
      </c>
      <c r="R46">
        <v>5.0000000000000001E-3</v>
      </c>
      <c r="S46">
        <f t="shared" si="20"/>
        <v>0.05</v>
      </c>
      <c r="T46">
        <f t="shared" si="14"/>
        <v>1.03950103950104E-3</v>
      </c>
      <c r="U46">
        <f t="shared" si="15"/>
        <v>-1.8806012175678361E-2</v>
      </c>
      <c r="V46">
        <f t="shared" si="16"/>
        <v>1.6300000000000002E-2</v>
      </c>
      <c r="W46">
        <v>0.1</v>
      </c>
      <c r="X46">
        <f t="shared" si="17"/>
        <v>0.16300000000000001</v>
      </c>
      <c r="Y46">
        <v>3</v>
      </c>
      <c r="Z46">
        <v>2</v>
      </c>
      <c r="AA46" t="s">
        <v>50</v>
      </c>
      <c r="AB46">
        <f t="shared" si="18"/>
        <v>4.2426406871192848</v>
      </c>
      <c r="AC46">
        <f t="shared" si="8"/>
        <v>11.313708498984759</v>
      </c>
      <c r="AE46">
        <v>1.38</v>
      </c>
      <c r="AF46">
        <v>2</v>
      </c>
      <c r="AG46">
        <v>1.5</v>
      </c>
      <c r="AH46">
        <f t="shared" si="19"/>
        <v>0.77844484026888383</v>
      </c>
      <c r="AI46">
        <f t="shared" si="9"/>
        <v>12.033929897876465</v>
      </c>
    </row>
    <row r="47" spans="1:35" x14ac:dyDescent="0.3">
      <c r="A47">
        <v>2020</v>
      </c>
      <c r="B47" t="s">
        <v>119</v>
      </c>
      <c r="C47" t="s">
        <v>120</v>
      </c>
      <c r="D47" t="s">
        <v>121</v>
      </c>
      <c r="E47" t="s">
        <v>122</v>
      </c>
      <c r="F47">
        <v>118</v>
      </c>
      <c r="G47" t="s">
        <v>22</v>
      </c>
      <c r="H47" t="s">
        <v>135</v>
      </c>
      <c r="I47" t="s">
        <v>136</v>
      </c>
      <c r="J47" t="s">
        <v>137</v>
      </c>
      <c r="K47" t="s">
        <v>138</v>
      </c>
      <c r="L47">
        <v>1007630</v>
      </c>
      <c r="M47">
        <v>129525</v>
      </c>
      <c r="N47">
        <v>1</v>
      </c>
      <c r="O47">
        <f t="shared" si="12"/>
        <v>3.2894736842105261E-3</v>
      </c>
      <c r="P47">
        <v>10</v>
      </c>
      <c r="Q47">
        <f t="shared" si="13"/>
        <v>3.2894736842105261E-3</v>
      </c>
      <c r="R47">
        <v>5.0000000000000001E-3</v>
      </c>
      <c r="S47">
        <f t="shared" si="20"/>
        <v>0.05</v>
      </c>
      <c r="T47">
        <f t="shared" si="14"/>
        <v>1.03950103950104E-3</v>
      </c>
      <c r="U47">
        <f t="shared" si="15"/>
        <v>-1.8806012175678361E-2</v>
      </c>
      <c r="V47">
        <f t="shared" si="16"/>
        <v>1.6300000000000002E-2</v>
      </c>
      <c r="W47">
        <v>0.1</v>
      </c>
      <c r="X47">
        <f t="shared" si="17"/>
        <v>0.16300000000000001</v>
      </c>
      <c r="Y47">
        <v>2</v>
      </c>
      <c r="Z47">
        <v>1</v>
      </c>
      <c r="AA47" t="s">
        <v>50</v>
      </c>
      <c r="AB47">
        <f t="shared" si="18"/>
        <v>1.4142135623730949</v>
      </c>
      <c r="AC47">
        <f t="shared" si="8"/>
        <v>11.313708498984759</v>
      </c>
      <c r="AE47">
        <v>3</v>
      </c>
      <c r="AF47">
        <v>1</v>
      </c>
      <c r="AG47">
        <v>1</v>
      </c>
      <c r="AH47">
        <f t="shared" si="19"/>
        <v>0.56409046396295937</v>
      </c>
      <c r="AI47">
        <f t="shared" si="9"/>
        <v>12.033929897876465</v>
      </c>
    </row>
    <row r="48" spans="1:35" x14ac:dyDescent="0.3">
      <c r="A48">
        <v>2020</v>
      </c>
      <c r="B48" t="s">
        <v>119</v>
      </c>
      <c r="C48" t="s">
        <v>120</v>
      </c>
      <c r="D48" t="s">
        <v>121</v>
      </c>
      <c r="E48" t="s">
        <v>122</v>
      </c>
      <c r="F48">
        <v>118</v>
      </c>
      <c r="G48" t="s">
        <v>22</v>
      </c>
      <c r="H48" t="s">
        <v>67</v>
      </c>
      <c r="I48" t="s">
        <v>84</v>
      </c>
      <c r="J48" t="s">
        <v>85</v>
      </c>
      <c r="K48" t="s">
        <v>170</v>
      </c>
      <c r="L48">
        <v>1007452</v>
      </c>
      <c r="M48">
        <v>129439</v>
      </c>
      <c r="N48">
        <v>1</v>
      </c>
      <c r="O48">
        <f t="shared" si="12"/>
        <v>3.2894736842105261E-3</v>
      </c>
      <c r="P48">
        <v>10</v>
      </c>
      <c r="Q48">
        <f t="shared" si="13"/>
        <v>3.2894736842105261E-3</v>
      </c>
      <c r="R48">
        <v>5.0000000000000001E-3</v>
      </c>
      <c r="S48">
        <f t="shared" si="20"/>
        <v>0.05</v>
      </c>
      <c r="T48">
        <f t="shared" si="14"/>
        <v>1.03950103950104E-3</v>
      </c>
      <c r="U48">
        <f t="shared" si="15"/>
        <v>-1.8806012175678361E-2</v>
      </c>
      <c r="V48">
        <f t="shared" si="16"/>
        <v>1.6300000000000002E-2</v>
      </c>
      <c r="W48">
        <v>0.1</v>
      </c>
      <c r="X48">
        <f t="shared" si="17"/>
        <v>0.16300000000000001</v>
      </c>
      <c r="Y48">
        <v>2</v>
      </c>
      <c r="Z48">
        <v>2</v>
      </c>
      <c r="AA48" t="s">
        <v>50</v>
      </c>
      <c r="AB48">
        <f t="shared" si="18"/>
        <v>2.8284271247461898</v>
      </c>
      <c r="AC48">
        <f t="shared" si="8"/>
        <v>11.313708498984759</v>
      </c>
      <c r="AE48">
        <v>1</v>
      </c>
      <c r="AF48">
        <v>2</v>
      </c>
      <c r="AG48">
        <v>1</v>
      </c>
      <c r="AH48">
        <f t="shared" si="19"/>
        <v>0.37606030930863954</v>
      </c>
      <c r="AI48">
        <f t="shared" si="9"/>
        <v>12.033929897876465</v>
      </c>
    </row>
    <row r="49" spans="1:36" x14ac:dyDescent="0.3">
      <c r="A49">
        <v>2020</v>
      </c>
      <c r="B49" t="s">
        <v>119</v>
      </c>
      <c r="C49" t="s">
        <v>120</v>
      </c>
      <c r="D49" t="s">
        <v>121</v>
      </c>
      <c r="E49" t="s">
        <v>122</v>
      </c>
      <c r="F49">
        <v>118</v>
      </c>
      <c r="G49" t="s">
        <v>22</v>
      </c>
      <c r="H49" t="s">
        <v>56</v>
      </c>
      <c r="I49" t="s">
        <v>167</v>
      </c>
      <c r="J49" t="s">
        <v>168</v>
      </c>
      <c r="K49" t="s">
        <v>169</v>
      </c>
      <c r="L49">
        <v>227442</v>
      </c>
      <c r="M49">
        <v>334415</v>
      </c>
      <c r="N49">
        <v>3</v>
      </c>
      <c r="O49">
        <f t="shared" si="12"/>
        <v>9.8684210526315784E-3</v>
      </c>
      <c r="P49">
        <v>30</v>
      </c>
      <c r="Q49">
        <f t="shared" si="13"/>
        <v>9.8684210526315784E-3</v>
      </c>
      <c r="R49">
        <v>0.14000000000000001</v>
      </c>
      <c r="S49">
        <f t="shared" si="20"/>
        <v>1.4000000000000001</v>
      </c>
      <c r="T49">
        <f t="shared" si="14"/>
        <v>2.9106029106029122E-2</v>
      </c>
      <c r="U49">
        <f t="shared" si="15"/>
        <v>-4.5576467888862944E-2</v>
      </c>
      <c r="V49">
        <f t="shared" si="16"/>
        <v>1.6300000000000002E-2</v>
      </c>
      <c r="W49">
        <v>0.1</v>
      </c>
      <c r="X49">
        <f t="shared" si="17"/>
        <v>0.16300000000000001</v>
      </c>
      <c r="Y49">
        <v>3</v>
      </c>
      <c r="Z49">
        <v>1</v>
      </c>
      <c r="AA49" t="s">
        <v>60</v>
      </c>
      <c r="AB49">
        <f t="shared" si="18"/>
        <v>19.442222095223581</v>
      </c>
      <c r="AC49">
        <f t="shared" si="8"/>
        <v>103.69185117452577</v>
      </c>
      <c r="AE49">
        <v>3</v>
      </c>
      <c r="AF49">
        <v>4</v>
      </c>
      <c r="AG49">
        <v>2.5</v>
      </c>
      <c r="AH49">
        <f t="shared" si="19"/>
        <v>90.364446991025744</v>
      </c>
      <c r="AI49">
        <f t="shared" si="9"/>
        <v>192.77748691418827</v>
      </c>
    </row>
    <row r="50" spans="1:36" x14ac:dyDescent="0.3">
      <c r="A50">
        <v>2020</v>
      </c>
      <c r="B50" t="s">
        <v>119</v>
      </c>
      <c r="C50" t="s">
        <v>120</v>
      </c>
      <c r="D50" t="s">
        <v>121</v>
      </c>
      <c r="E50" t="s">
        <v>122</v>
      </c>
      <c r="F50">
        <v>118</v>
      </c>
      <c r="G50" t="s">
        <v>22</v>
      </c>
      <c r="I50" t="s">
        <v>145</v>
      </c>
      <c r="J50" t="s">
        <v>146</v>
      </c>
      <c r="K50" t="s">
        <v>147</v>
      </c>
      <c r="L50">
        <v>227757</v>
      </c>
      <c r="M50">
        <v>129884</v>
      </c>
      <c r="N50">
        <v>10</v>
      </c>
      <c r="O50">
        <f t="shared" si="12"/>
        <v>3.2894736842105261E-2</v>
      </c>
      <c r="P50">
        <v>100</v>
      </c>
      <c r="Q50">
        <f t="shared" si="13"/>
        <v>3.2894736842105261E-2</v>
      </c>
      <c r="R50">
        <v>0.02</v>
      </c>
      <c r="S50">
        <f t="shared" si="20"/>
        <v>0.2</v>
      </c>
      <c r="T50">
        <f t="shared" si="14"/>
        <v>4.15800415800416E-3</v>
      </c>
      <c r="U50">
        <f t="shared" si="15"/>
        <v>-0.11231719106618999</v>
      </c>
      <c r="V50">
        <f t="shared" si="16"/>
        <v>1.6300000000000002E-2</v>
      </c>
      <c r="W50">
        <v>0.1</v>
      </c>
      <c r="X50">
        <f t="shared" si="17"/>
        <v>0.16300000000000001</v>
      </c>
      <c r="Y50">
        <v>3</v>
      </c>
      <c r="Z50">
        <v>2</v>
      </c>
      <c r="AA50" t="s">
        <v>60</v>
      </c>
      <c r="AB50">
        <f t="shared" si="18"/>
        <v>26.832815729997478</v>
      </c>
      <c r="AC50">
        <f t="shared" si="8"/>
        <v>71.554175279993274</v>
      </c>
      <c r="AE50">
        <v>2.88</v>
      </c>
      <c r="AF50">
        <v>4</v>
      </c>
      <c r="AG50">
        <v>2</v>
      </c>
      <c r="AH50">
        <f t="shared" si="19"/>
        <v>21.789886671433166</v>
      </c>
      <c r="AI50">
        <f t="shared" si="9"/>
        <v>60.527462976203239</v>
      </c>
    </row>
    <row r="51" spans="1:36" x14ac:dyDescent="0.3">
      <c r="A51">
        <v>2020</v>
      </c>
      <c r="B51" t="s">
        <v>119</v>
      </c>
      <c r="C51" t="s">
        <v>120</v>
      </c>
      <c r="D51" t="s">
        <v>121</v>
      </c>
      <c r="E51" t="s">
        <v>122</v>
      </c>
      <c r="F51">
        <v>118</v>
      </c>
      <c r="G51" t="s">
        <v>22</v>
      </c>
      <c r="I51" t="s">
        <v>102</v>
      </c>
      <c r="J51" t="s">
        <v>103</v>
      </c>
      <c r="K51" t="s">
        <v>172</v>
      </c>
      <c r="L51">
        <v>1007727</v>
      </c>
      <c r="M51">
        <v>129363</v>
      </c>
      <c r="N51">
        <v>1</v>
      </c>
      <c r="O51">
        <f t="shared" si="12"/>
        <v>3.2894736842105261E-3</v>
      </c>
      <c r="P51">
        <v>10</v>
      </c>
      <c r="Q51">
        <f t="shared" si="13"/>
        <v>3.2894736842105261E-3</v>
      </c>
      <c r="R51">
        <v>5.0000000000000001E-3</v>
      </c>
      <c r="S51">
        <f t="shared" si="20"/>
        <v>0.05</v>
      </c>
      <c r="T51">
        <f t="shared" si="14"/>
        <v>1.03950103950104E-3</v>
      </c>
      <c r="U51">
        <f t="shared" si="15"/>
        <v>-1.8806012175678361E-2</v>
      </c>
      <c r="V51">
        <f t="shared" si="16"/>
        <v>1.6300000000000002E-2</v>
      </c>
      <c r="W51">
        <v>0.1</v>
      </c>
      <c r="X51">
        <f t="shared" si="17"/>
        <v>0.16300000000000001</v>
      </c>
      <c r="Y51">
        <v>3</v>
      </c>
      <c r="Z51">
        <v>1</v>
      </c>
      <c r="AA51" t="s">
        <v>60</v>
      </c>
      <c r="AB51">
        <f t="shared" si="18"/>
        <v>2.1213203435596424</v>
      </c>
      <c r="AC51">
        <f t="shared" si="8"/>
        <v>11.313708498984759</v>
      </c>
      <c r="AE51">
        <v>3</v>
      </c>
      <c r="AF51">
        <v>4</v>
      </c>
      <c r="AG51">
        <v>2.71</v>
      </c>
      <c r="AH51">
        <f t="shared" si="19"/>
        <v>6.1147406293584794</v>
      </c>
      <c r="AI51">
        <f t="shared" si="9"/>
        <v>12.033929897876465</v>
      </c>
    </row>
    <row r="52" spans="1:36" x14ac:dyDescent="0.3">
      <c r="A52">
        <v>2020</v>
      </c>
      <c r="B52" t="s">
        <v>119</v>
      </c>
      <c r="C52" t="s">
        <v>120</v>
      </c>
      <c r="D52" t="s">
        <v>121</v>
      </c>
      <c r="E52" t="s">
        <v>122</v>
      </c>
      <c r="F52">
        <v>118</v>
      </c>
      <c r="G52" t="s">
        <v>22</v>
      </c>
      <c r="H52" t="s">
        <v>56</v>
      </c>
      <c r="I52" t="s">
        <v>153</v>
      </c>
      <c r="J52" t="s">
        <v>154</v>
      </c>
      <c r="K52" t="s">
        <v>155</v>
      </c>
      <c r="L52">
        <v>227487</v>
      </c>
      <c r="M52">
        <v>129804</v>
      </c>
      <c r="N52">
        <v>5</v>
      </c>
      <c r="O52">
        <f t="shared" si="12"/>
        <v>1.6447368421052631E-2</v>
      </c>
      <c r="P52">
        <v>50</v>
      </c>
      <c r="Q52">
        <f t="shared" si="13"/>
        <v>1.6447368421052631E-2</v>
      </c>
      <c r="R52">
        <v>0.36</v>
      </c>
      <c r="S52">
        <f t="shared" si="20"/>
        <v>3.5999999999999996</v>
      </c>
      <c r="T52">
        <f t="shared" si="14"/>
        <v>7.4844074844074862E-2</v>
      </c>
      <c r="U52">
        <f t="shared" si="15"/>
        <v>-6.7559042581778306E-2</v>
      </c>
      <c r="V52">
        <f t="shared" si="16"/>
        <v>1.6300000000000002E-2</v>
      </c>
      <c r="W52">
        <v>0.1</v>
      </c>
      <c r="X52">
        <f t="shared" si="17"/>
        <v>0.16300000000000001</v>
      </c>
      <c r="Y52">
        <v>3</v>
      </c>
      <c r="Z52">
        <v>1</v>
      </c>
      <c r="AA52" t="s">
        <v>100</v>
      </c>
      <c r="AB52">
        <f t="shared" si="18"/>
        <v>40.249223594996216</v>
      </c>
      <c r="AC52">
        <f t="shared" si="8"/>
        <v>214.66252583997982</v>
      </c>
      <c r="AE52">
        <v>3</v>
      </c>
      <c r="AF52">
        <v>3</v>
      </c>
      <c r="AG52">
        <v>2</v>
      </c>
      <c r="AH52">
        <f t="shared" si="19"/>
        <v>125.09555601113306</v>
      </c>
      <c r="AI52">
        <f t="shared" si="9"/>
        <v>444.78419915069531</v>
      </c>
    </row>
    <row r="53" spans="1:36" x14ac:dyDescent="0.3">
      <c r="A53">
        <v>2020</v>
      </c>
      <c r="B53" t="s">
        <v>119</v>
      </c>
      <c r="C53" t="s">
        <v>120</v>
      </c>
      <c r="D53" t="s">
        <v>121</v>
      </c>
      <c r="E53" t="s">
        <v>122</v>
      </c>
      <c r="F53">
        <v>118</v>
      </c>
      <c r="G53" t="s">
        <v>22</v>
      </c>
      <c r="H53" t="s">
        <v>96</v>
      </c>
      <c r="I53" t="s">
        <v>97</v>
      </c>
      <c r="J53" t="s">
        <v>110</v>
      </c>
      <c r="K53" t="s">
        <v>111</v>
      </c>
      <c r="L53" t="s">
        <v>112</v>
      </c>
      <c r="M53">
        <v>157576</v>
      </c>
      <c r="N53">
        <v>2</v>
      </c>
      <c r="O53">
        <f t="shared" si="12"/>
        <v>6.5789473684210523E-3</v>
      </c>
      <c r="P53">
        <v>20</v>
      </c>
      <c r="Q53">
        <f t="shared" si="13"/>
        <v>6.5789473684210523E-3</v>
      </c>
      <c r="R53">
        <v>0.02</v>
      </c>
      <c r="S53">
        <f t="shared" si="20"/>
        <v>0.2</v>
      </c>
      <c r="T53">
        <f t="shared" si="14"/>
        <v>4.15800415800416E-3</v>
      </c>
      <c r="U53">
        <f t="shared" si="15"/>
        <v>-3.3051845531883395E-2</v>
      </c>
      <c r="V53">
        <f t="shared" si="16"/>
        <v>1.6300000000000002E-2</v>
      </c>
      <c r="W53">
        <v>0.1</v>
      </c>
      <c r="X53">
        <f t="shared" si="17"/>
        <v>0.16300000000000001</v>
      </c>
      <c r="Y53">
        <v>3</v>
      </c>
      <c r="Z53">
        <v>1</v>
      </c>
      <c r="AA53" t="s">
        <v>100</v>
      </c>
      <c r="AB53">
        <f t="shared" si="18"/>
        <v>6</v>
      </c>
      <c r="AC53">
        <f t="shared" si="8"/>
        <v>32</v>
      </c>
      <c r="AE53">
        <v>3</v>
      </c>
      <c r="AF53">
        <v>3</v>
      </c>
      <c r="AG53">
        <v>4</v>
      </c>
      <c r="AH53">
        <f t="shared" si="19"/>
        <v>22.768399153212336</v>
      </c>
      <c r="AI53">
        <f t="shared" si="9"/>
        <v>40.477154050155264</v>
      </c>
    </row>
    <row r="54" spans="1:36" x14ac:dyDescent="0.3">
      <c r="A54">
        <v>2020</v>
      </c>
      <c r="B54" t="s">
        <v>119</v>
      </c>
      <c r="C54" t="s">
        <v>120</v>
      </c>
      <c r="D54" t="s">
        <v>121</v>
      </c>
      <c r="E54" t="s">
        <v>122</v>
      </c>
      <c r="F54">
        <v>118</v>
      </c>
      <c r="G54" t="s">
        <v>22</v>
      </c>
      <c r="H54" t="s">
        <v>56</v>
      </c>
      <c r="I54" t="s">
        <v>153</v>
      </c>
      <c r="J54" t="s">
        <v>173</v>
      </c>
      <c r="K54" t="s">
        <v>174</v>
      </c>
      <c r="L54">
        <v>227477</v>
      </c>
      <c r="M54">
        <v>334811</v>
      </c>
      <c r="N54">
        <v>10</v>
      </c>
      <c r="O54">
        <f t="shared" si="12"/>
        <v>3.2894736842105261E-2</v>
      </c>
      <c r="P54">
        <v>100</v>
      </c>
      <c r="Q54">
        <f t="shared" si="13"/>
        <v>3.2894736842105261E-2</v>
      </c>
      <c r="R54">
        <v>0.01</v>
      </c>
      <c r="S54">
        <f t="shared" si="20"/>
        <v>0.1</v>
      </c>
      <c r="T54">
        <f t="shared" si="14"/>
        <v>2.07900207900208E-3</v>
      </c>
      <c r="U54">
        <f t="shared" si="15"/>
        <v>-0.11231719106618999</v>
      </c>
      <c r="V54">
        <f t="shared" si="16"/>
        <v>1.6300000000000002E-2</v>
      </c>
      <c r="W54">
        <v>0.1</v>
      </c>
      <c r="X54">
        <f t="shared" si="17"/>
        <v>0.16300000000000001</v>
      </c>
      <c r="Y54">
        <v>3</v>
      </c>
      <c r="Z54">
        <v>2</v>
      </c>
      <c r="AA54" t="s">
        <v>100</v>
      </c>
      <c r="AB54">
        <f t="shared" si="18"/>
        <v>18.973665961010276</v>
      </c>
      <c r="AC54">
        <f t="shared" si="8"/>
        <v>50.596442562694065</v>
      </c>
      <c r="AE54">
        <v>3</v>
      </c>
      <c r="AF54">
        <v>3</v>
      </c>
      <c r="AG54">
        <v>2.33</v>
      </c>
      <c r="AH54">
        <f t="shared" si="19"/>
        <v>11.79229758924162</v>
      </c>
      <c r="AI54">
        <f t="shared" si="9"/>
        <v>35.989844812182348</v>
      </c>
    </row>
    <row r="55" spans="1:36" x14ac:dyDescent="0.3">
      <c r="A55">
        <v>2020</v>
      </c>
      <c r="B55" t="s">
        <v>119</v>
      </c>
      <c r="C55" t="s">
        <v>120</v>
      </c>
      <c r="D55" t="s">
        <v>121</v>
      </c>
      <c r="E55" t="s">
        <v>122</v>
      </c>
      <c r="F55">
        <v>118</v>
      </c>
      <c r="G55" t="s">
        <v>22</v>
      </c>
      <c r="H55" t="s">
        <v>96</v>
      </c>
      <c r="I55" t="s">
        <v>97</v>
      </c>
      <c r="J55" t="s">
        <v>98</v>
      </c>
      <c r="K55" t="s">
        <v>171</v>
      </c>
      <c r="L55">
        <v>227333</v>
      </c>
      <c r="M55">
        <v>131153</v>
      </c>
      <c r="N55">
        <v>6</v>
      </c>
      <c r="O55">
        <f t="shared" si="12"/>
        <v>1.9736842105263157E-2</v>
      </c>
      <c r="P55">
        <v>60</v>
      </c>
      <c r="Q55">
        <f t="shared" si="13"/>
        <v>1.9736842105263157E-2</v>
      </c>
      <c r="R55">
        <v>0.01</v>
      </c>
      <c r="S55">
        <f t="shared" si="20"/>
        <v>0.1</v>
      </c>
      <c r="T55">
        <f t="shared" si="14"/>
        <v>2.07900207900208E-3</v>
      </c>
      <c r="U55">
        <f t="shared" si="15"/>
        <v>-7.7472399319305926E-2</v>
      </c>
      <c r="V55">
        <f t="shared" si="16"/>
        <v>1.6300000000000002E-2</v>
      </c>
      <c r="W55">
        <v>0.1</v>
      </c>
      <c r="X55">
        <f t="shared" si="17"/>
        <v>0.16300000000000001</v>
      </c>
      <c r="Y55">
        <v>3</v>
      </c>
      <c r="Z55">
        <v>2</v>
      </c>
      <c r="AA55" t="s">
        <v>100</v>
      </c>
      <c r="AB55">
        <f t="shared" si="18"/>
        <v>14.696938456699069</v>
      </c>
      <c r="AC55">
        <f t="shared" si="8"/>
        <v>39.191835884530853</v>
      </c>
      <c r="AE55">
        <v>2.5</v>
      </c>
      <c r="AF55">
        <v>3</v>
      </c>
      <c r="AG55">
        <v>2</v>
      </c>
      <c r="AH55">
        <f t="shared" si="19"/>
        <v>7.4238480057596519</v>
      </c>
      <c r="AI55">
        <f t="shared" si="9"/>
        <v>31.675084824574512</v>
      </c>
    </row>
    <row r="56" spans="1:36" x14ac:dyDescent="0.3">
      <c r="A56">
        <v>2020</v>
      </c>
      <c r="B56" t="s">
        <v>119</v>
      </c>
      <c r="C56" t="s">
        <v>120</v>
      </c>
      <c r="D56" t="s">
        <v>121</v>
      </c>
      <c r="E56" t="s">
        <v>122</v>
      </c>
      <c r="F56">
        <v>118</v>
      </c>
      <c r="G56" t="s">
        <v>22</v>
      </c>
      <c r="H56" t="s">
        <v>56</v>
      </c>
      <c r="I56" t="s">
        <v>57</v>
      </c>
      <c r="J56" t="s">
        <v>130</v>
      </c>
      <c r="K56" t="s">
        <v>131</v>
      </c>
      <c r="L56">
        <v>227389</v>
      </c>
      <c r="M56">
        <v>130099</v>
      </c>
      <c r="N56">
        <v>1</v>
      </c>
      <c r="O56">
        <f t="shared" si="12"/>
        <v>3.2894736842105261E-3</v>
      </c>
      <c r="P56">
        <v>10</v>
      </c>
      <c r="Q56">
        <f t="shared" si="13"/>
        <v>3.2894736842105261E-3</v>
      </c>
      <c r="R56">
        <v>0.05</v>
      </c>
      <c r="S56">
        <f t="shared" si="20"/>
        <v>0.5</v>
      </c>
      <c r="T56">
        <f t="shared" si="14"/>
        <v>1.0395010395010399E-2</v>
      </c>
      <c r="U56">
        <f t="shared" si="15"/>
        <v>-1.8806012175678361E-2</v>
      </c>
      <c r="V56">
        <f t="shared" si="16"/>
        <v>1.6300000000000002E-2</v>
      </c>
      <c r="W56">
        <v>0.1</v>
      </c>
      <c r="X56">
        <f t="shared" si="17"/>
        <v>0.16300000000000001</v>
      </c>
      <c r="Y56">
        <v>3</v>
      </c>
      <c r="Z56">
        <v>2</v>
      </c>
      <c r="AA56" t="s">
        <v>100</v>
      </c>
      <c r="AB56">
        <f t="shared" si="18"/>
        <v>13.416407864998739</v>
      </c>
      <c r="AC56">
        <f t="shared" si="8"/>
        <v>35.777087639996637</v>
      </c>
      <c r="AE56">
        <v>1</v>
      </c>
      <c r="AF56">
        <v>3</v>
      </c>
      <c r="AG56">
        <v>1.5</v>
      </c>
      <c r="AH56">
        <f t="shared" si="19"/>
        <v>4.7581706854825381</v>
      </c>
      <c r="AI56">
        <f t="shared" si="9"/>
        <v>67.671760860196102</v>
      </c>
    </row>
    <row r="57" spans="1:36" s="4" customFormat="1" x14ac:dyDescent="0.3">
      <c r="N57" s="4">
        <f t="shared" ref="N57:T57" si="21">SUM(N30:N56)</f>
        <v>304</v>
      </c>
      <c r="O57" s="4">
        <f t="shared" si="21"/>
        <v>0.99999999999999967</v>
      </c>
      <c r="P57" s="4">
        <f t="shared" si="21"/>
        <v>3040</v>
      </c>
      <c r="Q57" s="4">
        <f t="shared" si="21"/>
        <v>0.99999999999999967</v>
      </c>
      <c r="R57" s="4">
        <f t="shared" si="21"/>
        <v>4.8099999999999969</v>
      </c>
      <c r="S57" s="4">
        <f t="shared" si="21"/>
        <v>48.09999999999998</v>
      </c>
      <c r="T57" s="4">
        <f t="shared" si="21"/>
        <v>1.0000000000000004</v>
      </c>
      <c r="U57" s="4">
        <f>-SUM(U30:U56)</f>
        <v>2.4452969640807236</v>
      </c>
      <c r="Y57" s="4">
        <v>4</v>
      </c>
      <c r="Z57" s="4">
        <v>4</v>
      </c>
      <c r="AB57" s="4">
        <f>SUM(AB30:AB56)</f>
        <v>2997.2328131151435</v>
      </c>
      <c r="AC57" s="4">
        <f>SUM(AC30:AC56)</f>
        <v>4791.8171775506398</v>
      </c>
      <c r="AD57" s="4">
        <f>AB57/AC57</f>
        <v>0.6254898094102983</v>
      </c>
      <c r="AE57" s="4">
        <v>4</v>
      </c>
      <c r="AF57" s="4">
        <v>4</v>
      </c>
      <c r="AG57" s="4">
        <v>4</v>
      </c>
      <c r="AH57" s="4">
        <f>SUM(AH30:AH56)</f>
        <v>1866.760518469526</v>
      </c>
      <c r="AI57" s="4">
        <f>SUM(AI30:AI56)</f>
        <v>7217.3875723497622</v>
      </c>
      <c r="AJ57" s="4">
        <f>AH57/AI57</f>
        <v>0.25864767545824968</v>
      </c>
    </row>
    <row r="58" spans="1:36" x14ac:dyDescent="0.3">
      <c r="A58">
        <v>2020</v>
      </c>
      <c r="B58" t="s">
        <v>179</v>
      </c>
      <c r="C58" t="s">
        <v>180</v>
      </c>
      <c r="D58" t="s">
        <v>181</v>
      </c>
      <c r="E58" t="s">
        <v>182</v>
      </c>
      <c r="F58">
        <v>46</v>
      </c>
      <c r="G58" t="s">
        <v>28</v>
      </c>
      <c r="H58" t="s">
        <v>29</v>
      </c>
      <c r="I58" t="s">
        <v>30</v>
      </c>
      <c r="J58" t="s">
        <v>31</v>
      </c>
      <c r="K58" t="s">
        <v>185</v>
      </c>
      <c r="L58" t="s">
        <v>112</v>
      </c>
      <c r="M58" t="s">
        <v>112</v>
      </c>
      <c r="N58">
        <v>94</v>
      </c>
      <c r="O58">
        <f t="shared" ref="O58:O84" si="22">N58/$N$85</f>
        <v>0.63945578231292521</v>
      </c>
      <c r="P58">
        <v>940</v>
      </c>
      <c r="Q58">
        <f t="shared" ref="Q58:Q84" si="23">P58/$P$85</f>
        <v>0.63945578231292521</v>
      </c>
      <c r="R58">
        <v>15.06</v>
      </c>
      <c r="S58">
        <f>R58*10</f>
        <v>150.6</v>
      </c>
      <c r="T58">
        <f t="shared" ref="T58:T84" si="24">S58/$S$85</f>
        <v>0.27519415258108731</v>
      </c>
      <c r="U58">
        <f t="shared" ref="U58:U84" si="25">O58*LN(O58)</f>
        <v>-0.28592485458381528</v>
      </c>
      <c r="V58">
        <f t="shared" ref="V58:V84" si="26">16.3/1000</f>
        <v>1.6300000000000002E-2</v>
      </c>
      <c r="W58">
        <v>0.1</v>
      </c>
      <c r="X58">
        <f t="shared" ref="X58:X84" si="27">V58/W58</f>
        <v>0.16300000000000001</v>
      </c>
      <c r="Y58">
        <v>4</v>
      </c>
      <c r="Z58">
        <v>3</v>
      </c>
      <c r="AA58" t="s">
        <v>27</v>
      </c>
      <c r="AB58">
        <f t="shared" ref="AB58:AB84" si="28">(SQRT(S58/P58))*P58*Z58*Y58</f>
        <v>4514.9990033221493</v>
      </c>
      <c r="AC58">
        <f t="shared" si="8"/>
        <v>6019.9986710961984</v>
      </c>
      <c r="AE58">
        <v>2</v>
      </c>
      <c r="AF58">
        <v>4</v>
      </c>
      <c r="AG58">
        <v>3</v>
      </c>
      <c r="AH58">
        <f t="shared" ref="AH58:AH84" si="29">((S58/P58)^0.75)*P58*AE58*AF58*AG58</f>
        <v>5712.9698752238446</v>
      </c>
      <c r="AI58">
        <f t="shared" si="9"/>
        <v>15234.586333930252</v>
      </c>
    </row>
    <row r="59" spans="1:36" x14ac:dyDescent="0.3">
      <c r="A59">
        <v>2020</v>
      </c>
      <c r="B59" t="s">
        <v>179</v>
      </c>
      <c r="C59" t="s">
        <v>180</v>
      </c>
      <c r="D59" t="s">
        <v>181</v>
      </c>
      <c r="E59" t="s">
        <v>182</v>
      </c>
      <c r="F59">
        <v>46</v>
      </c>
      <c r="G59" t="s">
        <v>35</v>
      </c>
      <c r="H59" t="s">
        <v>36</v>
      </c>
      <c r="I59" t="s">
        <v>37</v>
      </c>
      <c r="J59" t="s">
        <v>38</v>
      </c>
      <c r="K59" t="s">
        <v>39</v>
      </c>
      <c r="L59">
        <v>217719</v>
      </c>
      <c r="M59">
        <v>124373</v>
      </c>
      <c r="N59">
        <v>2</v>
      </c>
      <c r="O59">
        <f t="shared" si="22"/>
        <v>1.3605442176870748E-2</v>
      </c>
      <c r="P59">
        <v>20</v>
      </c>
      <c r="Q59">
        <f t="shared" si="23"/>
        <v>1.3605442176870748E-2</v>
      </c>
      <c r="R59">
        <v>33.46</v>
      </c>
      <c r="S59">
        <f t="shared" ref="S59:S84" si="30">R59*10</f>
        <v>334.6</v>
      </c>
      <c r="T59">
        <f t="shared" si="24"/>
        <v>0.6114207400639563</v>
      </c>
      <c r="U59">
        <f t="shared" si="25"/>
        <v>-5.8466468111820276E-2</v>
      </c>
      <c r="V59">
        <f t="shared" si="26"/>
        <v>1.6300000000000002E-2</v>
      </c>
      <c r="W59">
        <v>0.1</v>
      </c>
      <c r="X59">
        <f t="shared" si="27"/>
        <v>0.16300000000000001</v>
      </c>
      <c r="Y59">
        <v>4</v>
      </c>
      <c r="Z59">
        <v>3</v>
      </c>
      <c r="AA59" t="s">
        <v>27</v>
      </c>
      <c r="AB59">
        <f t="shared" si="28"/>
        <v>981.65574413844286</v>
      </c>
      <c r="AC59">
        <f t="shared" si="8"/>
        <v>1308.8743255179238</v>
      </c>
      <c r="AE59">
        <v>1.38</v>
      </c>
      <c r="AF59">
        <v>3.5</v>
      </c>
      <c r="AG59">
        <v>2.5</v>
      </c>
      <c r="AH59">
        <f t="shared" si="29"/>
        <v>1997.7405768094875</v>
      </c>
      <c r="AI59">
        <f t="shared" si="9"/>
        <v>10588.438667975752</v>
      </c>
    </row>
    <row r="60" spans="1:36" x14ac:dyDescent="0.3">
      <c r="A60">
        <v>2020</v>
      </c>
      <c r="B60" t="s">
        <v>179</v>
      </c>
      <c r="C60" t="s">
        <v>180</v>
      </c>
      <c r="D60" t="s">
        <v>181</v>
      </c>
      <c r="E60" t="s">
        <v>182</v>
      </c>
      <c r="F60">
        <v>46</v>
      </c>
      <c r="G60" t="s">
        <v>22</v>
      </c>
      <c r="I60" t="s">
        <v>105</v>
      </c>
      <c r="J60" t="s">
        <v>151</v>
      </c>
      <c r="K60" t="s">
        <v>152</v>
      </c>
      <c r="L60">
        <v>227836</v>
      </c>
      <c r="M60">
        <v>333843</v>
      </c>
      <c r="N60">
        <v>6</v>
      </c>
      <c r="O60">
        <f t="shared" si="22"/>
        <v>4.0816326530612242E-2</v>
      </c>
      <c r="P60">
        <v>60</v>
      </c>
      <c r="Q60">
        <f t="shared" si="23"/>
        <v>4.0816326530612242E-2</v>
      </c>
      <c r="R60">
        <v>4.7</v>
      </c>
      <c r="S60">
        <f t="shared" si="30"/>
        <v>47</v>
      </c>
      <c r="T60">
        <f t="shared" si="24"/>
        <v>8.5883965280950228E-2</v>
      </c>
      <c r="U60">
        <f t="shared" si="25"/>
        <v>-0.13055808643064004</v>
      </c>
      <c r="V60">
        <f t="shared" si="26"/>
        <v>1.6300000000000002E-2</v>
      </c>
      <c r="W60">
        <v>0.1</v>
      </c>
      <c r="X60">
        <f t="shared" si="27"/>
        <v>0.16300000000000001</v>
      </c>
      <c r="Y60">
        <v>3.5</v>
      </c>
      <c r="Z60">
        <v>4</v>
      </c>
      <c r="AA60" t="s">
        <v>27</v>
      </c>
      <c r="AB60">
        <f t="shared" si="28"/>
        <v>743.45141065169821</v>
      </c>
      <c r="AC60">
        <f t="shared" si="8"/>
        <v>849.65875503051222</v>
      </c>
      <c r="AE60">
        <v>2.5</v>
      </c>
      <c r="AF60">
        <v>3.75</v>
      </c>
      <c r="AG60">
        <v>3.29</v>
      </c>
      <c r="AH60">
        <f t="shared" si="29"/>
        <v>1540.9139270006883</v>
      </c>
      <c r="AI60">
        <f t="shared" si="9"/>
        <v>3197.3573682851161</v>
      </c>
    </row>
    <row r="61" spans="1:36" x14ac:dyDescent="0.3">
      <c r="A61">
        <v>2020</v>
      </c>
      <c r="B61" t="s">
        <v>179</v>
      </c>
      <c r="C61" t="s">
        <v>180</v>
      </c>
      <c r="D61" t="s">
        <v>181</v>
      </c>
      <c r="E61" t="s">
        <v>182</v>
      </c>
      <c r="F61">
        <v>46</v>
      </c>
      <c r="G61" t="s">
        <v>22</v>
      </c>
      <c r="H61" t="s">
        <v>67</v>
      </c>
      <c r="I61" t="s">
        <v>68</v>
      </c>
      <c r="J61" t="s">
        <v>69</v>
      </c>
      <c r="K61" t="s">
        <v>190</v>
      </c>
      <c r="L61">
        <v>226797</v>
      </c>
      <c r="M61">
        <v>130116</v>
      </c>
      <c r="N61">
        <v>1</v>
      </c>
      <c r="O61">
        <f t="shared" si="22"/>
        <v>6.8027210884353739E-3</v>
      </c>
      <c r="P61">
        <v>10</v>
      </c>
      <c r="Q61">
        <f t="shared" si="23"/>
        <v>6.8027210884353739E-3</v>
      </c>
      <c r="R61">
        <v>0.04</v>
      </c>
      <c r="S61">
        <f t="shared" si="30"/>
        <v>0.4</v>
      </c>
      <c r="T61">
        <f t="shared" si="24"/>
        <v>7.3092736409319345E-4</v>
      </c>
      <c r="U61">
        <f t="shared" si="25"/>
        <v>-3.3948520998494804E-2</v>
      </c>
      <c r="V61">
        <f t="shared" si="26"/>
        <v>1.6300000000000002E-2</v>
      </c>
      <c r="W61">
        <v>0.1</v>
      </c>
      <c r="X61">
        <f t="shared" si="27"/>
        <v>0.16300000000000001</v>
      </c>
      <c r="Y61">
        <v>4</v>
      </c>
      <c r="Z61">
        <v>3</v>
      </c>
      <c r="AA61" t="s">
        <v>27</v>
      </c>
      <c r="AB61">
        <f t="shared" si="28"/>
        <v>24</v>
      </c>
      <c r="AC61">
        <f t="shared" si="8"/>
        <v>32</v>
      </c>
      <c r="AE61">
        <v>2</v>
      </c>
      <c r="AF61">
        <v>2</v>
      </c>
      <c r="AG61">
        <v>2</v>
      </c>
      <c r="AH61">
        <f t="shared" si="29"/>
        <v>7.1554175279993295</v>
      </c>
      <c r="AI61">
        <f t="shared" si="9"/>
        <v>57.243340223994636</v>
      </c>
    </row>
    <row r="62" spans="1:36" x14ac:dyDescent="0.3">
      <c r="A62">
        <v>2020</v>
      </c>
      <c r="B62" t="s">
        <v>179</v>
      </c>
      <c r="C62" t="s">
        <v>180</v>
      </c>
      <c r="D62" t="s">
        <v>181</v>
      </c>
      <c r="E62" t="s">
        <v>182</v>
      </c>
      <c r="F62">
        <v>46</v>
      </c>
      <c r="G62" t="s">
        <v>22</v>
      </c>
      <c r="I62" t="s">
        <v>105</v>
      </c>
      <c r="J62" t="s">
        <v>106</v>
      </c>
      <c r="K62" t="s">
        <v>107</v>
      </c>
      <c r="L62">
        <v>227839</v>
      </c>
      <c r="M62">
        <v>130980</v>
      </c>
      <c r="N62">
        <v>1</v>
      </c>
      <c r="O62">
        <f t="shared" si="22"/>
        <v>6.8027210884353739E-3</v>
      </c>
      <c r="P62">
        <v>10</v>
      </c>
      <c r="Q62">
        <f t="shared" si="23"/>
        <v>6.8027210884353739E-3</v>
      </c>
      <c r="R62">
        <v>5.0000000000000001E-3</v>
      </c>
      <c r="S62">
        <f t="shared" si="30"/>
        <v>0.05</v>
      </c>
      <c r="T62">
        <f t="shared" si="24"/>
        <v>9.1365920511649181E-5</v>
      </c>
      <c r="U62">
        <f t="shared" si="25"/>
        <v>-3.3948520998494804E-2</v>
      </c>
      <c r="V62">
        <f t="shared" si="26"/>
        <v>1.6300000000000002E-2</v>
      </c>
      <c r="W62">
        <v>0.1</v>
      </c>
      <c r="X62">
        <f t="shared" si="27"/>
        <v>0.16300000000000001</v>
      </c>
      <c r="Y62">
        <v>4</v>
      </c>
      <c r="Z62">
        <v>4</v>
      </c>
      <c r="AA62" t="s">
        <v>27</v>
      </c>
      <c r="AB62">
        <f t="shared" si="28"/>
        <v>11.313708498984759</v>
      </c>
      <c r="AC62">
        <f t="shared" si="8"/>
        <v>11.313708498984759</v>
      </c>
      <c r="AE62">
        <v>2</v>
      </c>
      <c r="AF62">
        <v>3</v>
      </c>
      <c r="AG62">
        <v>3</v>
      </c>
      <c r="AH62">
        <f t="shared" si="29"/>
        <v>3.3845427837777562</v>
      </c>
      <c r="AI62">
        <f t="shared" si="9"/>
        <v>12.033929897876465</v>
      </c>
    </row>
    <row r="63" spans="1:36" x14ac:dyDescent="0.3">
      <c r="A63">
        <v>2020</v>
      </c>
      <c r="B63" t="s">
        <v>179</v>
      </c>
      <c r="C63" t="s">
        <v>180</v>
      </c>
      <c r="D63" t="s">
        <v>181</v>
      </c>
      <c r="E63" t="s">
        <v>182</v>
      </c>
      <c r="F63">
        <v>46</v>
      </c>
      <c r="G63" t="s">
        <v>22</v>
      </c>
      <c r="H63" t="s">
        <v>67</v>
      </c>
      <c r="I63" t="s">
        <v>196</v>
      </c>
      <c r="J63" t="s">
        <v>197</v>
      </c>
      <c r="K63" t="s">
        <v>198</v>
      </c>
      <c r="L63">
        <v>227050</v>
      </c>
      <c r="M63">
        <v>147008</v>
      </c>
      <c r="N63">
        <v>1</v>
      </c>
      <c r="O63">
        <f t="shared" si="22"/>
        <v>6.8027210884353739E-3</v>
      </c>
      <c r="P63">
        <v>10</v>
      </c>
      <c r="Q63">
        <f t="shared" si="23"/>
        <v>6.8027210884353739E-3</v>
      </c>
      <c r="R63">
        <v>5.0000000000000001E-3</v>
      </c>
      <c r="S63">
        <f t="shared" si="30"/>
        <v>0.05</v>
      </c>
      <c r="T63">
        <f t="shared" si="24"/>
        <v>9.1365920511649181E-5</v>
      </c>
      <c r="U63">
        <f t="shared" si="25"/>
        <v>-3.3948520998494804E-2</v>
      </c>
      <c r="V63">
        <f t="shared" si="26"/>
        <v>1.6300000000000002E-2</v>
      </c>
      <c r="W63">
        <v>0.1</v>
      </c>
      <c r="X63">
        <f t="shared" si="27"/>
        <v>0.16300000000000001</v>
      </c>
      <c r="Y63">
        <v>4</v>
      </c>
      <c r="Z63">
        <v>3</v>
      </c>
      <c r="AA63" t="s">
        <v>27</v>
      </c>
      <c r="AB63">
        <f t="shared" si="28"/>
        <v>8.4852813742385695</v>
      </c>
      <c r="AC63">
        <f t="shared" si="8"/>
        <v>11.313708498984759</v>
      </c>
      <c r="AE63">
        <v>1.7</v>
      </c>
      <c r="AF63">
        <v>2</v>
      </c>
      <c r="AG63">
        <v>1</v>
      </c>
      <c r="AH63">
        <f t="shared" si="29"/>
        <v>0.63930252582468716</v>
      </c>
      <c r="AI63">
        <f t="shared" si="9"/>
        <v>12.033929897876465</v>
      </c>
    </row>
    <row r="64" spans="1:36" x14ac:dyDescent="0.3">
      <c r="A64">
        <v>2020</v>
      </c>
      <c r="B64" t="s">
        <v>179</v>
      </c>
      <c r="C64" t="s">
        <v>180</v>
      </c>
      <c r="D64" t="s">
        <v>181</v>
      </c>
      <c r="E64" t="s">
        <v>182</v>
      </c>
      <c r="F64">
        <v>46</v>
      </c>
      <c r="G64" t="s">
        <v>22</v>
      </c>
      <c r="H64" t="s">
        <v>67</v>
      </c>
      <c r="I64" t="s">
        <v>76</v>
      </c>
      <c r="J64" t="s">
        <v>77</v>
      </c>
      <c r="K64" t="s">
        <v>78</v>
      </c>
      <c r="L64">
        <v>226852</v>
      </c>
      <c r="M64">
        <v>710680</v>
      </c>
      <c r="N64">
        <v>1</v>
      </c>
      <c r="O64">
        <f t="shared" si="22"/>
        <v>6.8027210884353739E-3</v>
      </c>
      <c r="P64">
        <v>10</v>
      </c>
      <c r="Q64">
        <f t="shared" si="23"/>
        <v>6.8027210884353739E-3</v>
      </c>
      <c r="R64">
        <v>0.01</v>
      </c>
      <c r="S64">
        <f t="shared" si="30"/>
        <v>0.1</v>
      </c>
      <c r="T64">
        <f t="shared" si="24"/>
        <v>1.8273184102329836E-4</v>
      </c>
      <c r="U64">
        <f t="shared" si="25"/>
        <v>-3.3948520998494804E-2</v>
      </c>
      <c r="V64">
        <f t="shared" si="26"/>
        <v>1.6300000000000002E-2</v>
      </c>
      <c r="W64">
        <v>0.1</v>
      </c>
      <c r="X64">
        <f t="shared" si="27"/>
        <v>0.16300000000000001</v>
      </c>
      <c r="Y64">
        <v>4</v>
      </c>
      <c r="Z64">
        <v>3</v>
      </c>
      <c r="AA64" t="s">
        <v>27</v>
      </c>
      <c r="AB64">
        <f t="shared" si="28"/>
        <v>12</v>
      </c>
      <c r="AC64">
        <f t="shared" si="8"/>
        <v>16</v>
      </c>
      <c r="AE64">
        <v>1</v>
      </c>
      <c r="AF64">
        <v>2</v>
      </c>
      <c r="AG64">
        <v>1</v>
      </c>
      <c r="AH64">
        <f t="shared" si="29"/>
        <v>0.63245553203367599</v>
      </c>
      <c r="AI64">
        <f t="shared" si="9"/>
        <v>20.238577025077632</v>
      </c>
    </row>
    <row r="65" spans="1:35" x14ac:dyDescent="0.3">
      <c r="A65">
        <v>2020</v>
      </c>
      <c r="B65" t="s">
        <v>179</v>
      </c>
      <c r="C65" t="s">
        <v>180</v>
      </c>
      <c r="D65" t="s">
        <v>181</v>
      </c>
      <c r="E65" t="s">
        <v>182</v>
      </c>
      <c r="F65">
        <v>46</v>
      </c>
      <c r="G65" t="s">
        <v>22</v>
      </c>
      <c r="H65" t="s">
        <v>56</v>
      </c>
      <c r="I65" t="s">
        <v>90</v>
      </c>
      <c r="J65" t="s">
        <v>117</v>
      </c>
      <c r="K65" t="s">
        <v>118</v>
      </c>
      <c r="L65">
        <v>227496</v>
      </c>
      <c r="M65">
        <v>131573</v>
      </c>
      <c r="N65">
        <v>5</v>
      </c>
      <c r="O65">
        <f t="shared" si="22"/>
        <v>3.4013605442176874E-2</v>
      </c>
      <c r="P65">
        <v>50</v>
      </c>
      <c r="Q65">
        <f t="shared" si="23"/>
        <v>3.4013605442176874E-2</v>
      </c>
      <c r="R65">
        <v>0.04</v>
      </c>
      <c r="S65">
        <f t="shared" si="30"/>
        <v>0.4</v>
      </c>
      <c r="T65">
        <f t="shared" si="24"/>
        <v>7.3092736409319345E-4</v>
      </c>
      <c r="U65">
        <f t="shared" si="25"/>
        <v>-0.11499981885525974</v>
      </c>
      <c r="V65">
        <f t="shared" si="26"/>
        <v>1.6300000000000002E-2</v>
      </c>
      <c r="W65">
        <v>0.1</v>
      </c>
      <c r="X65">
        <f t="shared" si="27"/>
        <v>0.16300000000000001</v>
      </c>
      <c r="Y65">
        <v>3</v>
      </c>
      <c r="Z65">
        <v>1</v>
      </c>
      <c r="AA65" t="s">
        <v>93</v>
      </c>
      <c r="AB65">
        <f t="shared" si="28"/>
        <v>13.416407864998739</v>
      </c>
      <c r="AC65">
        <f t="shared" si="8"/>
        <v>71.554175279993274</v>
      </c>
      <c r="AE65">
        <v>3</v>
      </c>
      <c r="AF65">
        <v>3</v>
      </c>
      <c r="AG65">
        <v>1</v>
      </c>
      <c r="AH65">
        <f t="shared" si="29"/>
        <v>12.037325489575593</v>
      </c>
      <c r="AI65">
        <f t="shared" si="9"/>
        <v>85.598759036982003</v>
      </c>
    </row>
    <row r="66" spans="1:35" x14ac:dyDescent="0.3">
      <c r="A66">
        <v>2020</v>
      </c>
      <c r="B66" t="s">
        <v>179</v>
      </c>
      <c r="C66" t="s">
        <v>180</v>
      </c>
      <c r="D66" t="s">
        <v>181</v>
      </c>
      <c r="E66" t="s">
        <v>182</v>
      </c>
      <c r="F66">
        <v>46</v>
      </c>
      <c r="G66" t="s">
        <v>79</v>
      </c>
      <c r="H66" t="s">
        <v>80</v>
      </c>
      <c r="I66" t="s">
        <v>81</v>
      </c>
      <c r="J66" t="s">
        <v>177</v>
      </c>
      <c r="K66" t="s">
        <v>178</v>
      </c>
      <c r="L66">
        <v>218350</v>
      </c>
      <c r="M66">
        <v>141662</v>
      </c>
      <c r="N66">
        <v>1</v>
      </c>
      <c r="O66">
        <f t="shared" si="22"/>
        <v>6.8027210884353739E-3</v>
      </c>
      <c r="P66">
        <v>10</v>
      </c>
      <c r="Q66">
        <f t="shared" si="23"/>
        <v>6.8027210884353739E-3</v>
      </c>
      <c r="R66">
        <v>5.0000000000000001E-3</v>
      </c>
      <c r="S66">
        <f t="shared" si="30"/>
        <v>0.05</v>
      </c>
      <c r="T66">
        <f t="shared" si="24"/>
        <v>9.1365920511649181E-5</v>
      </c>
      <c r="U66">
        <f t="shared" si="25"/>
        <v>-3.3948520998494804E-2</v>
      </c>
      <c r="V66">
        <f t="shared" si="26"/>
        <v>1.6300000000000002E-2</v>
      </c>
      <c r="W66">
        <v>0.1</v>
      </c>
      <c r="X66">
        <f t="shared" si="27"/>
        <v>0.16300000000000001</v>
      </c>
      <c r="Y66">
        <v>3</v>
      </c>
      <c r="Z66">
        <v>2</v>
      </c>
      <c r="AA66" t="s">
        <v>93</v>
      </c>
      <c r="AB66">
        <f t="shared" si="28"/>
        <v>4.2426406871192848</v>
      </c>
      <c r="AC66">
        <f t="shared" si="8"/>
        <v>11.313708498984759</v>
      </c>
      <c r="AE66">
        <v>3</v>
      </c>
      <c r="AF66">
        <v>3</v>
      </c>
      <c r="AG66">
        <v>3</v>
      </c>
      <c r="AH66">
        <f t="shared" si="29"/>
        <v>5.0768141756666338</v>
      </c>
      <c r="AI66">
        <f t="shared" si="9"/>
        <v>12.033929897876465</v>
      </c>
    </row>
    <row r="67" spans="1:35" x14ac:dyDescent="0.3">
      <c r="A67">
        <v>2020</v>
      </c>
      <c r="B67" t="s">
        <v>179</v>
      </c>
      <c r="C67" t="s">
        <v>180</v>
      </c>
      <c r="D67" t="s">
        <v>181</v>
      </c>
      <c r="E67" t="s">
        <v>182</v>
      </c>
      <c r="F67">
        <v>46</v>
      </c>
      <c r="G67" t="s">
        <v>22</v>
      </c>
      <c r="H67" t="s">
        <v>56</v>
      </c>
      <c r="I67" t="s">
        <v>90</v>
      </c>
      <c r="J67" t="s">
        <v>201</v>
      </c>
      <c r="K67" t="s">
        <v>202</v>
      </c>
      <c r="L67">
        <v>227498</v>
      </c>
      <c r="M67">
        <v>131575</v>
      </c>
      <c r="N67">
        <v>1</v>
      </c>
      <c r="O67">
        <f t="shared" si="22"/>
        <v>6.8027210884353739E-3</v>
      </c>
      <c r="P67">
        <v>10</v>
      </c>
      <c r="Q67">
        <f t="shared" si="23"/>
        <v>6.8027210884353739E-3</v>
      </c>
      <c r="R67">
        <v>0.02</v>
      </c>
      <c r="S67">
        <f t="shared" si="30"/>
        <v>0.2</v>
      </c>
      <c r="T67">
        <f t="shared" si="24"/>
        <v>3.6546368204659673E-4</v>
      </c>
      <c r="U67">
        <f t="shared" si="25"/>
        <v>-3.3948520998494804E-2</v>
      </c>
      <c r="V67">
        <f t="shared" si="26"/>
        <v>1.6300000000000002E-2</v>
      </c>
      <c r="W67">
        <v>0.1</v>
      </c>
      <c r="X67">
        <f t="shared" si="27"/>
        <v>0.16300000000000001</v>
      </c>
      <c r="Y67">
        <v>3</v>
      </c>
      <c r="Z67">
        <v>1</v>
      </c>
      <c r="AA67" t="s">
        <v>93</v>
      </c>
      <c r="AB67">
        <f t="shared" si="28"/>
        <v>4.2426406871192848</v>
      </c>
      <c r="AC67">
        <f t="shared" ref="AC67:AC130" si="31">(SQRT(S67/P67))*P67*4*4</f>
        <v>22.627416997969519</v>
      </c>
      <c r="AE67">
        <v>3</v>
      </c>
      <c r="AF67">
        <v>3</v>
      </c>
      <c r="AG67">
        <v>1</v>
      </c>
      <c r="AH67">
        <f t="shared" si="29"/>
        <v>4.7864663072504907</v>
      </c>
      <c r="AI67">
        <f t="shared" ref="AI67:AI130" si="32">((S67/P67)^0.75)*P67*4*4*4</f>
        <v>34.037093740447936</v>
      </c>
    </row>
    <row r="68" spans="1:35" x14ac:dyDescent="0.3">
      <c r="A68">
        <v>2020</v>
      </c>
      <c r="B68" t="s">
        <v>179</v>
      </c>
      <c r="C68" t="s">
        <v>180</v>
      </c>
      <c r="D68" t="s">
        <v>181</v>
      </c>
      <c r="E68" t="s">
        <v>182</v>
      </c>
      <c r="F68">
        <v>46</v>
      </c>
      <c r="G68" t="s">
        <v>22</v>
      </c>
      <c r="H68" t="s">
        <v>56</v>
      </c>
      <c r="I68" t="s">
        <v>90</v>
      </c>
      <c r="J68" t="s">
        <v>91</v>
      </c>
      <c r="K68" t="s">
        <v>92</v>
      </c>
      <c r="L68">
        <v>227550</v>
      </c>
      <c r="M68">
        <v>131534</v>
      </c>
      <c r="N68">
        <v>2</v>
      </c>
      <c r="O68">
        <f t="shared" si="22"/>
        <v>1.3605442176870748E-2</v>
      </c>
      <c r="P68">
        <v>20</v>
      </c>
      <c r="Q68">
        <f t="shared" si="23"/>
        <v>1.3605442176870748E-2</v>
      </c>
      <c r="R68">
        <v>0.01</v>
      </c>
      <c r="S68">
        <f t="shared" si="30"/>
        <v>0.1</v>
      </c>
      <c r="T68">
        <f t="shared" si="24"/>
        <v>1.8273184102329836E-4</v>
      </c>
      <c r="U68">
        <f t="shared" si="25"/>
        <v>-5.8466468111820276E-2</v>
      </c>
      <c r="V68">
        <f t="shared" si="26"/>
        <v>1.6300000000000002E-2</v>
      </c>
      <c r="W68">
        <v>0.1</v>
      </c>
      <c r="X68">
        <f t="shared" si="27"/>
        <v>0.16300000000000001</v>
      </c>
      <c r="Y68">
        <v>3</v>
      </c>
      <c r="Z68">
        <v>1</v>
      </c>
      <c r="AA68" t="s">
        <v>93</v>
      </c>
      <c r="AB68">
        <f t="shared" si="28"/>
        <v>4.2426406871192848</v>
      </c>
      <c r="AC68">
        <f t="shared" si="31"/>
        <v>22.627416997969519</v>
      </c>
      <c r="AE68">
        <v>1</v>
      </c>
      <c r="AF68">
        <v>3</v>
      </c>
      <c r="AG68">
        <v>1</v>
      </c>
      <c r="AH68">
        <f t="shared" si="29"/>
        <v>1.1281809279259187</v>
      </c>
      <c r="AI68">
        <f t="shared" si="32"/>
        <v>24.067859795752931</v>
      </c>
    </row>
    <row r="69" spans="1:35" x14ac:dyDescent="0.3">
      <c r="A69">
        <v>2020</v>
      </c>
      <c r="B69" t="s">
        <v>179</v>
      </c>
      <c r="C69" t="s">
        <v>180</v>
      </c>
      <c r="D69" t="s">
        <v>181</v>
      </c>
      <c r="E69" t="s">
        <v>182</v>
      </c>
      <c r="F69">
        <v>46</v>
      </c>
      <c r="G69" t="s">
        <v>45</v>
      </c>
      <c r="H69" t="s">
        <v>186</v>
      </c>
      <c r="I69" t="s">
        <v>187</v>
      </c>
      <c r="J69" t="s">
        <v>188</v>
      </c>
      <c r="K69" t="s">
        <v>189</v>
      </c>
      <c r="L69">
        <v>218127</v>
      </c>
      <c r="M69">
        <v>138804</v>
      </c>
      <c r="N69">
        <v>1</v>
      </c>
      <c r="O69">
        <f t="shared" si="22"/>
        <v>6.8027210884353739E-3</v>
      </c>
      <c r="P69">
        <v>10</v>
      </c>
      <c r="Q69">
        <f t="shared" si="23"/>
        <v>6.8027210884353739E-3</v>
      </c>
      <c r="R69">
        <v>0.02</v>
      </c>
      <c r="S69">
        <f t="shared" si="30"/>
        <v>0.2</v>
      </c>
      <c r="T69">
        <f t="shared" si="24"/>
        <v>3.6546368204659673E-4</v>
      </c>
      <c r="U69">
        <f t="shared" si="25"/>
        <v>-3.3948520998494804E-2</v>
      </c>
      <c r="V69">
        <f t="shared" si="26"/>
        <v>1.6300000000000002E-2</v>
      </c>
      <c r="W69">
        <v>0.1</v>
      </c>
      <c r="X69">
        <f t="shared" si="27"/>
        <v>0.16300000000000001</v>
      </c>
      <c r="Y69">
        <v>1</v>
      </c>
      <c r="Z69">
        <v>2</v>
      </c>
      <c r="AA69" t="s">
        <v>66</v>
      </c>
      <c r="AB69">
        <f t="shared" si="28"/>
        <v>2.8284271247461898</v>
      </c>
      <c r="AC69">
        <f t="shared" si="31"/>
        <v>22.627416997969519</v>
      </c>
      <c r="AE69">
        <v>1</v>
      </c>
      <c r="AF69">
        <v>2</v>
      </c>
      <c r="AG69">
        <v>1</v>
      </c>
      <c r="AH69">
        <f t="shared" si="29"/>
        <v>1.063659179388998</v>
      </c>
      <c r="AI69">
        <f t="shared" si="32"/>
        <v>34.037093740447936</v>
      </c>
    </row>
    <row r="70" spans="1:35" x14ac:dyDescent="0.3">
      <c r="A70">
        <v>2020</v>
      </c>
      <c r="B70" t="s">
        <v>179</v>
      </c>
      <c r="C70" t="s">
        <v>180</v>
      </c>
      <c r="D70" t="s">
        <v>181</v>
      </c>
      <c r="E70" t="s">
        <v>182</v>
      </c>
      <c r="F70">
        <v>46</v>
      </c>
      <c r="G70" t="s">
        <v>79</v>
      </c>
      <c r="H70" t="s">
        <v>113</v>
      </c>
      <c r="I70" t="s">
        <v>114</v>
      </c>
      <c r="J70" t="s">
        <v>115</v>
      </c>
      <c r="K70" t="s">
        <v>116</v>
      </c>
      <c r="L70">
        <v>232154</v>
      </c>
      <c r="M70">
        <v>152397</v>
      </c>
      <c r="N70">
        <v>2</v>
      </c>
      <c r="O70">
        <f t="shared" si="22"/>
        <v>1.3605442176870748E-2</v>
      </c>
      <c r="P70">
        <v>20</v>
      </c>
      <c r="Q70">
        <f t="shared" si="23"/>
        <v>1.3605442176870748E-2</v>
      </c>
      <c r="R70">
        <v>0.01</v>
      </c>
      <c r="S70">
        <f t="shared" si="30"/>
        <v>0.1</v>
      </c>
      <c r="T70">
        <f t="shared" si="24"/>
        <v>1.8273184102329836E-4</v>
      </c>
      <c r="U70">
        <f t="shared" si="25"/>
        <v>-5.8466468111820276E-2</v>
      </c>
      <c r="V70">
        <f t="shared" si="26"/>
        <v>1.6300000000000002E-2</v>
      </c>
      <c r="W70">
        <v>0.1</v>
      </c>
      <c r="X70">
        <f t="shared" si="27"/>
        <v>0.16300000000000001</v>
      </c>
      <c r="Y70">
        <v>2</v>
      </c>
      <c r="Z70">
        <v>2</v>
      </c>
      <c r="AA70" t="s">
        <v>50</v>
      </c>
      <c r="AB70">
        <f t="shared" si="28"/>
        <v>5.6568542494923797</v>
      </c>
      <c r="AC70">
        <f t="shared" si="31"/>
        <v>22.627416997969519</v>
      </c>
      <c r="AE70">
        <v>3</v>
      </c>
      <c r="AF70">
        <v>4</v>
      </c>
      <c r="AG70">
        <v>4</v>
      </c>
      <c r="AH70">
        <f t="shared" si="29"/>
        <v>18.0508948468147</v>
      </c>
      <c r="AI70">
        <f t="shared" si="32"/>
        <v>24.067859795752931</v>
      </c>
    </row>
    <row r="71" spans="1:35" x14ac:dyDescent="0.3">
      <c r="A71">
        <v>2020</v>
      </c>
      <c r="B71" t="s">
        <v>179</v>
      </c>
      <c r="C71" t="s">
        <v>180</v>
      </c>
      <c r="D71" t="s">
        <v>181</v>
      </c>
      <c r="E71" t="s">
        <v>182</v>
      </c>
      <c r="F71">
        <v>46</v>
      </c>
      <c r="G71" t="s">
        <v>79</v>
      </c>
      <c r="H71" t="s">
        <v>113</v>
      </c>
      <c r="I71" t="s">
        <v>114</v>
      </c>
      <c r="J71" t="s">
        <v>191</v>
      </c>
      <c r="K71" t="s">
        <v>192</v>
      </c>
      <c r="L71">
        <v>218286</v>
      </c>
      <c r="M71">
        <v>345281</v>
      </c>
      <c r="N71">
        <v>1</v>
      </c>
      <c r="O71">
        <f t="shared" si="22"/>
        <v>6.8027210884353739E-3</v>
      </c>
      <c r="P71">
        <v>10</v>
      </c>
      <c r="Q71">
        <f t="shared" si="23"/>
        <v>6.8027210884353739E-3</v>
      </c>
      <c r="R71">
        <v>5.0000000000000001E-3</v>
      </c>
      <c r="S71">
        <f t="shared" si="30"/>
        <v>0.05</v>
      </c>
      <c r="T71">
        <f t="shared" si="24"/>
        <v>9.1365920511649181E-5</v>
      </c>
      <c r="U71">
        <f t="shared" si="25"/>
        <v>-3.3948520998494804E-2</v>
      </c>
      <c r="V71">
        <f t="shared" si="26"/>
        <v>1.6300000000000002E-2</v>
      </c>
      <c r="W71">
        <v>0.1</v>
      </c>
      <c r="X71">
        <f t="shared" si="27"/>
        <v>0.16300000000000001</v>
      </c>
      <c r="Y71">
        <v>2</v>
      </c>
      <c r="Z71">
        <v>2</v>
      </c>
      <c r="AA71" t="s">
        <v>50</v>
      </c>
      <c r="AB71">
        <f t="shared" si="28"/>
        <v>2.8284271247461898</v>
      </c>
      <c r="AC71">
        <f t="shared" si="31"/>
        <v>11.313708498984759</v>
      </c>
      <c r="AE71">
        <v>2</v>
      </c>
      <c r="AF71">
        <v>4</v>
      </c>
      <c r="AG71">
        <v>3</v>
      </c>
      <c r="AH71">
        <f t="shared" si="29"/>
        <v>4.5127237117036749</v>
      </c>
      <c r="AI71">
        <f t="shared" si="32"/>
        <v>12.033929897876465</v>
      </c>
    </row>
    <row r="72" spans="1:35" x14ac:dyDescent="0.3">
      <c r="A72">
        <v>2020</v>
      </c>
      <c r="B72" t="s">
        <v>179</v>
      </c>
      <c r="C72" t="s">
        <v>180</v>
      </c>
      <c r="D72" t="s">
        <v>181</v>
      </c>
      <c r="E72" t="s">
        <v>182</v>
      </c>
      <c r="F72">
        <v>46</v>
      </c>
      <c r="G72" t="s">
        <v>45</v>
      </c>
      <c r="H72" t="s">
        <v>71</v>
      </c>
      <c r="I72" t="s">
        <v>72</v>
      </c>
      <c r="J72" t="s">
        <v>73</v>
      </c>
      <c r="K72" t="s">
        <v>74</v>
      </c>
      <c r="L72">
        <v>217978</v>
      </c>
      <c r="M72">
        <v>140129</v>
      </c>
      <c r="N72">
        <v>9</v>
      </c>
      <c r="O72">
        <f t="shared" si="22"/>
        <v>6.1224489795918366E-2</v>
      </c>
      <c r="P72">
        <v>90</v>
      </c>
      <c r="Q72">
        <f t="shared" si="23"/>
        <v>6.1224489795918366E-2</v>
      </c>
      <c r="R72">
        <v>0.02</v>
      </c>
      <c r="S72">
        <f t="shared" si="30"/>
        <v>0.2</v>
      </c>
      <c r="T72">
        <f t="shared" si="24"/>
        <v>3.6546368204659673E-4</v>
      </c>
      <c r="U72">
        <f t="shared" si="25"/>
        <v>-0.17101273527199082</v>
      </c>
      <c r="V72">
        <f t="shared" si="26"/>
        <v>1.6300000000000002E-2</v>
      </c>
      <c r="W72">
        <v>0.1</v>
      </c>
      <c r="X72">
        <f t="shared" si="27"/>
        <v>0.16300000000000001</v>
      </c>
      <c r="Y72">
        <v>2</v>
      </c>
      <c r="Z72">
        <v>3</v>
      </c>
      <c r="AA72" t="s">
        <v>50</v>
      </c>
      <c r="AB72">
        <f t="shared" si="28"/>
        <v>25.45584412271571</v>
      </c>
      <c r="AC72">
        <f t="shared" si="31"/>
        <v>67.882250993908556</v>
      </c>
      <c r="AE72">
        <v>1</v>
      </c>
      <c r="AF72">
        <v>3</v>
      </c>
      <c r="AG72">
        <v>1</v>
      </c>
      <c r="AH72">
        <f t="shared" si="29"/>
        <v>2.7634676109581435</v>
      </c>
      <c r="AI72">
        <f t="shared" si="32"/>
        <v>58.953975700440395</v>
      </c>
    </row>
    <row r="73" spans="1:35" x14ac:dyDescent="0.3">
      <c r="A73">
        <v>2020</v>
      </c>
      <c r="B73" t="s">
        <v>179</v>
      </c>
      <c r="C73" t="s">
        <v>180</v>
      </c>
      <c r="D73" t="s">
        <v>181</v>
      </c>
      <c r="E73" t="s">
        <v>182</v>
      </c>
      <c r="F73">
        <v>46</v>
      </c>
      <c r="G73" t="s">
        <v>79</v>
      </c>
      <c r="H73" t="s">
        <v>113</v>
      </c>
      <c r="I73" t="s">
        <v>123</v>
      </c>
      <c r="J73" t="s">
        <v>124</v>
      </c>
      <c r="K73" t="s">
        <v>125</v>
      </c>
      <c r="L73">
        <v>218310</v>
      </c>
      <c r="M73">
        <v>141435</v>
      </c>
      <c r="N73">
        <v>2</v>
      </c>
      <c r="O73">
        <f t="shared" si="22"/>
        <v>1.3605442176870748E-2</v>
      </c>
      <c r="P73">
        <v>20</v>
      </c>
      <c r="Q73">
        <f t="shared" si="23"/>
        <v>1.3605442176870748E-2</v>
      </c>
      <c r="R73">
        <v>0.05</v>
      </c>
      <c r="S73">
        <f t="shared" si="30"/>
        <v>0.5</v>
      </c>
      <c r="T73">
        <f t="shared" si="24"/>
        <v>9.1365920511649176E-4</v>
      </c>
      <c r="U73">
        <f t="shared" si="25"/>
        <v>-5.8466468111820276E-2</v>
      </c>
      <c r="V73">
        <f t="shared" si="26"/>
        <v>1.6300000000000002E-2</v>
      </c>
      <c r="W73">
        <v>0.1</v>
      </c>
      <c r="X73">
        <f t="shared" si="27"/>
        <v>0.16300000000000001</v>
      </c>
      <c r="Y73">
        <v>2</v>
      </c>
      <c r="Z73">
        <v>2</v>
      </c>
      <c r="AA73" t="s">
        <v>50</v>
      </c>
      <c r="AB73">
        <f t="shared" si="28"/>
        <v>12.649110640673518</v>
      </c>
      <c r="AC73">
        <f t="shared" si="31"/>
        <v>50.596442562694072</v>
      </c>
      <c r="AE73">
        <v>1</v>
      </c>
      <c r="AF73">
        <v>1</v>
      </c>
      <c r="AG73">
        <v>2</v>
      </c>
      <c r="AH73">
        <f t="shared" si="29"/>
        <v>2.5148668593658705</v>
      </c>
      <c r="AI73">
        <f t="shared" si="32"/>
        <v>80.475739499707856</v>
      </c>
    </row>
    <row r="74" spans="1:35" x14ac:dyDescent="0.3">
      <c r="A74">
        <v>2020</v>
      </c>
      <c r="B74" t="s">
        <v>179</v>
      </c>
      <c r="C74" t="s">
        <v>180</v>
      </c>
      <c r="D74" t="s">
        <v>181</v>
      </c>
      <c r="E74" t="s">
        <v>182</v>
      </c>
      <c r="F74">
        <v>46</v>
      </c>
      <c r="G74" t="s">
        <v>79</v>
      </c>
      <c r="H74" t="s">
        <v>80</v>
      </c>
      <c r="I74" t="s">
        <v>81</v>
      </c>
      <c r="J74" t="s">
        <v>82</v>
      </c>
      <c r="K74" t="s">
        <v>83</v>
      </c>
      <c r="L74">
        <v>218348</v>
      </c>
      <c r="M74">
        <v>954693</v>
      </c>
      <c r="N74">
        <v>1</v>
      </c>
      <c r="O74">
        <f t="shared" si="22"/>
        <v>6.8027210884353739E-3</v>
      </c>
      <c r="P74">
        <v>10</v>
      </c>
      <c r="Q74">
        <f t="shared" si="23"/>
        <v>6.8027210884353739E-3</v>
      </c>
      <c r="R74">
        <v>5.0000000000000001E-3</v>
      </c>
      <c r="S74">
        <f t="shared" si="30"/>
        <v>0.05</v>
      </c>
      <c r="T74">
        <f t="shared" si="24"/>
        <v>9.1365920511649181E-5</v>
      </c>
      <c r="U74">
        <f t="shared" si="25"/>
        <v>-3.3948520998494804E-2</v>
      </c>
      <c r="V74">
        <f t="shared" si="26"/>
        <v>1.6300000000000002E-2</v>
      </c>
      <c r="W74">
        <v>0.1</v>
      </c>
      <c r="X74">
        <f t="shared" si="27"/>
        <v>0.16300000000000001</v>
      </c>
      <c r="Y74">
        <v>2</v>
      </c>
      <c r="Z74">
        <v>2</v>
      </c>
      <c r="AA74" t="s">
        <v>50</v>
      </c>
      <c r="AB74">
        <f t="shared" si="28"/>
        <v>2.8284271247461898</v>
      </c>
      <c r="AC74">
        <f t="shared" si="31"/>
        <v>11.313708498984759</v>
      </c>
      <c r="AE74">
        <v>2.5</v>
      </c>
      <c r="AF74">
        <v>2</v>
      </c>
      <c r="AG74">
        <v>2.5</v>
      </c>
      <c r="AH74">
        <f t="shared" si="29"/>
        <v>2.350376933178997</v>
      </c>
      <c r="AI74">
        <f t="shared" si="32"/>
        <v>12.033929897876465</v>
      </c>
    </row>
    <row r="75" spans="1:35" x14ac:dyDescent="0.3">
      <c r="A75">
        <v>2020</v>
      </c>
      <c r="B75" t="s">
        <v>179</v>
      </c>
      <c r="C75" t="s">
        <v>180</v>
      </c>
      <c r="D75" t="s">
        <v>181</v>
      </c>
      <c r="E75" t="s">
        <v>182</v>
      </c>
      <c r="F75">
        <v>46</v>
      </c>
      <c r="G75" t="s">
        <v>51</v>
      </c>
      <c r="H75" t="s">
        <v>52</v>
      </c>
      <c r="I75" t="s">
        <v>193</v>
      </c>
      <c r="J75" t="s">
        <v>194</v>
      </c>
      <c r="K75" t="s">
        <v>195</v>
      </c>
      <c r="L75">
        <v>233526</v>
      </c>
      <c r="M75" t="s">
        <v>112</v>
      </c>
      <c r="N75">
        <v>1</v>
      </c>
      <c r="O75">
        <f t="shared" si="22"/>
        <v>6.8027210884353739E-3</v>
      </c>
      <c r="P75">
        <v>10</v>
      </c>
      <c r="Q75">
        <f t="shared" si="23"/>
        <v>6.8027210884353739E-3</v>
      </c>
      <c r="R75">
        <v>5.0000000000000001E-3</v>
      </c>
      <c r="S75">
        <f t="shared" si="30"/>
        <v>0.05</v>
      </c>
      <c r="T75">
        <f t="shared" si="24"/>
        <v>9.1365920511649181E-5</v>
      </c>
      <c r="U75">
        <f t="shared" si="25"/>
        <v>-3.3948520998494804E-2</v>
      </c>
      <c r="V75">
        <f t="shared" si="26"/>
        <v>1.6300000000000002E-2</v>
      </c>
      <c r="W75">
        <v>0.1</v>
      </c>
      <c r="X75">
        <f t="shared" si="27"/>
        <v>0.16300000000000001</v>
      </c>
      <c r="Y75">
        <v>2</v>
      </c>
      <c r="Z75">
        <v>3</v>
      </c>
      <c r="AA75" t="s">
        <v>50</v>
      </c>
      <c r="AB75">
        <f t="shared" si="28"/>
        <v>4.2426406871192848</v>
      </c>
      <c r="AC75">
        <f t="shared" si="31"/>
        <v>11.313708498984759</v>
      </c>
      <c r="AE75">
        <v>1</v>
      </c>
      <c r="AF75">
        <v>2.67</v>
      </c>
      <c r="AG75">
        <v>1.5</v>
      </c>
      <c r="AH75">
        <f t="shared" si="29"/>
        <v>0.75306076939055067</v>
      </c>
      <c r="AI75">
        <f t="shared" si="32"/>
        <v>12.033929897876465</v>
      </c>
    </row>
    <row r="76" spans="1:35" x14ac:dyDescent="0.3">
      <c r="A76">
        <v>2020</v>
      </c>
      <c r="B76" t="s">
        <v>179</v>
      </c>
      <c r="C76" t="s">
        <v>180</v>
      </c>
      <c r="D76" t="s">
        <v>181</v>
      </c>
      <c r="E76" t="s">
        <v>182</v>
      </c>
      <c r="F76">
        <v>46</v>
      </c>
      <c r="G76" t="s">
        <v>22</v>
      </c>
      <c r="H76" t="s">
        <v>67</v>
      </c>
      <c r="I76" t="s">
        <v>84</v>
      </c>
      <c r="J76" t="s">
        <v>85</v>
      </c>
      <c r="K76" t="s">
        <v>199</v>
      </c>
      <c r="L76">
        <v>227130</v>
      </c>
      <c r="M76">
        <v>130599</v>
      </c>
      <c r="N76">
        <v>2</v>
      </c>
      <c r="O76">
        <f t="shared" si="22"/>
        <v>1.3605442176870748E-2</v>
      </c>
      <c r="P76">
        <v>20</v>
      </c>
      <c r="Q76">
        <f t="shared" si="23"/>
        <v>1.3605442176870748E-2</v>
      </c>
      <c r="R76">
        <v>0.01</v>
      </c>
      <c r="S76">
        <f t="shared" si="30"/>
        <v>0.1</v>
      </c>
      <c r="T76">
        <f t="shared" si="24"/>
        <v>1.8273184102329836E-4</v>
      </c>
      <c r="U76">
        <f t="shared" si="25"/>
        <v>-5.8466468111820276E-2</v>
      </c>
      <c r="V76">
        <f t="shared" si="26"/>
        <v>1.6300000000000002E-2</v>
      </c>
      <c r="W76">
        <v>0.1</v>
      </c>
      <c r="X76">
        <f t="shared" si="27"/>
        <v>0.16300000000000001</v>
      </c>
      <c r="Y76">
        <v>2</v>
      </c>
      <c r="Z76">
        <v>2</v>
      </c>
      <c r="AA76" t="s">
        <v>50</v>
      </c>
      <c r="AB76">
        <f t="shared" si="28"/>
        <v>5.6568542494923797</v>
      </c>
      <c r="AC76">
        <f t="shared" si="31"/>
        <v>22.627416997969519</v>
      </c>
      <c r="AE76">
        <v>1</v>
      </c>
      <c r="AF76">
        <v>2</v>
      </c>
      <c r="AG76">
        <v>1</v>
      </c>
      <c r="AH76">
        <f t="shared" si="29"/>
        <v>0.75212061861727908</v>
      </c>
      <c r="AI76">
        <f t="shared" si="32"/>
        <v>24.067859795752931</v>
      </c>
    </row>
    <row r="77" spans="1:35" x14ac:dyDescent="0.3">
      <c r="A77">
        <v>2020</v>
      </c>
      <c r="B77" t="s">
        <v>179</v>
      </c>
      <c r="C77" t="s">
        <v>180</v>
      </c>
      <c r="D77" t="s">
        <v>181</v>
      </c>
      <c r="E77" t="s">
        <v>182</v>
      </c>
      <c r="F77">
        <v>46</v>
      </c>
      <c r="G77" t="s">
        <v>22</v>
      </c>
      <c r="H77" t="s">
        <v>67</v>
      </c>
      <c r="I77" t="s">
        <v>84</v>
      </c>
      <c r="J77" t="s">
        <v>85</v>
      </c>
      <c r="K77" t="s">
        <v>86</v>
      </c>
      <c r="L77">
        <v>227135</v>
      </c>
      <c r="M77">
        <v>130604</v>
      </c>
      <c r="N77">
        <v>1</v>
      </c>
      <c r="O77">
        <f t="shared" si="22"/>
        <v>6.8027210884353739E-3</v>
      </c>
      <c r="P77">
        <v>10</v>
      </c>
      <c r="Q77">
        <f t="shared" si="23"/>
        <v>6.8027210884353739E-3</v>
      </c>
      <c r="R77">
        <v>0.01</v>
      </c>
      <c r="S77">
        <f t="shared" si="30"/>
        <v>0.1</v>
      </c>
      <c r="T77">
        <f t="shared" si="24"/>
        <v>1.8273184102329836E-4</v>
      </c>
      <c r="U77">
        <f t="shared" si="25"/>
        <v>-3.3948520998494804E-2</v>
      </c>
      <c r="V77">
        <f t="shared" si="26"/>
        <v>1.6300000000000002E-2</v>
      </c>
      <c r="W77">
        <v>0.1</v>
      </c>
      <c r="X77">
        <f t="shared" si="27"/>
        <v>0.16300000000000001</v>
      </c>
      <c r="Y77">
        <v>2</v>
      </c>
      <c r="Z77">
        <v>2</v>
      </c>
      <c r="AA77" t="s">
        <v>50</v>
      </c>
      <c r="AB77">
        <f t="shared" si="28"/>
        <v>4</v>
      </c>
      <c r="AC77">
        <f t="shared" si="31"/>
        <v>16</v>
      </c>
      <c r="AE77">
        <v>1</v>
      </c>
      <c r="AF77">
        <v>2</v>
      </c>
      <c r="AG77">
        <v>1</v>
      </c>
      <c r="AH77">
        <f t="shared" si="29"/>
        <v>0.63245553203367599</v>
      </c>
      <c r="AI77">
        <f t="shared" si="32"/>
        <v>20.238577025077632</v>
      </c>
    </row>
    <row r="78" spans="1:35" x14ac:dyDescent="0.3">
      <c r="A78">
        <v>2020</v>
      </c>
      <c r="B78" t="s">
        <v>179</v>
      </c>
      <c r="C78" t="s">
        <v>180</v>
      </c>
      <c r="D78" t="s">
        <v>181</v>
      </c>
      <c r="E78" t="s">
        <v>182</v>
      </c>
      <c r="F78">
        <v>46</v>
      </c>
      <c r="G78" t="s">
        <v>22</v>
      </c>
      <c r="I78" t="s">
        <v>102</v>
      </c>
      <c r="J78" t="s">
        <v>103</v>
      </c>
      <c r="K78" t="s">
        <v>104</v>
      </c>
      <c r="L78">
        <v>227806</v>
      </c>
      <c r="M78">
        <v>130331</v>
      </c>
      <c r="N78">
        <v>3</v>
      </c>
      <c r="O78">
        <f t="shared" si="22"/>
        <v>2.0408163265306121E-2</v>
      </c>
      <c r="P78">
        <v>30</v>
      </c>
      <c r="Q78">
        <f t="shared" si="23"/>
        <v>2.0408163265306121E-2</v>
      </c>
      <c r="R78">
        <v>1</v>
      </c>
      <c r="S78">
        <f t="shared" si="30"/>
        <v>10</v>
      </c>
      <c r="T78">
        <f t="shared" si="24"/>
        <v>1.8273184102329833E-2</v>
      </c>
      <c r="U78">
        <f t="shared" si="25"/>
        <v>-7.9424904043074007E-2</v>
      </c>
      <c r="V78">
        <f t="shared" si="26"/>
        <v>1.6300000000000002E-2</v>
      </c>
      <c r="W78">
        <v>0.1</v>
      </c>
      <c r="X78">
        <f t="shared" si="27"/>
        <v>0.16300000000000001</v>
      </c>
      <c r="Y78">
        <v>3</v>
      </c>
      <c r="Z78">
        <v>1</v>
      </c>
      <c r="AA78" t="s">
        <v>60</v>
      </c>
      <c r="AB78">
        <f t="shared" si="28"/>
        <v>51.961524227066313</v>
      </c>
      <c r="AC78">
        <f t="shared" si="31"/>
        <v>277.12812921102034</v>
      </c>
      <c r="AE78">
        <v>3</v>
      </c>
      <c r="AF78">
        <v>4</v>
      </c>
      <c r="AG78">
        <v>2.71</v>
      </c>
      <c r="AH78">
        <f t="shared" si="29"/>
        <v>427.98726901215053</v>
      </c>
      <c r="AI78">
        <f t="shared" si="32"/>
        <v>842.28736828959518</v>
      </c>
    </row>
    <row r="79" spans="1:35" x14ac:dyDescent="0.3">
      <c r="A79">
        <v>2020</v>
      </c>
      <c r="B79" t="s">
        <v>179</v>
      </c>
      <c r="C79" t="s">
        <v>180</v>
      </c>
      <c r="D79" t="s">
        <v>181</v>
      </c>
      <c r="E79" t="s">
        <v>182</v>
      </c>
      <c r="F79">
        <v>46</v>
      </c>
      <c r="G79" t="s">
        <v>22</v>
      </c>
      <c r="H79" t="s">
        <v>56</v>
      </c>
      <c r="I79" t="s">
        <v>57</v>
      </c>
      <c r="J79" t="s">
        <v>58</v>
      </c>
      <c r="K79" t="s">
        <v>59</v>
      </c>
      <c r="L79">
        <v>227394</v>
      </c>
      <c r="M79">
        <v>130100</v>
      </c>
      <c r="N79">
        <v>1</v>
      </c>
      <c r="O79">
        <f t="shared" si="22"/>
        <v>6.8027210884353739E-3</v>
      </c>
      <c r="P79">
        <v>10</v>
      </c>
      <c r="Q79">
        <f t="shared" si="23"/>
        <v>6.8027210884353739E-3</v>
      </c>
      <c r="R79">
        <v>0.02</v>
      </c>
      <c r="S79">
        <f t="shared" si="30"/>
        <v>0.2</v>
      </c>
      <c r="T79">
        <f t="shared" si="24"/>
        <v>3.6546368204659673E-4</v>
      </c>
      <c r="U79">
        <f t="shared" si="25"/>
        <v>-3.3948520998494804E-2</v>
      </c>
      <c r="V79">
        <f t="shared" si="26"/>
        <v>1.6300000000000002E-2</v>
      </c>
      <c r="W79">
        <v>0.1</v>
      </c>
      <c r="X79">
        <f t="shared" si="27"/>
        <v>0.16300000000000001</v>
      </c>
      <c r="Y79">
        <v>3</v>
      </c>
      <c r="Z79">
        <v>2</v>
      </c>
      <c r="AA79" t="s">
        <v>60</v>
      </c>
      <c r="AB79">
        <f t="shared" si="28"/>
        <v>8.4852813742385695</v>
      </c>
      <c r="AC79">
        <f t="shared" si="31"/>
        <v>22.627416997969519</v>
      </c>
      <c r="AE79">
        <v>1</v>
      </c>
      <c r="AF79">
        <v>3</v>
      </c>
      <c r="AG79">
        <v>2</v>
      </c>
      <c r="AH79">
        <f t="shared" si="29"/>
        <v>3.1909775381669938</v>
      </c>
      <c r="AI79">
        <f t="shared" si="32"/>
        <v>34.037093740447936</v>
      </c>
    </row>
    <row r="80" spans="1:35" x14ac:dyDescent="0.3">
      <c r="A80">
        <v>2020</v>
      </c>
      <c r="B80" t="s">
        <v>179</v>
      </c>
      <c r="C80" t="s">
        <v>180</v>
      </c>
      <c r="D80" t="s">
        <v>181</v>
      </c>
      <c r="E80" t="s">
        <v>182</v>
      </c>
      <c r="F80">
        <v>46</v>
      </c>
      <c r="G80" t="s">
        <v>22</v>
      </c>
      <c r="H80" t="s">
        <v>56</v>
      </c>
      <c r="I80" t="s">
        <v>57</v>
      </c>
      <c r="J80" t="s">
        <v>130</v>
      </c>
      <c r="K80" t="s">
        <v>131</v>
      </c>
      <c r="L80">
        <v>227389</v>
      </c>
      <c r="M80">
        <v>130099</v>
      </c>
      <c r="N80">
        <v>3</v>
      </c>
      <c r="O80">
        <f t="shared" si="22"/>
        <v>2.0408163265306121E-2</v>
      </c>
      <c r="P80">
        <v>30</v>
      </c>
      <c r="Q80">
        <f t="shared" si="23"/>
        <v>2.0408163265306121E-2</v>
      </c>
      <c r="R80">
        <v>0.19</v>
      </c>
      <c r="S80">
        <f t="shared" si="30"/>
        <v>1.9</v>
      </c>
      <c r="T80">
        <f t="shared" si="24"/>
        <v>3.4719049794426685E-3</v>
      </c>
      <c r="U80">
        <f t="shared" si="25"/>
        <v>-7.9424904043074007E-2</v>
      </c>
      <c r="V80">
        <f t="shared" si="26"/>
        <v>1.6300000000000002E-2</v>
      </c>
      <c r="W80">
        <v>0.1</v>
      </c>
      <c r="X80">
        <f t="shared" si="27"/>
        <v>0.16300000000000001</v>
      </c>
      <c r="Y80">
        <v>3</v>
      </c>
      <c r="Z80">
        <v>2</v>
      </c>
      <c r="AA80" t="s">
        <v>100</v>
      </c>
      <c r="AB80">
        <f t="shared" si="28"/>
        <v>45.299006611624499</v>
      </c>
      <c r="AC80">
        <f t="shared" si="31"/>
        <v>120.797350964332</v>
      </c>
      <c r="AE80">
        <v>1</v>
      </c>
      <c r="AF80">
        <v>3</v>
      </c>
      <c r="AG80">
        <v>1.5</v>
      </c>
      <c r="AH80">
        <f t="shared" si="29"/>
        <v>17.043470300881864</v>
      </c>
      <c r="AI80">
        <f t="shared" si="32"/>
        <v>242.39602205698651</v>
      </c>
    </row>
    <row r="81" spans="1:36" x14ac:dyDescent="0.3">
      <c r="A81">
        <v>2020</v>
      </c>
      <c r="B81" t="s">
        <v>179</v>
      </c>
      <c r="C81" t="s">
        <v>180</v>
      </c>
      <c r="D81" t="s">
        <v>181</v>
      </c>
      <c r="E81" t="s">
        <v>182</v>
      </c>
      <c r="F81">
        <v>46</v>
      </c>
      <c r="G81" t="s">
        <v>22</v>
      </c>
      <c r="H81" t="s">
        <v>96</v>
      </c>
      <c r="I81" t="s">
        <v>97</v>
      </c>
      <c r="J81" t="s">
        <v>110</v>
      </c>
      <c r="K81" t="s">
        <v>111</v>
      </c>
      <c r="L81" t="s">
        <v>112</v>
      </c>
      <c r="M81">
        <v>157576</v>
      </c>
      <c r="N81">
        <v>1</v>
      </c>
      <c r="O81">
        <f t="shared" si="22"/>
        <v>6.8027210884353739E-3</v>
      </c>
      <c r="P81">
        <v>10</v>
      </c>
      <c r="Q81">
        <f t="shared" si="23"/>
        <v>6.8027210884353739E-3</v>
      </c>
      <c r="R81">
        <v>5.0000000000000001E-3</v>
      </c>
      <c r="S81">
        <f t="shared" si="30"/>
        <v>0.05</v>
      </c>
      <c r="T81">
        <f t="shared" si="24"/>
        <v>9.1365920511649181E-5</v>
      </c>
      <c r="U81">
        <f t="shared" si="25"/>
        <v>-3.3948520998494804E-2</v>
      </c>
      <c r="V81">
        <f t="shared" si="26"/>
        <v>1.6300000000000002E-2</v>
      </c>
      <c r="W81">
        <v>0.1</v>
      </c>
      <c r="X81">
        <f t="shared" si="27"/>
        <v>0.16300000000000001</v>
      </c>
      <c r="Y81">
        <v>3</v>
      </c>
      <c r="Z81">
        <v>1</v>
      </c>
      <c r="AA81" t="s">
        <v>100</v>
      </c>
      <c r="AB81">
        <f t="shared" si="28"/>
        <v>2.1213203435596424</v>
      </c>
      <c r="AC81">
        <f t="shared" si="31"/>
        <v>11.313708498984759</v>
      </c>
      <c r="AE81">
        <v>3</v>
      </c>
      <c r="AF81">
        <v>3</v>
      </c>
      <c r="AG81">
        <v>4</v>
      </c>
      <c r="AH81">
        <f t="shared" si="29"/>
        <v>6.7690855675555124</v>
      </c>
      <c r="AI81">
        <f t="shared" si="32"/>
        <v>12.033929897876465</v>
      </c>
    </row>
    <row r="82" spans="1:36" x14ac:dyDescent="0.3">
      <c r="A82">
        <v>2020</v>
      </c>
      <c r="B82" t="s">
        <v>179</v>
      </c>
      <c r="C82" t="s">
        <v>180</v>
      </c>
      <c r="D82" t="s">
        <v>181</v>
      </c>
      <c r="E82" t="s">
        <v>182</v>
      </c>
      <c r="F82">
        <v>46</v>
      </c>
      <c r="G82" t="s">
        <v>22</v>
      </c>
      <c r="H82" t="s">
        <v>96</v>
      </c>
      <c r="I82" t="s">
        <v>97</v>
      </c>
      <c r="J82" t="s">
        <v>98</v>
      </c>
      <c r="K82" t="s">
        <v>101</v>
      </c>
      <c r="L82">
        <v>227337</v>
      </c>
      <c r="M82">
        <v>131157</v>
      </c>
      <c r="N82">
        <v>2</v>
      </c>
      <c r="O82">
        <f t="shared" si="22"/>
        <v>1.3605442176870748E-2</v>
      </c>
      <c r="P82">
        <v>20</v>
      </c>
      <c r="Q82">
        <f t="shared" si="23"/>
        <v>1.3605442176870748E-2</v>
      </c>
      <c r="R82">
        <v>5.0000000000000001E-3</v>
      </c>
      <c r="S82">
        <f t="shared" si="30"/>
        <v>0.05</v>
      </c>
      <c r="T82">
        <f t="shared" si="24"/>
        <v>9.1365920511649181E-5</v>
      </c>
      <c r="U82">
        <f t="shared" si="25"/>
        <v>-5.8466468111820276E-2</v>
      </c>
      <c r="V82">
        <f t="shared" si="26"/>
        <v>1.6300000000000002E-2</v>
      </c>
      <c r="W82">
        <v>0.1</v>
      </c>
      <c r="X82">
        <f t="shared" si="27"/>
        <v>0.16300000000000001</v>
      </c>
      <c r="Y82">
        <v>3</v>
      </c>
      <c r="Z82">
        <v>2</v>
      </c>
      <c r="AA82" t="s">
        <v>100</v>
      </c>
      <c r="AB82">
        <f t="shared" si="28"/>
        <v>6</v>
      </c>
      <c r="AC82">
        <f t="shared" si="31"/>
        <v>16</v>
      </c>
      <c r="AE82">
        <v>2.5</v>
      </c>
      <c r="AF82">
        <v>3</v>
      </c>
      <c r="AG82">
        <v>2</v>
      </c>
      <c r="AH82">
        <f t="shared" si="29"/>
        <v>3.3541019662496847</v>
      </c>
      <c r="AI82">
        <f t="shared" si="32"/>
        <v>14.310835055998654</v>
      </c>
    </row>
    <row r="83" spans="1:36" x14ac:dyDescent="0.3">
      <c r="A83">
        <v>2020</v>
      </c>
      <c r="B83" t="s">
        <v>179</v>
      </c>
      <c r="C83" t="s">
        <v>180</v>
      </c>
      <c r="D83" t="s">
        <v>181</v>
      </c>
      <c r="E83" t="s">
        <v>182</v>
      </c>
      <c r="F83">
        <v>46</v>
      </c>
      <c r="G83" t="s">
        <v>22</v>
      </c>
      <c r="H83" t="s">
        <v>96</v>
      </c>
      <c r="I83" t="s">
        <v>97</v>
      </c>
      <c r="J83" t="s">
        <v>98</v>
      </c>
      <c r="K83" t="s">
        <v>200</v>
      </c>
      <c r="L83">
        <v>227334</v>
      </c>
      <c r="M83">
        <v>131160</v>
      </c>
      <c r="N83">
        <v>1</v>
      </c>
      <c r="O83">
        <f t="shared" si="22"/>
        <v>6.8027210884353739E-3</v>
      </c>
      <c r="P83">
        <v>10</v>
      </c>
      <c r="Q83">
        <f t="shared" si="23"/>
        <v>6.8027210884353739E-3</v>
      </c>
      <c r="R83">
        <v>5.0000000000000001E-3</v>
      </c>
      <c r="S83">
        <f t="shared" si="30"/>
        <v>0.05</v>
      </c>
      <c r="T83">
        <f t="shared" si="24"/>
        <v>9.1365920511649181E-5</v>
      </c>
      <c r="U83">
        <f t="shared" si="25"/>
        <v>-3.3948520998494804E-2</v>
      </c>
      <c r="V83">
        <f t="shared" si="26"/>
        <v>1.6300000000000002E-2</v>
      </c>
      <c r="W83">
        <v>0.1</v>
      </c>
      <c r="X83">
        <f t="shared" si="27"/>
        <v>0.16300000000000001</v>
      </c>
      <c r="Y83">
        <v>3</v>
      </c>
      <c r="Z83">
        <v>2</v>
      </c>
      <c r="AA83" t="s">
        <v>100</v>
      </c>
      <c r="AB83">
        <f t="shared" si="28"/>
        <v>4.2426406871192848</v>
      </c>
      <c r="AC83">
        <f t="shared" si="31"/>
        <v>11.313708498984759</v>
      </c>
      <c r="AE83">
        <v>2.5</v>
      </c>
      <c r="AF83">
        <v>3</v>
      </c>
      <c r="AG83">
        <v>2</v>
      </c>
      <c r="AH83">
        <f t="shared" si="29"/>
        <v>2.8204523198147964</v>
      </c>
      <c r="AI83">
        <f t="shared" si="32"/>
        <v>12.033929897876465</v>
      </c>
    </row>
    <row r="84" spans="1:36" x14ac:dyDescent="0.3">
      <c r="A84">
        <v>2020</v>
      </c>
      <c r="B84" t="s">
        <v>179</v>
      </c>
      <c r="C84" t="s">
        <v>180</v>
      </c>
      <c r="D84" t="s">
        <v>181</v>
      </c>
      <c r="E84" t="s">
        <v>182</v>
      </c>
      <c r="F84">
        <v>46</v>
      </c>
      <c r="G84" t="s">
        <v>22</v>
      </c>
      <c r="H84" t="s">
        <v>56</v>
      </c>
      <c r="I84" t="s">
        <v>153</v>
      </c>
      <c r="J84" t="s">
        <v>183</v>
      </c>
      <c r="K84" t="s">
        <v>184</v>
      </c>
      <c r="L84">
        <v>227459</v>
      </c>
      <c r="M84">
        <v>129781</v>
      </c>
      <c r="N84">
        <v>1</v>
      </c>
      <c r="O84">
        <f t="shared" si="22"/>
        <v>6.8027210884353739E-3</v>
      </c>
      <c r="P84">
        <v>10</v>
      </c>
      <c r="Q84">
        <f t="shared" si="23"/>
        <v>6.8027210884353739E-3</v>
      </c>
      <c r="R84">
        <v>0.01</v>
      </c>
      <c r="S84">
        <f t="shared" si="30"/>
        <v>0.1</v>
      </c>
      <c r="T84">
        <f t="shared" si="24"/>
        <v>1.8273184102329836E-4</v>
      </c>
      <c r="U84">
        <f t="shared" si="25"/>
        <v>-3.3948520998494804E-2</v>
      </c>
      <c r="V84">
        <f t="shared" si="26"/>
        <v>1.6300000000000002E-2</v>
      </c>
      <c r="W84">
        <v>0.1</v>
      </c>
      <c r="X84">
        <f t="shared" si="27"/>
        <v>0.16300000000000001</v>
      </c>
      <c r="Y84">
        <v>3</v>
      </c>
      <c r="Z84">
        <v>2</v>
      </c>
      <c r="AA84" t="s">
        <v>100</v>
      </c>
      <c r="AB84">
        <f t="shared" si="28"/>
        <v>6</v>
      </c>
      <c r="AC84">
        <f t="shared" si="31"/>
        <v>16</v>
      </c>
      <c r="AE84">
        <v>3</v>
      </c>
      <c r="AF84">
        <v>1</v>
      </c>
      <c r="AG84">
        <v>1</v>
      </c>
      <c r="AH84">
        <f t="shared" si="29"/>
        <v>0.94868329805051399</v>
      </c>
      <c r="AI84">
        <f t="shared" si="32"/>
        <v>20.238577025077632</v>
      </c>
    </row>
    <row r="85" spans="1:36" s="4" customFormat="1" x14ac:dyDescent="0.3">
      <c r="N85" s="4">
        <f>SUM(N58:N84)</f>
        <v>147</v>
      </c>
      <c r="O85" s="4">
        <f>SUM(O58:O84)</f>
        <v>1.0000000000000002</v>
      </c>
      <c r="P85" s="4">
        <f t="shared" ref="P85:AI85" si="33">SUM(P58:P84)</f>
        <v>1470</v>
      </c>
      <c r="Q85" s="4">
        <f t="shared" si="33"/>
        <v>1.0000000000000002</v>
      </c>
      <c r="R85" s="4">
        <f t="shared" si="33"/>
        <v>54.725000000000023</v>
      </c>
      <c r="S85" s="4">
        <f t="shared" si="33"/>
        <v>547.24999999999989</v>
      </c>
      <c r="T85" s="4">
        <f t="shared" si="33"/>
        <v>1.0000000000000004</v>
      </c>
      <c r="U85" s="4">
        <f>-SUM(U58:U84)</f>
        <v>1.721371926876198</v>
      </c>
      <c r="Y85" s="4">
        <v>4</v>
      </c>
      <c r="Z85" s="4">
        <v>4</v>
      </c>
      <c r="AB85" s="4">
        <f>SUM(AB58:AB84)</f>
        <v>6512.3058364792078</v>
      </c>
      <c r="AC85" s="4">
        <f>SUM(AC58:AC84)</f>
        <v>9088.7642706362785</v>
      </c>
      <c r="AD85" s="4">
        <f>AB85/AC85</f>
        <v>0.71652269137609614</v>
      </c>
      <c r="AE85" s="4">
        <v>4</v>
      </c>
      <c r="AF85" s="4">
        <v>4</v>
      </c>
      <c r="AG85" s="4">
        <v>4</v>
      </c>
      <c r="AH85" s="4">
        <f t="shared" si="33"/>
        <v>9781.9725503683912</v>
      </c>
      <c r="AI85" s="4">
        <f t="shared" si="33"/>
        <v>30732.950440921661</v>
      </c>
      <c r="AJ85" s="4">
        <f>AH85/AI85</f>
        <v>0.31828940632212976</v>
      </c>
    </row>
    <row r="86" spans="1:36" x14ac:dyDescent="0.3">
      <c r="A86">
        <v>2020</v>
      </c>
      <c r="B86" t="s">
        <v>203</v>
      </c>
      <c r="C86" t="s">
        <v>204</v>
      </c>
      <c r="D86" t="s">
        <v>205</v>
      </c>
      <c r="E86" t="s">
        <v>206</v>
      </c>
      <c r="F86">
        <v>34</v>
      </c>
      <c r="G86" t="s">
        <v>28</v>
      </c>
      <c r="H86" t="s">
        <v>29</v>
      </c>
      <c r="I86" t="s">
        <v>30</v>
      </c>
      <c r="J86" t="s">
        <v>31</v>
      </c>
      <c r="K86" t="s">
        <v>33</v>
      </c>
      <c r="L86">
        <v>217698</v>
      </c>
      <c r="M86">
        <v>125073</v>
      </c>
      <c r="N86">
        <v>5</v>
      </c>
      <c r="O86">
        <f t="shared" ref="O86:O112" si="34">N86/$N$113</f>
        <v>3.1055900621118012E-2</v>
      </c>
      <c r="P86">
        <v>50</v>
      </c>
      <c r="Q86">
        <f t="shared" ref="Q86:Q112" si="35">P86/$P$113</f>
        <v>3.1055900621118012E-2</v>
      </c>
      <c r="R86">
        <v>1.61</v>
      </c>
      <c r="S86">
        <f>R86*10</f>
        <v>16.100000000000001</v>
      </c>
      <c r="T86">
        <f t="shared" ref="T86:T112" si="36">S86/$S$113</f>
        <v>0.29379562043795626</v>
      </c>
      <c r="U86">
        <f t="shared" ref="U86:U112" si="37">O86*LN(O86)</f>
        <v>-0.10782504511025971</v>
      </c>
      <c r="V86">
        <f t="shared" ref="V86:V112" si="38">16.3/1000</f>
        <v>1.6300000000000002E-2</v>
      </c>
      <c r="W86">
        <v>0.1</v>
      </c>
      <c r="X86">
        <f t="shared" ref="X86:X112" si="39">V86/W86</f>
        <v>0.16300000000000001</v>
      </c>
      <c r="Y86">
        <v>4</v>
      </c>
      <c r="Z86">
        <v>3</v>
      </c>
      <c r="AA86" t="s">
        <v>27</v>
      </c>
      <c r="AB86">
        <f t="shared" ref="AB86:AB112" si="40">(SQRT(S86/P86))*P86*Z86*Y86</f>
        <v>340.47026301866657</v>
      </c>
      <c r="AC86">
        <f t="shared" si="31"/>
        <v>453.96035069155545</v>
      </c>
      <c r="AE86">
        <v>2</v>
      </c>
      <c r="AF86">
        <v>4</v>
      </c>
      <c r="AG86">
        <v>3</v>
      </c>
      <c r="AH86">
        <f t="shared" ref="AH86:AH112" si="41">((S86/P86)^0.75)*P86*AE86*AF86*AG86</f>
        <v>512.94777439893971</v>
      </c>
      <c r="AI86">
        <f t="shared" si="32"/>
        <v>1367.8607317305059</v>
      </c>
    </row>
    <row r="87" spans="1:36" x14ac:dyDescent="0.3">
      <c r="A87">
        <v>2020</v>
      </c>
      <c r="B87" t="s">
        <v>203</v>
      </c>
      <c r="C87" t="s">
        <v>204</v>
      </c>
      <c r="D87" t="s">
        <v>205</v>
      </c>
      <c r="E87" t="s">
        <v>206</v>
      </c>
      <c r="F87">
        <v>34</v>
      </c>
      <c r="G87" t="s">
        <v>51</v>
      </c>
      <c r="H87" t="s">
        <v>211</v>
      </c>
      <c r="I87" t="s">
        <v>212</v>
      </c>
      <c r="J87" t="s">
        <v>213</v>
      </c>
      <c r="K87" t="s">
        <v>214</v>
      </c>
      <c r="L87">
        <v>102830</v>
      </c>
      <c r="M87">
        <v>107729</v>
      </c>
      <c r="N87">
        <v>2</v>
      </c>
      <c r="O87">
        <f t="shared" si="34"/>
        <v>1.2422360248447204E-2</v>
      </c>
      <c r="P87">
        <v>20</v>
      </c>
      <c r="Q87">
        <f t="shared" si="35"/>
        <v>1.2422360248447204E-2</v>
      </c>
      <c r="R87">
        <v>0.08</v>
      </c>
      <c r="S87">
        <f t="shared" ref="S87:S112" si="42">R87*10</f>
        <v>0.8</v>
      </c>
      <c r="T87">
        <f t="shared" si="36"/>
        <v>1.4598540145985404E-2</v>
      </c>
      <c r="U87">
        <f t="shared" si="37"/>
        <v>-5.4512511607757982E-2</v>
      </c>
      <c r="V87">
        <f t="shared" si="38"/>
        <v>1.6300000000000002E-2</v>
      </c>
      <c r="W87">
        <v>0.1</v>
      </c>
      <c r="X87">
        <f t="shared" si="39"/>
        <v>0.16300000000000001</v>
      </c>
      <c r="Y87">
        <v>4</v>
      </c>
      <c r="Z87">
        <v>4</v>
      </c>
      <c r="AA87" t="s">
        <v>27</v>
      </c>
      <c r="AB87">
        <f t="shared" si="40"/>
        <v>64</v>
      </c>
      <c r="AC87">
        <f t="shared" si="31"/>
        <v>64</v>
      </c>
      <c r="AE87">
        <v>2</v>
      </c>
      <c r="AF87">
        <v>3</v>
      </c>
      <c r="AG87">
        <v>3</v>
      </c>
      <c r="AH87">
        <f t="shared" si="41"/>
        <v>32.199378875996985</v>
      </c>
      <c r="AI87">
        <f t="shared" si="32"/>
        <v>114.48668044798927</v>
      </c>
    </row>
    <row r="88" spans="1:36" x14ac:dyDescent="0.3">
      <c r="A88">
        <v>2020</v>
      </c>
      <c r="B88" t="s">
        <v>203</v>
      </c>
      <c r="C88" t="s">
        <v>204</v>
      </c>
      <c r="D88" t="s">
        <v>205</v>
      </c>
      <c r="E88" t="s">
        <v>206</v>
      </c>
      <c r="F88">
        <v>34</v>
      </c>
      <c r="G88" t="s">
        <v>22</v>
      </c>
      <c r="H88" t="s">
        <v>67</v>
      </c>
      <c r="I88" t="s">
        <v>224</v>
      </c>
      <c r="J88" t="s">
        <v>225</v>
      </c>
      <c r="K88" t="s">
        <v>226</v>
      </c>
      <c r="L88">
        <v>227033</v>
      </c>
      <c r="M88">
        <v>130362</v>
      </c>
      <c r="N88">
        <v>5</v>
      </c>
      <c r="O88">
        <f t="shared" si="34"/>
        <v>3.1055900621118012E-2</v>
      </c>
      <c r="P88">
        <v>50</v>
      </c>
      <c r="Q88">
        <f t="shared" si="35"/>
        <v>3.1055900621118012E-2</v>
      </c>
      <c r="R88">
        <v>0.24</v>
      </c>
      <c r="S88">
        <f t="shared" si="42"/>
        <v>2.4</v>
      </c>
      <c r="T88">
        <f t="shared" si="36"/>
        <v>4.3795620437956213E-2</v>
      </c>
      <c r="U88">
        <f t="shared" si="37"/>
        <v>-0.10782504511025971</v>
      </c>
      <c r="V88">
        <f t="shared" si="38"/>
        <v>1.6300000000000002E-2</v>
      </c>
      <c r="W88">
        <v>0.1</v>
      </c>
      <c r="X88">
        <f t="shared" si="39"/>
        <v>0.16300000000000001</v>
      </c>
      <c r="Y88">
        <v>4</v>
      </c>
      <c r="Z88">
        <v>3</v>
      </c>
      <c r="AA88" t="s">
        <v>27</v>
      </c>
      <c r="AB88">
        <f t="shared" si="40"/>
        <v>131.45341380123986</v>
      </c>
      <c r="AC88">
        <f t="shared" si="31"/>
        <v>175.27121840165316</v>
      </c>
      <c r="AE88">
        <v>3</v>
      </c>
      <c r="AF88">
        <v>2</v>
      </c>
      <c r="AG88">
        <v>1</v>
      </c>
      <c r="AH88">
        <f t="shared" si="41"/>
        <v>30.764664460528849</v>
      </c>
      <c r="AI88">
        <f t="shared" si="32"/>
        <v>328.15642091230774</v>
      </c>
    </row>
    <row r="89" spans="1:36" x14ac:dyDescent="0.3">
      <c r="A89">
        <v>2020</v>
      </c>
      <c r="B89" t="s">
        <v>203</v>
      </c>
      <c r="C89" t="s">
        <v>204</v>
      </c>
      <c r="D89" t="s">
        <v>205</v>
      </c>
      <c r="E89" t="s">
        <v>206</v>
      </c>
      <c r="F89">
        <v>34</v>
      </c>
      <c r="G89" t="s">
        <v>22</v>
      </c>
      <c r="I89" t="s">
        <v>105</v>
      </c>
      <c r="J89" t="s">
        <v>106</v>
      </c>
      <c r="K89" t="s">
        <v>107</v>
      </c>
      <c r="L89">
        <v>227839</v>
      </c>
      <c r="M89">
        <v>130980</v>
      </c>
      <c r="N89">
        <v>10</v>
      </c>
      <c r="O89">
        <f t="shared" si="34"/>
        <v>6.2111801242236024E-2</v>
      </c>
      <c r="P89">
        <v>100</v>
      </c>
      <c r="Q89">
        <f t="shared" si="35"/>
        <v>6.2111801242236024E-2</v>
      </c>
      <c r="R89">
        <v>0.04</v>
      </c>
      <c r="S89">
        <f t="shared" si="42"/>
        <v>0.4</v>
      </c>
      <c r="T89">
        <f t="shared" si="36"/>
        <v>7.2992700729927022E-3</v>
      </c>
      <c r="U89">
        <f t="shared" si="37"/>
        <v>-0.17259747030996381</v>
      </c>
      <c r="V89">
        <f t="shared" si="38"/>
        <v>1.6300000000000002E-2</v>
      </c>
      <c r="W89">
        <v>0.1</v>
      </c>
      <c r="X89">
        <f t="shared" si="39"/>
        <v>0.16300000000000001</v>
      </c>
      <c r="Y89">
        <v>4</v>
      </c>
      <c r="Z89">
        <v>4</v>
      </c>
      <c r="AA89" t="s">
        <v>27</v>
      </c>
      <c r="AB89">
        <f t="shared" si="40"/>
        <v>101.19288512538813</v>
      </c>
      <c r="AC89">
        <f t="shared" si="31"/>
        <v>101.19288512538813</v>
      </c>
      <c r="AE89">
        <v>2</v>
      </c>
      <c r="AF89">
        <v>3</v>
      </c>
      <c r="AG89">
        <v>3</v>
      </c>
      <c r="AH89">
        <f t="shared" si="41"/>
        <v>28.629746235613833</v>
      </c>
      <c r="AI89">
        <f t="shared" si="32"/>
        <v>101.79465328218251</v>
      </c>
    </row>
    <row r="90" spans="1:36" x14ac:dyDescent="0.3">
      <c r="A90">
        <v>2020</v>
      </c>
      <c r="B90" t="s">
        <v>203</v>
      </c>
      <c r="C90" t="s">
        <v>204</v>
      </c>
      <c r="D90" t="s">
        <v>205</v>
      </c>
      <c r="E90" t="s">
        <v>206</v>
      </c>
      <c r="F90">
        <v>34</v>
      </c>
      <c r="K90" t="s">
        <v>75</v>
      </c>
      <c r="L90">
        <v>5000018</v>
      </c>
      <c r="M90">
        <v>152391</v>
      </c>
      <c r="N90">
        <v>1</v>
      </c>
      <c r="O90">
        <f t="shared" si="34"/>
        <v>6.2111801242236021E-3</v>
      </c>
      <c r="P90">
        <v>10</v>
      </c>
      <c r="Q90">
        <f t="shared" si="35"/>
        <v>6.2111801242236021E-3</v>
      </c>
      <c r="R90">
        <v>5.0000000000000001E-3</v>
      </c>
      <c r="S90">
        <f t="shared" si="42"/>
        <v>0.05</v>
      </c>
      <c r="T90">
        <f t="shared" si="36"/>
        <v>9.1240875912408778E-4</v>
      </c>
      <c r="U90">
        <f t="shared" si="37"/>
        <v>-3.1561517794934553E-2</v>
      </c>
      <c r="V90">
        <f t="shared" si="38"/>
        <v>1.6300000000000002E-2</v>
      </c>
      <c r="W90">
        <v>0.1</v>
      </c>
      <c r="X90">
        <f t="shared" si="39"/>
        <v>0.16300000000000001</v>
      </c>
      <c r="Y90">
        <v>4</v>
      </c>
      <c r="Z90">
        <v>3</v>
      </c>
      <c r="AA90" t="s">
        <v>27</v>
      </c>
      <c r="AB90">
        <f t="shared" si="40"/>
        <v>8.4852813742385695</v>
      </c>
      <c r="AC90">
        <f t="shared" si="31"/>
        <v>11.313708498984759</v>
      </c>
      <c r="AE90">
        <v>2</v>
      </c>
      <c r="AF90">
        <v>2</v>
      </c>
      <c r="AG90">
        <v>2</v>
      </c>
      <c r="AH90">
        <f t="shared" si="41"/>
        <v>1.5042412372345582</v>
      </c>
      <c r="AI90">
        <f t="shared" si="32"/>
        <v>12.033929897876465</v>
      </c>
    </row>
    <row r="91" spans="1:36" x14ac:dyDescent="0.3">
      <c r="A91">
        <v>2020</v>
      </c>
      <c r="B91" t="s">
        <v>203</v>
      </c>
      <c r="C91" t="s">
        <v>204</v>
      </c>
      <c r="D91" t="s">
        <v>205</v>
      </c>
      <c r="E91" t="s">
        <v>206</v>
      </c>
      <c r="F91">
        <v>34</v>
      </c>
      <c r="G91" t="s">
        <v>22</v>
      </c>
      <c r="H91" t="s">
        <v>56</v>
      </c>
      <c r="I91" t="s">
        <v>90</v>
      </c>
      <c r="J91" t="s">
        <v>91</v>
      </c>
      <c r="K91" t="s">
        <v>92</v>
      </c>
      <c r="L91">
        <v>227550</v>
      </c>
      <c r="M91">
        <v>131534</v>
      </c>
      <c r="N91">
        <v>7</v>
      </c>
      <c r="O91">
        <f t="shared" si="34"/>
        <v>4.3478260869565216E-2</v>
      </c>
      <c r="P91">
        <v>70</v>
      </c>
      <c r="Q91">
        <f t="shared" si="35"/>
        <v>4.3478260869565216E-2</v>
      </c>
      <c r="R91">
        <v>0.76</v>
      </c>
      <c r="S91">
        <f t="shared" si="42"/>
        <v>7.6</v>
      </c>
      <c r="T91">
        <f t="shared" si="36"/>
        <v>0.13868613138686134</v>
      </c>
      <c r="U91">
        <f t="shared" si="37"/>
        <v>-0.13632583547518043</v>
      </c>
      <c r="V91">
        <f t="shared" si="38"/>
        <v>1.6300000000000002E-2</v>
      </c>
      <c r="W91">
        <v>0.1</v>
      </c>
      <c r="X91">
        <f t="shared" si="39"/>
        <v>0.16300000000000001</v>
      </c>
      <c r="Y91">
        <v>3</v>
      </c>
      <c r="Z91">
        <v>1</v>
      </c>
      <c r="AA91" t="s">
        <v>93</v>
      </c>
      <c r="AB91">
        <f t="shared" si="40"/>
        <v>69.195375568024787</v>
      </c>
      <c r="AC91">
        <f t="shared" si="31"/>
        <v>369.04200302946549</v>
      </c>
      <c r="AE91">
        <v>1</v>
      </c>
      <c r="AF91">
        <v>3</v>
      </c>
      <c r="AG91">
        <v>1</v>
      </c>
      <c r="AH91">
        <f t="shared" si="41"/>
        <v>39.719699935308739</v>
      </c>
      <c r="AI91">
        <f t="shared" si="32"/>
        <v>847.35359861991969</v>
      </c>
    </row>
    <row r="92" spans="1:36" x14ac:dyDescent="0.3">
      <c r="A92">
        <v>2020</v>
      </c>
      <c r="B92" t="s">
        <v>203</v>
      </c>
      <c r="C92" t="s">
        <v>204</v>
      </c>
      <c r="D92" t="s">
        <v>205</v>
      </c>
      <c r="E92" t="s">
        <v>206</v>
      </c>
      <c r="F92">
        <v>34</v>
      </c>
      <c r="G92" t="s">
        <v>22</v>
      </c>
      <c r="H92" t="s">
        <v>56</v>
      </c>
      <c r="I92" t="s">
        <v>90</v>
      </c>
      <c r="J92" t="s">
        <v>201</v>
      </c>
      <c r="K92" t="s">
        <v>202</v>
      </c>
      <c r="L92">
        <v>227498</v>
      </c>
      <c r="M92">
        <v>131575</v>
      </c>
      <c r="N92">
        <v>7</v>
      </c>
      <c r="O92">
        <f t="shared" si="34"/>
        <v>4.3478260869565216E-2</v>
      </c>
      <c r="P92">
        <v>70</v>
      </c>
      <c r="Q92">
        <f t="shared" si="35"/>
        <v>4.3478260869565216E-2</v>
      </c>
      <c r="R92">
        <v>0.11</v>
      </c>
      <c r="S92">
        <f t="shared" si="42"/>
        <v>1.1000000000000001</v>
      </c>
      <c r="T92">
        <f t="shared" si="36"/>
        <v>2.0072992700729934E-2</v>
      </c>
      <c r="U92">
        <f t="shared" si="37"/>
        <v>-0.13632583547518043</v>
      </c>
      <c r="V92">
        <f t="shared" si="38"/>
        <v>1.6300000000000002E-2</v>
      </c>
      <c r="W92">
        <v>0.1</v>
      </c>
      <c r="X92">
        <f t="shared" si="39"/>
        <v>0.16300000000000001</v>
      </c>
      <c r="Y92">
        <v>3</v>
      </c>
      <c r="Z92">
        <v>1</v>
      </c>
      <c r="AA92" t="s">
        <v>93</v>
      </c>
      <c r="AB92">
        <f t="shared" si="40"/>
        <v>26.324893162176366</v>
      </c>
      <c r="AC92">
        <f t="shared" si="31"/>
        <v>140.39943019827396</v>
      </c>
      <c r="AE92">
        <v>3</v>
      </c>
      <c r="AF92">
        <v>3</v>
      </c>
      <c r="AG92">
        <v>1</v>
      </c>
      <c r="AH92">
        <f t="shared" si="41"/>
        <v>27.961568749207157</v>
      </c>
      <c r="AI92">
        <f t="shared" si="32"/>
        <v>198.83782221658424</v>
      </c>
    </row>
    <row r="93" spans="1:36" x14ac:dyDescent="0.3">
      <c r="A93">
        <v>2020</v>
      </c>
      <c r="B93" t="s">
        <v>203</v>
      </c>
      <c r="C93" t="s">
        <v>204</v>
      </c>
      <c r="D93" t="s">
        <v>205</v>
      </c>
      <c r="E93" t="s">
        <v>206</v>
      </c>
      <c r="F93">
        <v>34</v>
      </c>
      <c r="G93" t="s">
        <v>51</v>
      </c>
      <c r="H93" t="s">
        <v>211</v>
      </c>
      <c r="I93" t="s">
        <v>236</v>
      </c>
      <c r="J93" t="s">
        <v>237</v>
      </c>
      <c r="K93" t="s">
        <v>238</v>
      </c>
      <c r="L93">
        <v>217832</v>
      </c>
      <c r="M93">
        <v>108344</v>
      </c>
      <c r="N93">
        <v>3</v>
      </c>
      <c r="O93">
        <f t="shared" si="34"/>
        <v>1.8633540372670808E-2</v>
      </c>
      <c r="P93">
        <v>30</v>
      </c>
      <c r="Q93">
        <f t="shared" si="35"/>
        <v>1.8633540372670808E-2</v>
      </c>
      <c r="R93">
        <v>0.7</v>
      </c>
      <c r="S93">
        <f t="shared" si="42"/>
        <v>7</v>
      </c>
      <c r="T93">
        <f t="shared" si="36"/>
        <v>0.12773722627737227</v>
      </c>
      <c r="U93">
        <f t="shared" si="37"/>
        <v>-7.421351694999416E-2</v>
      </c>
      <c r="V93">
        <f t="shared" si="38"/>
        <v>1.6300000000000002E-2</v>
      </c>
      <c r="W93">
        <v>0.1</v>
      </c>
      <c r="X93">
        <f t="shared" si="39"/>
        <v>0.16300000000000001</v>
      </c>
      <c r="Y93">
        <v>1</v>
      </c>
      <c r="Z93">
        <v>4</v>
      </c>
      <c r="AA93" t="s">
        <v>66</v>
      </c>
      <c r="AB93">
        <f t="shared" si="40"/>
        <v>57.965506984757752</v>
      </c>
      <c r="AC93">
        <f t="shared" si="31"/>
        <v>231.86202793903101</v>
      </c>
      <c r="AE93">
        <v>1</v>
      </c>
      <c r="AF93">
        <v>2</v>
      </c>
      <c r="AG93">
        <v>1</v>
      </c>
      <c r="AH93">
        <f t="shared" si="41"/>
        <v>20.143449279934764</v>
      </c>
      <c r="AI93">
        <f t="shared" si="32"/>
        <v>644.59037695791244</v>
      </c>
    </row>
    <row r="94" spans="1:36" x14ac:dyDescent="0.3">
      <c r="A94">
        <v>2020</v>
      </c>
      <c r="B94" t="s">
        <v>203</v>
      </c>
      <c r="C94" t="s">
        <v>204</v>
      </c>
      <c r="D94" t="s">
        <v>205</v>
      </c>
      <c r="E94" t="s">
        <v>206</v>
      </c>
      <c r="F94">
        <v>34</v>
      </c>
      <c r="G94" t="s">
        <v>22</v>
      </c>
      <c r="I94" t="s">
        <v>221</v>
      </c>
      <c r="J94" t="s">
        <v>222</v>
      </c>
      <c r="K94" t="s">
        <v>223</v>
      </c>
      <c r="L94">
        <v>227385</v>
      </c>
      <c r="M94">
        <v>130270</v>
      </c>
      <c r="N94">
        <v>35</v>
      </c>
      <c r="O94">
        <f t="shared" si="34"/>
        <v>0.21739130434782608</v>
      </c>
      <c r="P94">
        <v>350</v>
      </c>
      <c r="Q94">
        <f t="shared" si="35"/>
        <v>0.21739130434782608</v>
      </c>
      <c r="R94">
        <v>0.04</v>
      </c>
      <c r="S94">
        <f t="shared" si="42"/>
        <v>0.4</v>
      </c>
      <c r="T94">
        <f t="shared" si="36"/>
        <v>7.2992700729927022E-3</v>
      </c>
      <c r="U94">
        <f t="shared" si="37"/>
        <v>-0.33175137032501073</v>
      </c>
      <c r="V94">
        <f t="shared" si="38"/>
        <v>1.6300000000000002E-2</v>
      </c>
      <c r="W94">
        <v>0.1</v>
      </c>
      <c r="X94">
        <f t="shared" si="39"/>
        <v>0.16300000000000001</v>
      </c>
      <c r="Y94">
        <v>2</v>
      </c>
      <c r="Z94">
        <v>2</v>
      </c>
      <c r="AA94" t="s">
        <v>50</v>
      </c>
      <c r="AB94">
        <f t="shared" si="40"/>
        <v>47.328638264796929</v>
      </c>
      <c r="AC94">
        <f t="shared" si="31"/>
        <v>189.31455305918772</v>
      </c>
      <c r="AE94">
        <v>3</v>
      </c>
      <c r="AF94">
        <v>3</v>
      </c>
      <c r="AG94">
        <v>4</v>
      </c>
      <c r="AH94">
        <f t="shared" si="41"/>
        <v>78.318526027483983</v>
      </c>
      <c r="AI94">
        <f t="shared" si="32"/>
        <v>139.2329351599715</v>
      </c>
    </row>
    <row r="95" spans="1:36" x14ac:dyDescent="0.3">
      <c r="A95">
        <v>2020</v>
      </c>
      <c r="B95" t="s">
        <v>203</v>
      </c>
      <c r="C95" t="s">
        <v>204</v>
      </c>
      <c r="D95" t="s">
        <v>205</v>
      </c>
      <c r="E95" t="s">
        <v>206</v>
      </c>
      <c r="F95">
        <v>34</v>
      </c>
      <c r="G95" t="s">
        <v>79</v>
      </c>
      <c r="H95" t="s">
        <v>215</v>
      </c>
      <c r="I95" t="s">
        <v>216</v>
      </c>
      <c r="J95" t="s">
        <v>217</v>
      </c>
      <c r="K95" t="s">
        <v>218</v>
      </c>
      <c r="L95">
        <v>218266</v>
      </c>
      <c r="M95">
        <v>139410</v>
      </c>
      <c r="N95">
        <v>8</v>
      </c>
      <c r="O95">
        <f t="shared" si="34"/>
        <v>4.9689440993788817E-2</v>
      </c>
      <c r="P95">
        <v>80</v>
      </c>
      <c r="Q95">
        <f t="shared" si="35"/>
        <v>4.9689440993788817E-2</v>
      </c>
      <c r="R95">
        <v>0.05</v>
      </c>
      <c r="S95">
        <f t="shared" si="42"/>
        <v>0.5</v>
      </c>
      <c r="T95">
        <f t="shared" si="36"/>
        <v>9.1240875912408769E-3</v>
      </c>
      <c r="U95">
        <f t="shared" si="37"/>
        <v>-0.14916585457414294</v>
      </c>
      <c r="V95">
        <f t="shared" si="38"/>
        <v>1.6300000000000002E-2</v>
      </c>
      <c r="W95">
        <v>0.1</v>
      </c>
      <c r="X95">
        <f t="shared" si="39"/>
        <v>0.16300000000000001</v>
      </c>
      <c r="Y95">
        <v>2</v>
      </c>
      <c r="Z95">
        <v>2</v>
      </c>
      <c r="AA95" t="s">
        <v>50</v>
      </c>
      <c r="AB95">
        <f t="shared" si="40"/>
        <v>25.298221281347036</v>
      </c>
      <c r="AC95">
        <f t="shared" si="31"/>
        <v>101.19288512538814</v>
      </c>
      <c r="AE95">
        <v>2.5</v>
      </c>
      <c r="AF95">
        <v>1</v>
      </c>
      <c r="AG95">
        <v>2</v>
      </c>
      <c r="AH95">
        <f t="shared" si="41"/>
        <v>8.891397050194616</v>
      </c>
      <c r="AI95">
        <f t="shared" si="32"/>
        <v>113.80988224249108</v>
      </c>
    </row>
    <row r="96" spans="1:36" x14ac:dyDescent="0.3">
      <c r="A96">
        <v>2020</v>
      </c>
      <c r="B96" t="s">
        <v>203</v>
      </c>
      <c r="C96" t="s">
        <v>204</v>
      </c>
      <c r="D96" t="s">
        <v>205</v>
      </c>
      <c r="E96" t="s">
        <v>206</v>
      </c>
      <c r="F96">
        <v>34</v>
      </c>
      <c r="G96" t="s">
        <v>22</v>
      </c>
      <c r="H96" t="s">
        <v>56</v>
      </c>
      <c r="I96" t="s">
        <v>132</v>
      </c>
      <c r="J96" t="s">
        <v>133</v>
      </c>
      <c r="K96" t="s">
        <v>134</v>
      </c>
      <c r="L96">
        <v>227416</v>
      </c>
      <c r="M96">
        <v>129955</v>
      </c>
      <c r="N96">
        <v>3</v>
      </c>
      <c r="O96">
        <f t="shared" si="34"/>
        <v>1.8633540372670808E-2</v>
      </c>
      <c r="P96">
        <v>30</v>
      </c>
      <c r="Q96">
        <f t="shared" si="35"/>
        <v>1.8633540372670808E-2</v>
      </c>
      <c r="R96">
        <v>0.01</v>
      </c>
      <c r="S96">
        <f t="shared" si="42"/>
        <v>0.1</v>
      </c>
      <c r="T96">
        <f t="shared" si="36"/>
        <v>1.8248175182481756E-3</v>
      </c>
      <c r="U96">
        <f t="shared" si="37"/>
        <v>-7.421351694999416E-2</v>
      </c>
      <c r="V96">
        <f t="shared" si="38"/>
        <v>1.6300000000000002E-2</v>
      </c>
      <c r="W96">
        <v>0.1</v>
      </c>
      <c r="X96">
        <f t="shared" si="39"/>
        <v>0.16300000000000001</v>
      </c>
      <c r="Y96">
        <v>2</v>
      </c>
      <c r="Z96">
        <v>2</v>
      </c>
      <c r="AA96" t="s">
        <v>50</v>
      </c>
      <c r="AB96">
        <f t="shared" si="40"/>
        <v>6.9282032302755097</v>
      </c>
      <c r="AC96">
        <f t="shared" si="31"/>
        <v>27.712812921102039</v>
      </c>
      <c r="AE96">
        <v>3</v>
      </c>
      <c r="AF96">
        <v>3</v>
      </c>
      <c r="AG96">
        <v>2</v>
      </c>
      <c r="AH96">
        <f t="shared" si="41"/>
        <v>7.4912246105180706</v>
      </c>
      <c r="AI96">
        <f t="shared" si="32"/>
        <v>26.635465281842031</v>
      </c>
    </row>
    <row r="97" spans="1:35" x14ac:dyDescent="0.3">
      <c r="A97">
        <v>2020</v>
      </c>
      <c r="B97" t="s">
        <v>203</v>
      </c>
      <c r="C97" t="s">
        <v>204</v>
      </c>
      <c r="D97" t="s">
        <v>205</v>
      </c>
      <c r="E97" t="s">
        <v>206</v>
      </c>
      <c r="F97">
        <v>34</v>
      </c>
      <c r="G97" t="s">
        <v>45</v>
      </c>
      <c r="H97" t="s">
        <v>46</v>
      </c>
      <c r="I97" t="s">
        <v>47</v>
      </c>
      <c r="J97" t="s">
        <v>48</v>
      </c>
      <c r="K97" t="s">
        <v>49</v>
      </c>
      <c r="L97">
        <v>218099</v>
      </c>
      <c r="M97">
        <v>139476</v>
      </c>
      <c r="N97">
        <v>2</v>
      </c>
      <c r="O97">
        <f t="shared" si="34"/>
        <v>1.2422360248447204E-2</v>
      </c>
      <c r="P97">
        <v>20</v>
      </c>
      <c r="Q97">
        <f t="shared" si="35"/>
        <v>1.2422360248447204E-2</v>
      </c>
      <c r="R97">
        <v>0.01</v>
      </c>
      <c r="S97">
        <f t="shared" si="42"/>
        <v>0.1</v>
      </c>
      <c r="T97">
        <f t="shared" si="36"/>
        <v>1.8248175182481756E-3</v>
      </c>
      <c r="U97">
        <f t="shared" si="37"/>
        <v>-5.4512511607757982E-2</v>
      </c>
      <c r="V97">
        <f t="shared" si="38"/>
        <v>1.6300000000000002E-2</v>
      </c>
      <c r="W97">
        <v>0.1</v>
      </c>
      <c r="X97">
        <f t="shared" si="39"/>
        <v>0.16300000000000001</v>
      </c>
      <c r="Y97">
        <v>2</v>
      </c>
      <c r="Z97">
        <v>3</v>
      </c>
      <c r="AA97" t="s">
        <v>50</v>
      </c>
      <c r="AB97">
        <f t="shared" si="40"/>
        <v>8.4852813742385695</v>
      </c>
      <c r="AC97">
        <f t="shared" si="31"/>
        <v>22.627416997969519</v>
      </c>
      <c r="AE97">
        <v>3</v>
      </c>
      <c r="AF97">
        <v>2</v>
      </c>
      <c r="AG97">
        <v>2</v>
      </c>
      <c r="AH97">
        <f t="shared" si="41"/>
        <v>4.5127237117036749</v>
      </c>
      <c r="AI97">
        <f t="shared" si="32"/>
        <v>24.067859795752931</v>
      </c>
    </row>
    <row r="98" spans="1:35" x14ac:dyDescent="0.3">
      <c r="A98">
        <v>2020</v>
      </c>
      <c r="B98" t="s">
        <v>203</v>
      </c>
      <c r="C98" t="s">
        <v>204</v>
      </c>
      <c r="D98" t="s">
        <v>205</v>
      </c>
      <c r="E98" t="s">
        <v>206</v>
      </c>
      <c r="F98">
        <v>34</v>
      </c>
      <c r="G98" t="s">
        <v>45</v>
      </c>
      <c r="H98" t="s">
        <v>71</v>
      </c>
      <c r="I98" t="s">
        <v>72</v>
      </c>
      <c r="J98" t="s">
        <v>73</v>
      </c>
      <c r="K98" t="s">
        <v>74</v>
      </c>
      <c r="L98">
        <v>217978</v>
      </c>
      <c r="M98">
        <v>140129</v>
      </c>
      <c r="N98">
        <v>10</v>
      </c>
      <c r="O98">
        <f t="shared" si="34"/>
        <v>6.2111801242236024E-2</v>
      </c>
      <c r="P98">
        <v>100</v>
      </c>
      <c r="Q98">
        <f t="shared" si="35"/>
        <v>6.2111801242236024E-2</v>
      </c>
      <c r="R98">
        <v>0.03</v>
      </c>
      <c r="S98">
        <f t="shared" si="42"/>
        <v>0.3</v>
      </c>
      <c r="T98">
        <f t="shared" si="36"/>
        <v>5.4744525547445267E-3</v>
      </c>
      <c r="U98">
        <f t="shared" si="37"/>
        <v>-0.17259747030996381</v>
      </c>
      <c r="V98">
        <f t="shared" si="38"/>
        <v>1.6300000000000002E-2</v>
      </c>
      <c r="W98">
        <v>0.1</v>
      </c>
      <c r="X98">
        <f t="shared" si="39"/>
        <v>0.16300000000000001</v>
      </c>
      <c r="Y98">
        <v>2</v>
      </c>
      <c r="Z98">
        <v>3</v>
      </c>
      <c r="AA98" t="s">
        <v>50</v>
      </c>
      <c r="AB98">
        <f t="shared" si="40"/>
        <v>32.863353450309965</v>
      </c>
      <c r="AC98">
        <f t="shared" si="31"/>
        <v>87.635609200826579</v>
      </c>
      <c r="AE98">
        <v>1</v>
      </c>
      <c r="AF98">
        <v>3</v>
      </c>
      <c r="AG98">
        <v>1</v>
      </c>
      <c r="AH98">
        <f t="shared" si="41"/>
        <v>3.8455830575661079</v>
      </c>
      <c r="AI98">
        <f t="shared" si="32"/>
        <v>82.039105228076963</v>
      </c>
    </row>
    <row r="99" spans="1:35" x14ac:dyDescent="0.3">
      <c r="A99">
        <v>2020</v>
      </c>
      <c r="B99" t="s">
        <v>203</v>
      </c>
      <c r="C99" t="s">
        <v>204</v>
      </c>
      <c r="D99" t="s">
        <v>205</v>
      </c>
      <c r="E99" t="s">
        <v>206</v>
      </c>
      <c r="F99">
        <v>34</v>
      </c>
      <c r="G99" t="s">
        <v>79</v>
      </c>
      <c r="H99" t="s">
        <v>113</v>
      </c>
      <c r="I99" t="s">
        <v>123</v>
      </c>
      <c r="J99" t="s">
        <v>124</v>
      </c>
      <c r="K99" t="s">
        <v>125</v>
      </c>
      <c r="L99">
        <v>218310</v>
      </c>
      <c r="M99">
        <v>141435</v>
      </c>
      <c r="N99">
        <v>13</v>
      </c>
      <c r="O99">
        <f t="shared" si="34"/>
        <v>8.0745341614906832E-2</v>
      </c>
      <c r="P99">
        <v>130</v>
      </c>
      <c r="Q99">
        <f t="shared" si="35"/>
        <v>8.0745341614906832E-2</v>
      </c>
      <c r="R99">
        <v>0.04</v>
      </c>
      <c r="S99">
        <f t="shared" si="42"/>
        <v>0.4</v>
      </c>
      <c r="T99">
        <f t="shared" si="36"/>
        <v>7.2992700729927022E-3</v>
      </c>
      <c r="U99">
        <f t="shared" si="37"/>
        <v>-0.20319201924098163</v>
      </c>
      <c r="V99">
        <f t="shared" si="38"/>
        <v>1.6300000000000002E-2</v>
      </c>
      <c r="W99">
        <v>0.1</v>
      </c>
      <c r="X99">
        <f t="shared" si="39"/>
        <v>0.16300000000000001</v>
      </c>
      <c r="Y99">
        <v>2</v>
      </c>
      <c r="Z99">
        <v>2</v>
      </c>
      <c r="AA99" t="s">
        <v>50</v>
      </c>
      <c r="AB99">
        <f t="shared" si="40"/>
        <v>28.844410203711913</v>
      </c>
      <c r="AC99">
        <f t="shared" si="31"/>
        <v>115.37764081484765</v>
      </c>
      <c r="AE99">
        <v>1</v>
      </c>
      <c r="AF99">
        <v>1</v>
      </c>
      <c r="AG99">
        <v>2</v>
      </c>
      <c r="AH99">
        <f t="shared" si="41"/>
        <v>3.3967284379951188</v>
      </c>
      <c r="AI99">
        <f t="shared" si="32"/>
        <v>108.6953100158438</v>
      </c>
    </row>
    <row r="100" spans="1:35" x14ac:dyDescent="0.3">
      <c r="A100">
        <v>2020</v>
      </c>
      <c r="B100" t="s">
        <v>203</v>
      </c>
      <c r="C100" t="s">
        <v>204</v>
      </c>
      <c r="D100" t="s">
        <v>205</v>
      </c>
      <c r="E100" t="s">
        <v>206</v>
      </c>
      <c r="F100">
        <v>34</v>
      </c>
      <c r="I100" t="s">
        <v>233</v>
      </c>
      <c r="J100" t="s">
        <v>234</v>
      </c>
      <c r="K100" t="s">
        <v>235</v>
      </c>
      <c r="L100">
        <v>233593</v>
      </c>
      <c r="M100">
        <v>101160</v>
      </c>
      <c r="N100">
        <v>1</v>
      </c>
      <c r="O100">
        <f t="shared" si="34"/>
        <v>6.2111801242236021E-3</v>
      </c>
      <c r="P100">
        <v>10</v>
      </c>
      <c r="Q100">
        <f t="shared" si="35"/>
        <v>6.2111801242236021E-3</v>
      </c>
      <c r="R100">
        <v>0.02</v>
      </c>
      <c r="S100">
        <f t="shared" si="42"/>
        <v>0.2</v>
      </c>
      <c r="T100">
        <f t="shared" si="36"/>
        <v>3.6496350364963511E-3</v>
      </c>
      <c r="U100">
        <f t="shared" si="37"/>
        <v>-3.1561517794934553E-2</v>
      </c>
      <c r="V100">
        <f t="shared" si="38"/>
        <v>1.6300000000000002E-2</v>
      </c>
      <c r="W100">
        <v>0.1</v>
      </c>
      <c r="X100">
        <f t="shared" si="39"/>
        <v>0.16300000000000001</v>
      </c>
      <c r="Y100">
        <v>3</v>
      </c>
      <c r="Z100">
        <v>2</v>
      </c>
      <c r="AA100" t="s">
        <v>50</v>
      </c>
      <c r="AB100">
        <f t="shared" si="40"/>
        <v>8.4852813742385695</v>
      </c>
      <c r="AC100">
        <f t="shared" si="31"/>
        <v>22.627416997969519</v>
      </c>
      <c r="AE100">
        <v>2.5</v>
      </c>
      <c r="AF100">
        <v>2</v>
      </c>
      <c r="AG100">
        <v>1</v>
      </c>
      <c r="AH100">
        <f t="shared" si="41"/>
        <v>2.6591479484724951</v>
      </c>
      <c r="AI100">
        <f t="shared" si="32"/>
        <v>34.037093740447936</v>
      </c>
    </row>
    <row r="101" spans="1:35" x14ac:dyDescent="0.3">
      <c r="A101">
        <v>2020</v>
      </c>
      <c r="B101" t="s">
        <v>203</v>
      </c>
      <c r="C101" t="s">
        <v>204</v>
      </c>
      <c r="D101" t="s">
        <v>205</v>
      </c>
      <c r="E101" t="s">
        <v>206</v>
      </c>
      <c r="F101">
        <v>34</v>
      </c>
      <c r="I101" t="s">
        <v>230</v>
      </c>
      <c r="J101" t="s">
        <v>231</v>
      </c>
      <c r="K101" t="s">
        <v>232</v>
      </c>
      <c r="L101">
        <v>233581</v>
      </c>
      <c r="M101">
        <v>128549</v>
      </c>
      <c r="N101">
        <v>1</v>
      </c>
      <c r="O101">
        <f t="shared" si="34"/>
        <v>6.2111801242236021E-3</v>
      </c>
      <c r="P101">
        <v>10</v>
      </c>
      <c r="Q101">
        <f t="shared" si="35"/>
        <v>6.2111801242236021E-3</v>
      </c>
      <c r="R101">
        <v>5.0000000000000001E-3</v>
      </c>
      <c r="S101">
        <f t="shared" si="42"/>
        <v>0.05</v>
      </c>
      <c r="T101">
        <f t="shared" si="36"/>
        <v>9.1240875912408778E-4</v>
      </c>
      <c r="U101">
        <f t="shared" si="37"/>
        <v>-3.1561517794934553E-2</v>
      </c>
      <c r="V101">
        <f t="shared" si="38"/>
        <v>1.6300000000000002E-2</v>
      </c>
      <c r="W101">
        <v>0.1</v>
      </c>
      <c r="X101">
        <f t="shared" si="39"/>
        <v>0.16300000000000001</v>
      </c>
      <c r="Y101">
        <v>2</v>
      </c>
      <c r="Z101">
        <v>1</v>
      </c>
      <c r="AA101" t="s">
        <v>50</v>
      </c>
      <c r="AB101">
        <f t="shared" si="40"/>
        <v>1.4142135623730949</v>
      </c>
      <c r="AC101">
        <f t="shared" si="31"/>
        <v>11.313708498984759</v>
      </c>
      <c r="AE101">
        <v>3</v>
      </c>
      <c r="AF101">
        <v>2</v>
      </c>
      <c r="AG101">
        <v>1</v>
      </c>
      <c r="AH101">
        <f t="shared" si="41"/>
        <v>1.1281809279259187</v>
      </c>
      <c r="AI101">
        <f t="shared" si="32"/>
        <v>12.033929897876465</v>
      </c>
    </row>
    <row r="102" spans="1:35" x14ac:dyDescent="0.3">
      <c r="A102">
        <v>2020</v>
      </c>
      <c r="B102" t="s">
        <v>203</v>
      </c>
      <c r="C102" t="s">
        <v>204</v>
      </c>
      <c r="D102" t="s">
        <v>205</v>
      </c>
      <c r="E102" t="s">
        <v>206</v>
      </c>
      <c r="F102">
        <v>34</v>
      </c>
      <c r="G102" t="s">
        <v>51</v>
      </c>
      <c r="H102" t="s">
        <v>52</v>
      </c>
      <c r="I102" t="s">
        <v>193</v>
      </c>
      <c r="J102" t="s">
        <v>219</v>
      </c>
      <c r="K102" t="s">
        <v>220</v>
      </c>
      <c r="L102">
        <v>233479</v>
      </c>
      <c r="M102">
        <v>110535</v>
      </c>
      <c r="N102">
        <v>1</v>
      </c>
      <c r="O102">
        <f t="shared" si="34"/>
        <v>6.2111801242236021E-3</v>
      </c>
      <c r="P102">
        <v>10</v>
      </c>
      <c r="Q102">
        <f t="shared" si="35"/>
        <v>6.2111801242236021E-3</v>
      </c>
      <c r="R102">
        <v>5.0000000000000001E-3</v>
      </c>
      <c r="S102">
        <f t="shared" si="42"/>
        <v>0.05</v>
      </c>
      <c r="T102">
        <f t="shared" si="36"/>
        <v>9.1240875912408778E-4</v>
      </c>
      <c r="U102">
        <f t="shared" si="37"/>
        <v>-3.1561517794934553E-2</v>
      </c>
      <c r="V102">
        <f t="shared" si="38"/>
        <v>1.6300000000000002E-2</v>
      </c>
      <c r="W102">
        <v>0.1</v>
      </c>
      <c r="X102">
        <f t="shared" si="39"/>
        <v>0.16300000000000001</v>
      </c>
      <c r="Y102">
        <v>2</v>
      </c>
      <c r="Z102">
        <v>3</v>
      </c>
      <c r="AA102" t="s">
        <v>50</v>
      </c>
      <c r="AB102">
        <f t="shared" si="40"/>
        <v>4.2426406871192848</v>
      </c>
      <c r="AC102">
        <f t="shared" si="31"/>
        <v>11.313708498984759</v>
      </c>
      <c r="AE102">
        <v>1</v>
      </c>
      <c r="AF102">
        <v>3.14</v>
      </c>
      <c r="AG102">
        <v>1.5</v>
      </c>
      <c r="AH102">
        <f t="shared" si="41"/>
        <v>0.88562202842184612</v>
      </c>
      <c r="AI102">
        <f t="shared" si="32"/>
        <v>12.033929897876465</v>
      </c>
    </row>
    <row r="103" spans="1:35" x14ac:dyDescent="0.3">
      <c r="A103">
        <v>2020</v>
      </c>
      <c r="B103" t="s">
        <v>203</v>
      </c>
      <c r="C103" t="s">
        <v>204</v>
      </c>
      <c r="D103" t="s">
        <v>205</v>
      </c>
      <c r="E103" t="s">
        <v>206</v>
      </c>
      <c r="F103">
        <v>34</v>
      </c>
      <c r="G103" t="s">
        <v>51</v>
      </c>
      <c r="H103" t="s">
        <v>126</v>
      </c>
      <c r="I103" t="s">
        <v>207</v>
      </c>
      <c r="J103" t="s">
        <v>208</v>
      </c>
      <c r="K103" t="s">
        <v>209</v>
      </c>
      <c r="L103">
        <v>233379</v>
      </c>
      <c r="M103">
        <v>101891</v>
      </c>
      <c r="N103">
        <v>1</v>
      </c>
      <c r="O103">
        <f t="shared" si="34"/>
        <v>6.2111801242236021E-3</v>
      </c>
      <c r="P103">
        <v>10</v>
      </c>
      <c r="Q103">
        <f t="shared" si="35"/>
        <v>6.2111801242236021E-3</v>
      </c>
      <c r="R103">
        <v>0.01</v>
      </c>
      <c r="S103">
        <f t="shared" si="42"/>
        <v>0.1</v>
      </c>
      <c r="T103">
        <f t="shared" si="36"/>
        <v>1.8248175182481756E-3</v>
      </c>
      <c r="U103">
        <f t="shared" si="37"/>
        <v>-3.1561517794934553E-2</v>
      </c>
      <c r="V103">
        <f t="shared" si="38"/>
        <v>1.6300000000000002E-2</v>
      </c>
      <c r="W103">
        <v>0.1</v>
      </c>
      <c r="X103">
        <f t="shared" si="39"/>
        <v>0.16300000000000001</v>
      </c>
      <c r="Y103">
        <v>2</v>
      </c>
      <c r="Z103">
        <v>1</v>
      </c>
      <c r="AA103" t="s">
        <v>50</v>
      </c>
      <c r="AB103">
        <f t="shared" si="40"/>
        <v>2</v>
      </c>
      <c r="AC103">
        <f t="shared" si="31"/>
        <v>16</v>
      </c>
      <c r="AE103">
        <v>1</v>
      </c>
      <c r="AF103">
        <v>1</v>
      </c>
      <c r="AG103">
        <v>1</v>
      </c>
      <c r="AH103">
        <f t="shared" si="41"/>
        <v>0.316227766016838</v>
      </c>
      <c r="AI103">
        <f t="shared" si="32"/>
        <v>20.238577025077632</v>
      </c>
    </row>
    <row r="104" spans="1:35" x14ac:dyDescent="0.3">
      <c r="A104">
        <v>2020</v>
      </c>
      <c r="B104" t="s">
        <v>203</v>
      </c>
      <c r="C104" t="s">
        <v>204</v>
      </c>
      <c r="D104" t="s">
        <v>205</v>
      </c>
      <c r="E104" t="s">
        <v>206</v>
      </c>
      <c r="F104">
        <v>34</v>
      </c>
      <c r="G104" t="s">
        <v>51</v>
      </c>
      <c r="H104" t="s">
        <v>126</v>
      </c>
      <c r="I104" t="s">
        <v>207</v>
      </c>
      <c r="J104" t="s">
        <v>208</v>
      </c>
      <c r="K104" t="s">
        <v>210</v>
      </c>
      <c r="L104">
        <v>233384</v>
      </c>
      <c r="M104">
        <v>101930</v>
      </c>
      <c r="N104">
        <v>1</v>
      </c>
      <c r="O104">
        <f t="shared" si="34"/>
        <v>6.2111801242236021E-3</v>
      </c>
      <c r="P104">
        <v>10</v>
      </c>
      <c r="Q104">
        <f t="shared" si="35"/>
        <v>6.2111801242236021E-3</v>
      </c>
      <c r="R104">
        <v>5.0000000000000001E-3</v>
      </c>
      <c r="S104">
        <f t="shared" si="42"/>
        <v>0.05</v>
      </c>
      <c r="T104">
        <f t="shared" si="36"/>
        <v>9.1240875912408778E-4</v>
      </c>
      <c r="U104">
        <f t="shared" si="37"/>
        <v>-3.1561517794934553E-2</v>
      </c>
      <c r="V104">
        <f t="shared" si="38"/>
        <v>1.6300000000000002E-2</v>
      </c>
      <c r="W104">
        <v>0.1</v>
      </c>
      <c r="X104">
        <f t="shared" si="39"/>
        <v>0.16300000000000001</v>
      </c>
      <c r="Y104">
        <v>2</v>
      </c>
      <c r="Z104">
        <v>1</v>
      </c>
      <c r="AA104" t="s">
        <v>50</v>
      </c>
      <c r="AB104">
        <f t="shared" si="40"/>
        <v>1.4142135623730949</v>
      </c>
      <c r="AC104">
        <f t="shared" si="31"/>
        <v>11.313708498984759</v>
      </c>
      <c r="AE104">
        <v>1</v>
      </c>
      <c r="AF104">
        <v>1</v>
      </c>
      <c r="AG104">
        <v>1</v>
      </c>
      <c r="AH104">
        <f t="shared" si="41"/>
        <v>0.18803015465431977</v>
      </c>
      <c r="AI104">
        <f t="shared" si="32"/>
        <v>12.033929897876465</v>
      </c>
    </row>
    <row r="105" spans="1:35" x14ac:dyDescent="0.3">
      <c r="A105">
        <v>2020</v>
      </c>
      <c r="B105" t="s">
        <v>203</v>
      </c>
      <c r="C105" t="s">
        <v>204</v>
      </c>
      <c r="D105" t="s">
        <v>205</v>
      </c>
      <c r="E105" t="s">
        <v>206</v>
      </c>
      <c r="F105">
        <v>34</v>
      </c>
      <c r="G105" t="s">
        <v>22</v>
      </c>
      <c r="I105" t="s">
        <v>145</v>
      </c>
      <c r="J105" t="s">
        <v>227</v>
      </c>
      <c r="K105" t="s">
        <v>228</v>
      </c>
      <c r="L105">
        <v>227760</v>
      </c>
      <c r="M105">
        <v>129898</v>
      </c>
      <c r="N105">
        <v>1</v>
      </c>
      <c r="O105">
        <f t="shared" si="34"/>
        <v>6.2111801242236021E-3</v>
      </c>
      <c r="P105">
        <v>10</v>
      </c>
      <c r="Q105">
        <f t="shared" si="35"/>
        <v>6.2111801242236021E-3</v>
      </c>
      <c r="R105">
        <v>1.45</v>
      </c>
      <c r="S105">
        <f t="shared" si="42"/>
        <v>14.5</v>
      </c>
      <c r="T105">
        <f t="shared" si="36"/>
        <v>0.26459854014598544</v>
      </c>
      <c r="U105">
        <f t="shared" si="37"/>
        <v>-3.1561517794934553E-2</v>
      </c>
      <c r="V105">
        <f t="shared" si="38"/>
        <v>1.6300000000000002E-2</v>
      </c>
      <c r="W105">
        <v>0.1</v>
      </c>
      <c r="X105">
        <f t="shared" si="39"/>
        <v>0.16300000000000001</v>
      </c>
      <c r="Y105">
        <v>3</v>
      </c>
      <c r="Z105">
        <v>2</v>
      </c>
      <c r="AA105" t="s">
        <v>60</v>
      </c>
      <c r="AB105">
        <f t="shared" si="40"/>
        <v>72.249567472753768</v>
      </c>
      <c r="AC105">
        <f t="shared" si="31"/>
        <v>192.66551326067673</v>
      </c>
      <c r="AE105">
        <v>3</v>
      </c>
      <c r="AF105">
        <v>3</v>
      </c>
      <c r="AG105">
        <v>4</v>
      </c>
      <c r="AH105">
        <f t="shared" si="41"/>
        <v>475.69490781872452</v>
      </c>
      <c r="AI105">
        <f t="shared" si="32"/>
        <v>845.67983612217688</v>
      </c>
    </row>
    <row r="106" spans="1:35" x14ac:dyDescent="0.3">
      <c r="A106">
        <v>2020</v>
      </c>
      <c r="B106" t="s">
        <v>203</v>
      </c>
      <c r="C106" t="s">
        <v>204</v>
      </c>
      <c r="D106" t="s">
        <v>205</v>
      </c>
      <c r="E106" t="s">
        <v>206</v>
      </c>
      <c r="F106">
        <v>34</v>
      </c>
      <c r="G106" t="s">
        <v>22</v>
      </c>
      <c r="H106" t="s">
        <v>56</v>
      </c>
      <c r="I106" t="s">
        <v>167</v>
      </c>
      <c r="J106" t="s">
        <v>168</v>
      </c>
      <c r="K106" t="s">
        <v>229</v>
      </c>
      <c r="L106">
        <v>233616</v>
      </c>
      <c r="M106">
        <v>129437</v>
      </c>
      <c r="N106">
        <v>1</v>
      </c>
      <c r="O106">
        <f t="shared" si="34"/>
        <v>6.2111801242236021E-3</v>
      </c>
      <c r="P106">
        <v>10</v>
      </c>
      <c r="Q106">
        <f t="shared" si="35"/>
        <v>6.2111801242236021E-3</v>
      </c>
      <c r="R106">
        <v>0.01</v>
      </c>
      <c r="S106">
        <f t="shared" si="42"/>
        <v>0.1</v>
      </c>
      <c r="T106">
        <f t="shared" si="36"/>
        <v>1.8248175182481756E-3</v>
      </c>
      <c r="U106">
        <f t="shared" si="37"/>
        <v>-3.1561517794934553E-2</v>
      </c>
      <c r="V106">
        <f t="shared" si="38"/>
        <v>1.6300000000000002E-2</v>
      </c>
      <c r="W106">
        <v>0.1</v>
      </c>
      <c r="X106">
        <f t="shared" si="39"/>
        <v>0.16300000000000001</v>
      </c>
      <c r="Y106">
        <v>3</v>
      </c>
      <c r="Z106">
        <v>1</v>
      </c>
      <c r="AA106" t="s">
        <v>60</v>
      </c>
      <c r="AB106">
        <f t="shared" si="40"/>
        <v>3</v>
      </c>
      <c r="AC106">
        <f t="shared" si="31"/>
        <v>16</v>
      </c>
      <c r="AE106">
        <v>3</v>
      </c>
      <c r="AF106">
        <v>4</v>
      </c>
      <c r="AG106">
        <v>2.5</v>
      </c>
      <c r="AH106">
        <f t="shared" si="41"/>
        <v>9.4868329805051399</v>
      </c>
      <c r="AI106">
        <f t="shared" si="32"/>
        <v>20.238577025077632</v>
      </c>
    </row>
    <row r="107" spans="1:35" x14ac:dyDescent="0.3">
      <c r="A107">
        <v>2020</v>
      </c>
      <c r="B107" t="s">
        <v>203</v>
      </c>
      <c r="C107" t="s">
        <v>204</v>
      </c>
      <c r="D107" t="s">
        <v>205</v>
      </c>
      <c r="E107" t="s">
        <v>206</v>
      </c>
      <c r="F107">
        <v>34</v>
      </c>
      <c r="G107" t="s">
        <v>22</v>
      </c>
      <c r="H107" t="s">
        <v>56</v>
      </c>
      <c r="I107" t="s">
        <v>57</v>
      </c>
      <c r="J107" t="s">
        <v>58</v>
      </c>
      <c r="K107" t="s">
        <v>59</v>
      </c>
      <c r="L107">
        <v>227394</v>
      </c>
      <c r="M107">
        <v>130100</v>
      </c>
      <c r="N107">
        <v>2</v>
      </c>
      <c r="O107">
        <f t="shared" si="34"/>
        <v>1.2422360248447204E-2</v>
      </c>
      <c r="P107">
        <v>20</v>
      </c>
      <c r="Q107">
        <f t="shared" si="35"/>
        <v>1.2422360248447204E-2</v>
      </c>
      <c r="R107">
        <v>0.01</v>
      </c>
      <c r="S107">
        <f t="shared" si="42"/>
        <v>0.1</v>
      </c>
      <c r="T107">
        <f t="shared" si="36"/>
        <v>1.8248175182481756E-3</v>
      </c>
      <c r="U107">
        <f t="shared" si="37"/>
        <v>-5.4512511607757982E-2</v>
      </c>
      <c r="V107">
        <f t="shared" si="38"/>
        <v>1.6300000000000002E-2</v>
      </c>
      <c r="W107">
        <v>0.1</v>
      </c>
      <c r="X107">
        <f t="shared" si="39"/>
        <v>0.16300000000000001</v>
      </c>
      <c r="Y107">
        <v>3</v>
      </c>
      <c r="Z107">
        <v>2</v>
      </c>
      <c r="AA107" t="s">
        <v>60</v>
      </c>
      <c r="AB107">
        <f t="shared" si="40"/>
        <v>8.4852813742385695</v>
      </c>
      <c r="AC107">
        <f t="shared" si="31"/>
        <v>22.627416997969519</v>
      </c>
      <c r="AE107">
        <v>1</v>
      </c>
      <c r="AF107">
        <v>3</v>
      </c>
      <c r="AG107">
        <v>2</v>
      </c>
      <c r="AH107">
        <f t="shared" si="41"/>
        <v>2.2563618558518375</v>
      </c>
      <c r="AI107">
        <f t="shared" si="32"/>
        <v>24.067859795752931</v>
      </c>
    </row>
    <row r="108" spans="1:35" x14ac:dyDescent="0.3">
      <c r="A108">
        <v>2020</v>
      </c>
      <c r="B108" t="s">
        <v>203</v>
      </c>
      <c r="C108" t="s">
        <v>204</v>
      </c>
      <c r="D108" t="s">
        <v>205</v>
      </c>
      <c r="E108" t="s">
        <v>206</v>
      </c>
      <c r="F108">
        <v>34</v>
      </c>
      <c r="G108" t="s">
        <v>22</v>
      </c>
      <c r="H108" t="s">
        <v>56</v>
      </c>
      <c r="I108" t="s">
        <v>153</v>
      </c>
      <c r="J108" t="s">
        <v>154</v>
      </c>
      <c r="K108" t="s">
        <v>155</v>
      </c>
      <c r="L108">
        <v>227487</v>
      </c>
      <c r="M108">
        <v>129804</v>
      </c>
      <c r="N108">
        <v>6</v>
      </c>
      <c r="O108">
        <f t="shared" si="34"/>
        <v>3.7267080745341616E-2</v>
      </c>
      <c r="P108">
        <v>60</v>
      </c>
      <c r="Q108">
        <f t="shared" si="35"/>
        <v>3.7267080745341616E-2</v>
      </c>
      <c r="R108">
        <v>0.18</v>
      </c>
      <c r="S108">
        <f t="shared" si="42"/>
        <v>1.7999999999999998</v>
      </c>
      <c r="T108">
        <f t="shared" si="36"/>
        <v>3.2846715328467155E-2</v>
      </c>
      <c r="U108">
        <f t="shared" si="37"/>
        <v>-0.12259546195365496</v>
      </c>
      <c r="V108">
        <f t="shared" si="38"/>
        <v>1.6300000000000002E-2</v>
      </c>
      <c r="W108">
        <v>0.1</v>
      </c>
      <c r="X108">
        <f t="shared" si="39"/>
        <v>0.16300000000000001</v>
      </c>
      <c r="Y108">
        <v>3</v>
      </c>
      <c r="Z108">
        <v>1</v>
      </c>
      <c r="AA108" t="s">
        <v>100</v>
      </c>
      <c r="AB108">
        <f t="shared" si="40"/>
        <v>31.176914536239785</v>
      </c>
      <c r="AC108">
        <f t="shared" si="31"/>
        <v>166.2768775266122</v>
      </c>
      <c r="AE108">
        <v>3</v>
      </c>
      <c r="AF108">
        <v>3</v>
      </c>
      <c r="AG108">
        <v>2</v>
      </c>
      <c r="AH108">
        <f t="shared" si="41"/>
        <v>77.851089817966056</v>
      </c>
      <c r="AI108">
        <f t="shared" si="32"/>
        <v>276.80387490832373</v>
      </c>
    </row>
    <row r="109" spans="1:35" x14ac:dyDescent="0.3">
      <c r="A109">
        <v>2020</v>
      </c>
      <c r="B109" t="s">
        <v>203</v>
      </c>
      <c r="C109" t="s">
        <v>204</v>
      </c>
      <c r="D109" t="s">
        <v>205</v>
      </c>
      <c r="E109" t="s">
        <v>206</v>
      </c>
      <c r="F109">
        <v>34</v>
      </c>
      <c r="G109" t="s">
        <v>22</v>
      </c>
      <c r="H109" t="s">
        <v>96</v>
      </c>
      <c r="I109" t="s">
        <v>97</v>
      </c>
      <c r="J109" t="s">
        <v>98</v>
      </c>
      <c r="K109" t="s">
        <v>101</v>
      </c>
      <c r="L109">
        <v>227337</v>
      </c>
      <c r="M109">
        <v>131157</v>
      </c>
      <c r="N109">
        <v>26</v>
      </c>
      <c r="O109">
        <f t="shared" si="34"/>
        <v>0.16149068322981366</v>
      </c>
      <c r="P109">
        <v>260</v>
      </c>
      <c r="Q109">
        <f t="shared" si="35"/>
        <v>0.16149068322981366</v>
      </c>
      <c r="R109">
        <v>0.04</v>
      </c>
      <c r="S109">
        <f t="shared" si="42"/>
        <v>0.4</v>
      </c>
      <c r="T109">
        <f t="shared" si="36"/>
        <v>7.2992700729927022E-3</v>
      </c>
      <c r="U109">
        <f t="shared" si="37"/>
        <v>-0.29444722671451867</v>
      </c>
      <c r="V109">
        <f t="shared" si="38"/>
        <v>1.6300000000000002E-2</v>
      </c>
      <c r="W109">
        <v>0.1</v>
      </c>
      <c r="X109">
        <f t="shared" si="39"/>
        <v>0.16300000000000001</v>
      </c>
      <c r="Y109">
        <v>3</v>
      </c>
      <c r="Z109">
        <v>2</v>
      </c>
      <c r="AA109" t="s">
        <v>100</v>
      </c>
      <c r="AB109">
        <f t="shared" si="40"/>
        <v>61.188234163113421</v>
      </c>
      <c r="AC109">
        <f t="shared" si="31"/>
        <v>163.16862443496913</v>
      </c>
      <c r="AE109">
        <v>2.5</v>
      </c>
      <c r="AF109">
        <v>3</v>
      </c>
      <c r="AG109">
        <v>2</v>
      </c>
      <c r="AH109">
        <f t="shared" si="41"/>
        <v>30.295602196469073</v>
      </c>
      <c r="AI109">
        <f t="shared" si="32"/>
        <v>129.26123603826804</v>
      </c>
    </row>
    <row r="110" spans="1:35" x14ac:dyDescent="0.3">
      <c r="A110">
        <v>2020</v>
      </c>
      <c r="B110" t="s">
        <v>203</v>
      </c>
      <c r="C110" t="s">
        <v>204</v>
      </c>
      <c r="D110" t="s">
        <v>205</v>
      </c>
      <c r="E110" t="s">
        <v>206</v>
      </c>
      <c r="F110">
        <v>34</v>
      </c>
      <c r="G110" t="s">
        <v>22</v>
      </c>
      <c r="H110" t="s">
        <v>96</v>
      </c>
      <c r="I110" t="s">
        <v>97</v>
      </c>
      <c r="J110" t="s">
        <v>98</v>
      </c>
      <c r="K110" t="s">
        <v>200</v>
      </c>
      <c r="L110">
        <v>227334</v>
      </c>
      <c r="M110">
        <v>131160</v>
      </c>
      <c r="N110">
        <v>5</v>
      </c>
      <c r="O110">
        <f t="shared" si="34"/>
        <v>3.1055900621118012E-2</v>
      </c>
      <c r="P110">
        <v>50</v>
      </c>
      <c r="Q110">
        <f t="shared" si="35"/>
        <v>3.1055900621118012E-2</v>
      </c>
      <c r="R110">
        <v>0.01</v>
      </c>
      <c r="S110">
        <f>R110*10</f>
        <v>0.1</v>
      </c>
      <c r="T110">
        <f t="shared" si="36"/>
        <v>1.8248175182481756E-3</v>
      </c>
      <c r="U110">
        <f t="shared" si="37"/>
        <v>-0.10782504511025971</v>
      </c>
      <c r="V110">
        <f t="shared" si="38"/>
        <v>1.6300000000000002E-2</v>
      </c>
      <c r="W110">
        <v>0.1</v>
      </c>
      <c r="X110">
        <f t="shared" si="39"/>
        <v>0.16300000000000001</v>
      </c>
      <c r="Y110">
        <v>3</v>
      </c>
      <c r="Z110">
        <v>2</v>
      </c>
      <c r="AA110" t="s">
        <v>100</v>
      </c>
      <c r="AB110">
        <f t="shared" si="40"/>
        <v>13.416407864998739</v>
      </c>
      <c r="AC110">
        <f t="shared" si="31"/>
        <v>35.777087639996637</v>
      </c>
      <c r="AE110">
        <v>2.5</v>
      </c>
      <c r="AF110">
        <v>3</v>
      </c>
      <c r="AG110">
        <v>2</v>
      </c>
      <c r="AH110">
        <f t="shared" si="41"/>
        <v>7.0930620675238174</v>
      </c>
      <c r="AI110">
        <f t="shared" si="32"/>
        <v>30.26373148810162</v>
      </c>
    </row>
    <row r="111" spans="1:35" x14ac:dyDescent="0.3">
      <c r="A111">
        <v>2020</v>
      </c>
      <c r="B111" t="s">
        <v>203</v>
      </c>
      <c r="C111" t="s">
        <v>204</v>
      </c>
      <c r="D111" t="s">
        <v>205</v>
      </c>
      <c r="E111" t="s">
        <v>206</v>
      </c>
      <c r="F111">
        <v>34</v>
      </c>
      <c r="G111" t="s">
        <v>22</v>
      </c>
      <c r="H111" t="s">
        <v>96</v>
      </c>
      <c r="I111" t="s">
        <v>97</v>
      </c>
      <c r="J111" t="s">
        <v>239</v>
      </c>
      <c r="K111" t="s">
        <v>240</v>
      </c>
      <c r="L111">
        <v>227343</v>
      </c>
      <c r="M111">
        <v>131168</v>
      </c>
      <c r="N111">
        <v>1</v>
      </c>
      <c r="O111">
        <f t="shared" si="34"/>
        <v>6.2111801242236021E-3</v>
      </c>
      <c r="P111">
        <v>10</v>
      </c>
      <c r="Q111">
        <f t="shared" si="35"/>
        <v>6.2111801242236021E-3</v>
      </c>
      <c r="R111">
        <v>5.0000000000000001E-3</v>
      </c>
      <c r="S111">
        <f t="shared" si="42"/>
        <v>0.05</v>
      </c>
      <c r="T111">
        <f t="shared" si="36"/>
        <v>9.1240875912408778E-4</v>
      </c>
      <c r="U111">
        <f t="shared" si="37"/>
        <v>-3.1561517794934553E-2</v>
      </c>
      <c r="V111">
        <f t="shared" si="38"/>
        <v>1.6300000000000002E-2</v>
      </c>
      <c r="W111">
        <v>0.1</v>
      </c>
      <c r="X111">
        <f t="shared" si="39"/>
        <v>0.16300000000000001</v>
      </c>
      <c r="Y111">
        <v>3</v>
      </c>
      <c r="Z111">
        <v>1</v>
      </c>
      <c r="AA111" t="s">
        <v>100</v>
      </c>
      <c r="AB111">
        <f t="shared" si="40"/>
        <v>2.1213203435596424</v>
      </c>
      <c r="AC111">
        <f t="shared" si="31"/>
        <v>11.313708498984759</v>
      </c>
      <c r="AE111">
        <v>2.5</v>
      </c>
      <c r="AF111">
        <v>3</v>
      </c>
      <c r="AG111">
        <v>2</v>
      </c>
      <c r="AH111">
        <f t="shared" si="41"/>
        <v>2.8204523198147964</v>
      </c>
      <c r="AI111">
        <f t="shared" si="32"/>
        <v>12.033929897876465</v>
      </c>
    </row>
    <row r="112" spans="1:35" x14ac:dyDescent="0.3">
      <c r="A112">
        <v>2020</v>
      </c>
      <c r="B112" t="s">
        <v>203</v>
      </c>
      <c r="C112" t="s">
        <v>204</v>
      </c>
      <c r="D112" t="s">
        <v>205</v>
      </c>
      <c r="E112" t="s">
        <v>206</v>
      </c>
      <c r="F112">
        <v>34</v>
      </c>
      <c r="G112" t="s">
        <v>22</v>
      </c>
      <c r="H112" t="s">
        <v>56</v>
      </c>
      <c r="I112" t="s">
        <v>153</v>
      </c>
      <c r="J112" t="s">
        <v>183</v>
      </c>
      <c r="K112" t="s">
        <v>184</v>
      </c>
      <c r="L112">
        <v>227459</v>
      </c>
      <c r="M112">
        <v>129781</v>
      </c>
      <c r="N112">
        <v>3</v>
      </c>
      <c r="O112">
        <f t="shared" si="34"/>
        <v>1.8633540372670808E-2</v>
      </c>
      <c r="P112">
        <v>30</v>
      </c>
      <c r="Q112">
        <f t="shared" si="35"/>
        <v>1.8633540372670808E-2</v>
      </c>
      <c r="R112">
        <v>5.0000000000000001E-3</v>
      </c>
      <c r="S112">
        <f t="shared" si="42"/>
        <v>0.05</v>
      </c>
      <c r="T112">
        <f t="shared" si="36"/>
        <v>9.1240875912408778E-4</v>
      </c>
      <c r="U112">
        <f t="shared" si="37"/>
        <v>-7.421351694999416E-2</v>
      </c>
      <c r="V112">
        <f t="shared" si="38"/>
        <v>1.6300000000000002E-2</v>
      </c>
      <c r="W112">
        <v>0.1</v>
      </c>
      <c r="X112">
        <f t="shared" si="39"/>
        <v>0.16300000000000001</v>
      </c>
      <c r="Y112">
        <v>3</v>
      </c>
      <c r="Z112">
        <v>2</v>
      </c>
      <c r="AA112" t="s">
        <v>100</v>
      </c>
      <c r="AB112">
        <f t="shared" si="40"/>
        <v>7.3484692283495345</v>
      </c>
      <c r="AC112">
        <f t="shared" si="31"/>
        <v>19.595917942265427</v>
      </c>
      <c r="AE112">
        <v>3</v>
      </c>
      <c r="AF112">
        <v>1</v>
      </c>
      <c r="AG112">
        <v>1</v>
      </c>
      <c r="AH112">
        <f t="shared" si="41"/>
        <v>0.74238480057596512</v>
      </c>
      <c r="AI112">
        <f t="shared" si="32"/>
        <v>15.837542412287256</v>
      </c>
    </row>
    <row r="113" spans="1:36" s="4" customFormat="1" x14ac:dyDescent="0.3">
      <c r="N113" s="4">
        <f>SUM(N86:N112)</f>
        <v>161</v>
      </c>
      <c r="O113" s="4">
        <f>SUM(O86:O112)</f>
        <v>1</v>
      </c>
      <c r="P113" s="4">
        <f t="shared" ref="P113:AI113" si="43">SUM(P86:P112)</f>
        <v>1610</v>
      </c>
      <c r="Q113" s="4">
        <f t="shared" si="43"/>
        <v>1</v>
      </c>
      <c r="R113" s="4">
        <f t="shared" si="43"/>
        <v>5.4799999999999978</v>
      </c>
      <c r="S113" s="4">
        <f t="shared" si="43"/>
        <v>54.79999999999999</v>
      </c>
      <c r="T113" s="4">
        <f t="shared" si="43"/>
        <v>1</v>
      </c>
      <c r="U113" s="4">
        <f>-SUM(U86:U112)</f>
        <v>2.712705425537044</v>
      </c>
      <c r="Y113" s="4">
        <v>4</v>
      </c>
      <c r="Z113" s="4">
        <v>4</v>
      </c>
      <c r="AB113" s="4">
        <f t="shared" si="43"/>
        <v>1165.3782710085297</v>
      </c>
      <c r="AC113" s="4">
        <f t="shared" si="43"/>
        <v>2790.8962308000723</v>
      </c>
      <c r="AD113" s="4">
        <f>AB113/AC113</f>
        <v>0.41756417101700988</v>
      </c>
      <c r="AE113" s="4">
        <v>4</v>
      </c>
      <c r="AF113" s="4">
        <v>4</v>
      </c>
      <c r="AG113" s="4">
        <v>4</v>
      </c>
      <c r="AH113" s="4">
        <f t="shared" si="43"/>
        <v>1411.7446087511487</v>
      </c>
      <c r="AI113" s="4">
        <f t="shared" si="43"/>
        <v>5554.1588199362741</v>
      </c>
      <c r="AJ113" s="4">
        <f>AH113/AI113</f>
        <v>0.25417793306230058</v>
      </c>
    </row>
    <row r="114" spans="1:36" x14ac:dyDescent="0.3">
      <c r="A114">
        <v>2020</v>
      </c>
      <c r="B114" t="s">
        <v>203</v>
      </c>
      <c r="C114" t="s">
        <v>241</v>
      </c>
      <c r="D114" t="s">
        <v>205</v>
      </c>
      <c r="E114" t="s">
        <v>206</v>
      </c>
      <c r="F114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39</v>
      </c>
      <c r="L114">
        <v>217719</v>
      </c>
      <c r="M114">
        <v>124373</v>
      </c>
      <c r="N114">
        <v>1</v>
      </c>
      <c r="O114">
        <f t="shared" ref="O114:O136" si="44">N114/$N$137</f>
        <v>1.0101010101010102E-2</v>
      </c>
      <c r="P114">
        <v>10</v>
      </c>
      <c r="Q114">
        <f t="shared" ref="Q114:Q136" si="45">P114/$P$137</f>
        <v>1.0101010101010102E-2</v>
      </c>
      <c r="R114">
        <v>23.84</v>
      </c>
      <c r="S114">
        <f>R114*10</f>
        <v>238.4</v>
      </c>
      <c r="T114">
        <f t="shared" ref="T114:T136" si="46">S114/$S$137</f>
        <v>0.91218672278553636</v>
      </c>
      <c r="U114">
        <f t="shared" ref="U114:U136" si="47">O114*LN(O114)</f>
        <v>-4.6415352021561516E-2</v>
      </c>
      <c r="V114">
        <f t="shared" ref="V114:V136" si="48">16.3/1000</f>
        <v>1.6300000000000002E-2</v>
      </c>
      <c r="W114">
        <v>0.1</v>
      </c>
      <c r="X114">
        <f t="shared" ref="X114:X136" si="49">V114/W114</f>
        <v>0.16300000000000001</v>
      </c>
      <c r="Y114">
        <v>4</v>
      </c>
      <c r="Z114">
        <v>3</v>
      </c>
      <c r="AA114" t="s">
        <v>27</v>
      </c>
      <c r="AB114">
        <f t="shared" ref="AB114:AB136" si="50">(SQRT(S114/P114))*P114*Z114*Y114</f>
        <v>585.91466955521764</v>
      </c>
      <c r="AC114">
        <f t="shared" si="31"/>
        <v>781.21955940695693</v>
      </c>
      <c r="AE114">
        <v>1.38</v>
      </c>
      <c r="AF114">
        <v>3.5</v>
      </c>
      <c r="AG114">
        <v>2.5</v>
      </c>
      <c r="AH114">
        <f t="shared" ref="AH114:AH136" si="51">((S114/P114)^0.75)*P114*AE114*AF114*AG114</f>
        <v>1302.7672360061806</v>
      </c>
      <c r="AI114">
        <f t="shared" si="32"/>
        <v>6904.9360748981826</v>
      </c>
    </row>
    <row r="115" spans="1:36" x14ac:dyDescent="0.3">
      <c r="A115">
        <v>2020</v>
      </c>
      <c r="B115" t="s">
        <v>203</v>
      </c>
      <c r="C115" t="s">
        <v>241</v>
      </c>
      <c r="D115" t="s">
        <v>205</v>
      </c>
      <c r="E115" t="s">
        <v>206</v>
      </c>
      <c r="F115">
        <v>34</v>
      </c>
      <c r="G115" t="s">
        <v>22</v>
      </c>
      <c r="H115" t="s">
        <v>67</v>
      </c>
      <c r="I115" t="s">
        <v>224</v>
      </c>
      <c r="J115" t="s">
        <v>225</v>
      </c>
      <c r="K115" t="s">
        <v>226</v>
      </c>
      <c r="L115">
        <v>227033</v>
      </c>
      <c r="M115">
        <v>130362</v>
      </c>
      <c r="N115">
        <v>5</v>
      </c>
      <c r="O115">
        <f t="shared" si="44"/>
        <v>5.0505050505050504E-2</v>
      </c>
      <c r="P115">
        <v>50</v>
      </c>
      <c r="Q115">
        <f t="shared" si="45"/>
        <v>5.0505050505050504E-2</v>
      </c>
      <c r="R115">
        <v>0.71</v>
      </c>
      <c r="S115">
        <f t="shared" ref="S115:S136" si="52">R115*10</f>
        <v>7.1</v>
      </c>
      <c r="T115">
        <f t="shared" si="46"/>
        <v>2.7166634780945081E-2</v>
      </c>
      <c r="U115">
        <f t="shared" si="47"/>
        <v>-0.15079201705558029</v>
      </c>
      <c r="V115">
        <f t="shared" si="48"/>
        <v>1.6300000000000002E-2</v>
      </c>
      <c r="W115">
        <v>0.1</v>
      </c>
      <c r="X115">
        <f t="shared" si="49"/>
        <v>0.16300000000000001</v>
      </c>
      <c r="Y115">
        <v>4</v>
      </c>
      <c r="Z115">
        <v>3</v>
      </c>
      <c r="AA115" t="s">
        <v>27</v>
      </c>
      <c r="AB115">
        <f t="shared" si="50"/>
        <v>226.09732417700127</v>
      </c>
      <c r="AC115">
        <f t="shared" si="31"/>
        <v>301.46309890266838</v>
      </c>
      <c r="AE115">
        <v>3</v>
      </c>
      <c r="AF115">
        <v>2</v>
      </c>
      <c r="AG115">
        <v>1</v>
      </c>
      <c r="AH115">
        <f t="shared" si="51"/>
        <v>69.39649130157899</v>
      </c>
      <c r="AI115">
        <f t="shared" si="32"/>
        <v>740.22924055017586</v>
      </c>
    </row>
    <row r="116" spans="1:36" x14ac:dyDescent="0.3">
      <c r="A116">
        <v>2020</v>
      </c>
      <c r="B116" t="s">
        <v>203</v>
      </c>
      <c r="C116" t="s">
        <v>241</v>
      </c>
      <c r="D116" t="s">
        <v>205</v>
      </c>
      <c r="E116" t="s">
        <v>206</v>
      </c>
      <c r="F116">
        <v>34</v>
      </c>
      <c r="G116" t="s">
        <v>22</v>
      </c>
      <c r="I116" t="s">
        <v>105</v>
      </c>
      <c r="J116" t="s">
        <v>106</v>
      </c>
      <c r="K116" t="s">
        <v>107</v>
      </c>
      <c r="L116">
        <v>227839</v>
      </c>
      <c r="M116">
        <v>130980</v>
      </c>
      <c r="N116">
        <v>16</v>
      </c>
      <c r="O116">
        <f t="shared" si="44"/>
        <v>0.16161616161616163</v>
      </c>
      <c r="P116">
        <v>160</v>
      </c>
      <c r="Q116">
        <f t="shared" si="45"/>
        <v>0.16161616161616163</v>
      </c>
      <c r="R116">
        <v>7.0000000000000007E-2</v>
      </c>
      <c r="S116">
        <f t="shared" si="52"/>
        <v>0.70000000000000007</v>
      </c>
      <c r="T116">
        <f t="shared" si="46"/>
        <v>2.6784006122058538E-3</v>
      </c>
      <c r="U116">
        <f t="shared" si="47"/>
        <v>-0.29455048531633271</v>
      </c>
      <c r="V116">
        <f t="shared" si="48"/>
        <v>1.6300000000000002E-2</v>
      </c>
      <c r="W116">
        <v>0.1</v>
      </c>
      <c r="X116">
        <f t="shared" si="49"/>
        <v>0.16300000000000001</v>
      </c>
      <c r="Y116">
        <v>4</v>
      </c>
      <c r="Z116">
        <v>4</v>
      </c>
      <c r="AA116" t="s">
        <v>27</v>
      </c>
      <c r="AB116">
        <f t="shared" si="50"/>
        <v>169.32808390813381</v>
      </c>
      <c r="AC116">
        <f t="shared" si="31"/>
        <v>169.32808390813381</v>
      </c>
      <c r="AE116">
        <v>2</v>
      </c>
      <c r="AF116">
        <v>3</v>
      </c>
      <c r="AG116">
        <v>3</v>
      </c>
      <c r="AH116">
        <f t="shared" si="51"/>
        <v>48.992097213711915</v>
      </c>
      <c r="AI116">
        <f t="shared" si="32"/>
        <v>174.19412342653123</v>
      </c>
    </row>
    <row r="117" spans="1:36" x14ac:dyDescent="0.3">
      <c r="A117">
        <v>2020</v>
      </c>
      <c r="B117" t="s">
        <v>203</v>
      </c>
      <c r="C117" t="s">
        <v>241</v>
      </c>
      <c r="D117" t="s">
        <v>205</v>
      </c>
      <c r="E117" t="s">
        <v>206</v>
      </c>
      <c r="F117">
        <v>34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>
        <v>227229</v>
      </c>
      <c r="M117">
        <v>146469</v>
      </c>
      <c r="N117">
        <v>2</v>
      </c>
      <c r="O117">
        <f t="shared" si="44"/>
        <v>2.0202020202020204E-2</v>
      </c>
      <c r="P117">
        <v>20</v>
      </c>
      <c r="Q117">
        <f t="shared" si="45"/>
        <v>2.0202020202020204E-2</v>
      </c>
      <c r="R117">
        <v>0.06</v>
      </c>
      <c r="S117">
        <f t="shared" si="52"/>
        <v>0.6</v>
      </c>
      <c r="T117">
        <f t="shared" si="46"/>
        <v>2.2957719533193027E-3</v>
      </c>
      <c r="U117">
        <f t="shared" si="47"/>
        <v>-7.8827730698477677E-2</v>
      </c>
      <c r="V117">
        <f t="shared" si="48"/>
        <v>1.6300000000000002E-2</v>
      </c>
      <c r="W117">
        <v>0.1</v>
      </c>
      <c r="X117">
        <f t="shared" si="49"/>
        <v>0.16300000000000001</v>
      </c>
      <c r="Y117">
        <v>4</v>
      </c>
      <c r="Z117">
        <v>3</v>
      </c>
      <c r="AA117" t="s">
        <v>27</v>
      </c>
      <c r="AB117">
        <f t="shared" si="50"/>
        <v>41.569219381653056</v>
      </c>
      <c r="AC117">
        <f t="shared" si="31"/>
        <v>55.42562584220407</v>
      </c>
      <c r="AE117">
        <v>1.38</v>
      </c>
      <c r="AF117">
        <v>2</v>
      </c>
      <c r="AG117">
        <v>3.5</v>
      </c>
      <c r="AH117">
        <f t="shared" si="51"/>
        <v>13.926694956325038</v>
      </c>
      <c r="AI117">
        <f t="shared" si="32"/>
        <v>92.267958302774588</v>
      </c>
    </row>
    <row r="118" spans="1:36" x14ac:dyDescent="0.3">
      <c r="A118">
        <v>2020</v>
      </c>
      <c r="B118" t="s">
        <v>203</v>
      </c>
      <c r="C118" t="s">
        <v>241</v>
      </c>
      <c r="D118" t="s">
        <v>205</v>
      </c>
      <c r="E118" t="s">
        <v>206</v>
      </c>
      <c r="F118">
        <v>34</v>
      </c>
      <c r="K118" t="s">
        <v>75</v>
      </c>
      <c r="L118">
        <v>5000018</v>
      </c>
      <c r="M118">
        <v>152391</v>
      </c>
      <c r="N118">
        <v>1</v>
      </c>
      <c r="O118">
        <f t="shared" si="44"/>
        <v>1.0101010101010102E-2</v>
      </c>
      <c r="P118">
        <v>10</v>
      </c>
      <c r="Q118">
        <f t="shared" si="45"/>
        <v>1.0101010101010102E-2</v>
      </c>
      <c r="R118">
        <v>5.0000000000000001E-3</v>
      </c>
      <c r="S118">
        <f t="shared" si="52"/>
        <v>0.05</v>
      </c>
      <c r="T118">
        <f t="shared" si="46"/>
        <v>1.9131432944327525E-4</v>
      </c>
      <c r="U118">
        <f t="shared" si="47"/>
        <v>-4.6415352021561516E-2</v>
      </c>
      <c r="V118">
        <f t="shared" si="48"/>
        <v>1.6300000000000002E-2</v>
      </c>
      <c r="W118">
        <v>0.1</v>
      </c>
      <c r="X118">
        <f t="shared" si="49"/>
        <v>0.16300000000000001</v>
      </c>
      <c r="Y118">
        <v>4</v>
      </c>
      <c r="Z118">
        <v>3</v>
      </c>
      <c r="AA118" t="s">
        <v>27</v>
      </c>
      <c r="AB118">
        <f t="shared" si="50"/>
        <v>8.4852813742385695</v>
      </c>
      <c r="AC118">
        <f t="shared" si="31"/>
        <v>11.313708498984759</v>
      </c>
      <c r="AE118">
        <v>2</v>
      </c>
      <c r="AF118">
        <v>2</v>
      </c>
      <c r="AG118">
        <v>2</v>
      </c>
      <c r="AH118">
        <f t="shared" si="51"/>
        <v>1.5042412372345582</v>
      </c>
      <c r="AI118">
        <f t="shared" si="32"/>
        <v>12.033929897876465</v>
      </c>
    </row>
    <row r="119" spans="1:36" x14ac:dyDescent="0.3">
      <c r="A119">
        <v>2020</v>
      </c>
      <c r="B119" t="s">
        <v>203</v>
      </c>
      <c r="C119" t="s">
        <v>241</v>
      </c>
      <c r="D119" t="s">
        <v>205</v>
      </c>
      <c r="E119" t="s">
        <v>206</v>
      </c>
      <c r="F119">
        <v>34</v>
      </c>
      <c r="G119" t="s">
        <v>22</v>
      </c>
      <c r="H119" t="s">
        <v>56</v>
      </c>
      <c r="I119" t="s">
        <v>90</v>
      </c>
      <c r="J119" t="s">
        <v>91</v>
      </c>
      <c r="K119" t="s">
        <v>92</v>
      </c>
      <c r="L119">
        <v>227550</v>
      </c>
      <c r="M119">
        <v>131534</v>
      </c>
      <c r="N119">
        <v>6</v>
      </c>
      <c r="O119">
        <f t="shared" si="44"/>
        <v>6.0606060606060608E-2</v>
      </c>
      <c r="P119">
        <v>60</v>
      </c>
      <c r="Q119">
        <f t="shared" si="45"/>
        <v>6.0606060606060608E-2</v>
      </c>
      <c r="R119">
        <v>0.82</v>
      </c>
      <c r="S119">
        <f t="shared" si="52"/>
        <v>8.1999999999999993</v>
      </c>
      <c r="T119">
        <f t="shared" si="46"/>
        <v>3.1375550028697137E-2</v>
      </c>
      <c r="U119">
        <f t="shared" si="47"/>
        <v>-0.16990062914585061</v>
      </c>
      <c r="V119">
        <f t="shared" si="48"/>
        <v>1.6300000000000002E-2</v>
      </c>
      <c r="W119">
        <v>0.1</v>
      </c>
      <c r="X119">
        <f t="shared" si="49"/>
        <v>0.16300000000000001</v>
      </c>
      <c r="Y119">
        <v>3</v>
      </c>
      <c r="Z119">
        <v>1</v>
      </c>
      <c r="AA119" t="s">
        <v>93</v>
      </c>
      <c r="AB119">
        <f t="shared" si="50"/>
        <v>66.543219038456499</v>
      </c>
      <c r="AC119">
        <f t="shared" si="31"/>
        <v>354.89716820510131</v>
      </c>
      <c r="AE119">
        <v>1</v>
      </c>
      <c r="AF119">
        <v>3</v>
      </c>
      <c r="AG119">
        <v>1</v>
      </c>
      <c r="AH119">
        <f t="shared" si="51"/>
        <v>40.459401729956781</v>
      </c>
      <c r="AI119">
        <f t="shared" si="32"/>
        <v>863.13390357241133</v>
      </c>
    </row>
    <row r="120" spans="1:36" x14ac:dyDescent="0.3">
      <c r="A120">
        <v>2020</v>
      </c>
      <c r="B120" t="s">
        <v>203</v>
      </c>
      <c r="C120" t="s">
        <v>241</v>
      </c>
      <c r="D120" t="s">
        <v>205</v>
      </c>
      <c r="E120" t="s">
        <v>206</v>
      </c>
      <c r="F120">
        <v>34</v>
      </c>
      <c r="G120" t="s">
        <v>22</v>
      </c>
      <c r="H120" t="s">
        <v>56</v>
      </c>
      <c r="I120" t="s">
        <v>90</v>
      </c>
      <c r="J120" t="s">
        <v>201</v>
      </c>
      <c r="K120" t="s">
        <v>202</v>
      </c>
      <c r="L120">
        <v>227498</v>
      </c>
      <c r="M120">
        <v>131575</v>
      </c>
      <c r="N120">
        <v>3</v>
      </c>
      <c r="O120">
        <f t="shared" si="44"/>
        <v>3.0303030303030304E-2</v>
      </c>
      <c r="P120">
        <v>30</v>
      </c>
      <c r="Q120">
        <f t="shared" si="45"/>
        <v>3.0303030303030304E-2</v>
      </c>
      <c r="R120">
        <v>0.09</v>
      </c>
      <c r="S120">
        <f t="shared" si="52"/>
        <v>0.89999999999999991</v>
      </c>
      <c r="T120">
        <f t="shared" si="46"/>
        <v>3.4436579299789542E-3</v>
      </c>
      <c r="U120">
        <f t="shared" si="47"/>
        <v>-0.10595477458989334</v>
      </c>
      <c r="V120">
        <f t="shared" si="48"/>
        <v>1.6300000000000002E-2</v>
      </c>
      <c r="W120">
        <v>0.1</v>
      </c>
      <c r="X120">
        <f t="shared" si="49"/>
        <v>0.16300000000000001</v>
      </c>
      <c r="Y120">
        <v>3</v>
      </c>
      <c r="Z120">
        <v>1</v>
      </c>
      <c r="AA120" t="s">
        <v>93</v>
      </c>
      <c r="AB120">
        <f t="shared" si="50"/>
        <v>15.588457268119893</v>
      </c>
      <c r="AC120">
        <f t="shared" si="31"/>
        <v>83.138438763306098</v>
      </c>
      <c r="AE120">
        <v>3</v>
      </c>
      <c r="AF120">
        <v>3</v>
      </c>
      <c r="AG120">
        <v>1</v>
      </c>
      <c r="AH120">
        <f t="shared" si="51"/>
        <v>19.462772454491514</v>
      </c>
      <c r="AI120">
        <f t="shared" si="32"/>
        <v>138.40193745416187</v>
      </c>
    </row>
    <row r="121" spans="1:36" x14ac:dyDescent="0.3">
      <c r="A121">
        <v>2020</v>
      </c>
      <c r="B121" t="s">
        <v>203</v>
      </c>
      <c r="C121" t="s">
        <v>241</v>
      </c>
      <c r="D121" t="s">
        <v>205</v>
      </c>
      <c r="E121" t="s">
        <v>206</v>
      </c>
      <c r="F121">
        <v>34</v>
      </c>
      <c r="G121" t="s">
        <v>22</v>
      </c>
      <c r="H121" t="s">
        <v>56</v>
      </c>
      <c r="I121" t="s">
        <v>90</v>
      </c>
      <c r="J121" t="s">
        <v>117</v>
      </c>
      <c r="K121" t="s">
        <v>118</v>
      </c>
      <c r="L121">
        <v>227496</v>
      </c>
      <c r="M121">
        <v>131573</v>
      </c>
      <c r="N121">
        <v>1</v>
      </c>
      <c r="O121">
        <f t="shared" si="44"/>
        <v>1.0101010101010102E-2</v>
      </c>
      <c r="P121">
        <v>10</v>
      </c>
      <c r="Q121">
        <f t="shared" si="45"/>
        <v>1.0101010101010102E-2</v>
      </c>
      <c r="R121">
        <v>0.01</v>
      </c>
      <c r="S121">
        <f t="shared" si="52"/>
        <v>0.1</v>
      </c>
      <c r="T121">
        <f t="shared" si="46"/>
        <v>3.826286588865505E-4</v>
      </c>
      <c r="U121">
        <f t="shared" si="47"/>
        <v>-4.6415352021561516E-2</v>
      </c>
      <c r="V121">
        <f t="shared" si="48"/>
        <v>1.6300000000000002E-2</v>
      </c>
      <c r="W121">
        <v>0.1</v>
      </c>
      <c r="X121">
        <f t="shared" si="49"/>
        <v>0.16300000000000001</v>
      </c>
      <c r="Y121">
        <v>3</v>
      </c>
      <c r="Z121">
        <v>1</v>
      </c>
      <c r="AA121" t="s">
        <v>93</v>
      </c>
      <c r="AB121">
        <f t="shared" si="50"/>
        <v>3</v>
      </c>
      <c r="AC121">
        <f t="shared" si="31"/>
        <v>16</v>
      </c>
      <c r="AE121">
        <v>3</v>
      </c>
      <c r="AF121">
        <v>3</v>
      </c>
      <c r="AG121">
        <v>1</v>
      </c>
      <c r="AH121">
        <f t="shared" si="51"/>
        <v>2.846049894151542</v>
      </c>
      <c r="AI121">
        <f t="shared" si="32"/>
        <v>20.238577025077632</v>
      </c>
    </row>
    <row r="122" spans="1:36" x14ac:dyDescent="0.3">
      <c r="A122">
        <v>2020</v>
      </c>
      <c r="B122" t="s">
        <v>203</v>
      </c>
      <c r="C122" t="s">
        <v>241</v>
      </c>
      <c r="D122" t="s">
        <v>205</v>
      </c>
      <c r="E122" t="s">
        <v>206</v>
      </c>
      <c r="F122">
        <v>34</v>
      </c>
      <c r="G122" t="s">
        <v>22</v>
      </c>
      <c r="I122" t="s">
        <v>221</v>
      </c>
      <c r="J122" t="s">
        <v>222</v>
      </c>
      <c r="K122" t="s">
        <v>223</v>
      </c>
      <c r="L122">
        <v>227385</v>
      </c>
      <c r="M122">
        <v>130270</v>
      </c>
      <c r="N122">
        <v>12</v>
      </c>
      <c r="O122">
        <f t="shared" si="44"/>
        <v>0.12121212121212122</v>
      </c>
      <c r="P122">
        <v>120</v>
      </c>
      <c r="Q122">
        <f t="shared" si="45"/>
        <v>0.12121212121212122</v>
      </c>
      <c r="R122">
        <v>0.02</v>
      </c>
      <c r="S122">
        <f t="shared" si="52"/>
        <v>0.2</v>
      </c>
      <c r="T122">
        <f t="shared" si="46"/>
        <v>7.65257317773101E-4</v>
      </c>
      <c r="U122">
        <f t="shared" si="47"/>
        <v>-0.25578341822382905</v>
      </c>
      <c r="V122">
        <f t="shared" si="48"/>
        <v>1.6300000000000002E-2</v>
      </c>
      <c r="W122">
        <v>0.1</v>
      </c>
      <c r="X122">
        <f t="shared" si="49"/>
        <v>0.16300000000000001</v>
      </c>
      <c r="Y122">
        <v>2</v>
      </c>
      <c r="Z122">
        <v>2</v>
      </c>
      <c r="AA122" t="s">
        <v>50</v>
      </c>
      <c r="AB122">
        <f t="shared" si="50"/>
        <v>19.595917942265427</v>
      </c>
      <c r="AC122">
        <f t="shared" si="31"/>
        <v>78.383671769061706</v>
      </c>
      <c r="AE122">
        <v>3</v>
      </c>
      <c r="AF122">
        <v>3</v>
      </c>
      <c r="AG122">
        <v>4</v>
      </c>
      <c r="AH122">
        <f t="shared" si="51"/>
        <v>35.634470427646328</v>
      </c>
      <c r="AI122">
        <f t="shared" si="32"/>
        <v>63.350169649149024</v>
      </c>
    </row>
    <row r="123" spans="1:36" x14ac:dyDescent="0.3">
      <c r="A123">
        <v>2020</v>
      </c>
      <c r="B123" t="s">
        <v>203</v>
      </c>
      <c r="C123" t="s">
        <v>241</v>
      </c>
      <c r="D123" t="s">
        <v>205</v>
      </c>
      <c r="E123" t="s">
        <v>206</v>
      </c>
      <c r="F123">
        <v>34</v>
      </c>
      <c r="G123" t="s">
        <v>79</v>
      </c>
      <c r="H123" t="s">
        <v>113</v>
      </c>
      <c r="I123" t="s">
        <v>114</v>
      </c>
      <c r="J123" t="s">
        <v>115</v>
      </c>
      <c r="K123" t="s">
        <v>116</v>
      </c>
      <c r="L123">
        <v>232154</v>
      </c>
      <c r="M123">
        <v>152397</v>
      </c>
      <c r="N123">
        <v>3</v>
      </c>
      <c r="O123">
        <f t="shared" si="44"/>
        <v>3.0303030303030304E-2</v>
      </c>
      <c r="P123">
        <v>30</v>
      </c>
      <c r="Q123">
        <f t="shared" si="45"/>
        <v>3.0303030303030304E-2</v>
      </c>
      <c r="R123">
        <v>0.02</v>
      </c>
      <c r="S123">
        <f t="shared" si="52"/>
        <v>0.2</v>
      </c>
      <c r="T123">
        <f t="shared" si="46"/>
        <v>7.65257317773101E-4</v>
      </c>
      <c r="U123">
        <f t="shared" si="47"/>
        <v>-0.10595477458989334</v>
      </c>
      <c r="V123">
        <f t="shared" si="48"/>
        <v>1.6300000000000002E-2</v>
      </c>
      <c r="W123">
        <v>0.1</v>
      </c>
      <c r="X123">
        <f t="shared" si="49"/>
        <v>0.16300000000000001</v>
      </c>
      <c r="Y123">
        <v>2</v>
      </c>
      <c r="Z123">
        <v>2</v>
      </c>
      <c r="AA123" t="s">
        <v>50</v>
      </c>
      <c r="AB123">
        <f t="shared" si="50"/>
        <v>9.7979589711327133</v>
      </c>
      <c r="AC123">
        <f t="shared" si="31"/>
        <v>39.191835884530853</v>
      </c>
      <c r="AE123">
        <v>3</v>
      </c>
      <c r="AF123">
        <v>4</v>
      </c>
      <c r="AG123">
        <v>4</v>
      </c>
      <c r="AH123">
        <f t="shared" si="51"/>
        <v>33.596500911173607</v>
      </c>
      <c r="AI123">
        <f t="shared" si="32"/>
        <v>44.795334548231473</v>
      </c>
    </row>
    <row r="124" spans="1:36" x14ac:dyDescent="0.3">
      <c r="A124">
        <v>2020</v>
      </c>
      <c r="B124" t="s">
        <v>203</v>
      </c>
      <c r="C124" t="s">
        <v>241</v>
      </c>
      <c r="D124" t="s">
        <v>205</v>
      </c>
      <c r="E124" t="s">
        <v>206</v>
      </c>
      <c r="F124">
        <v>34</v>
      </c>
      <c r="G124" t="s">
        <v>22</v>
      </c>
      <c r="H124" t="s">
        <v>56</v>
      </c>
      <c r="I124" t="s">
        <v>132</v>
      </c>
      <c r="J124" t="s">
        <v>133</v>
      </c>
      <c r="K124" t="s">
        <v>134</v>
      </c>
      <c r="L124">
        <v>227416</v>
      </c>
      <c r="M124">
        <v>129955</v>
      </c>
      <c r="N124">
        <v>4</v>
      </c>
      <c r="O124">
        <f t="shared" si="44"/>
        <v>4.0404040404040407E-2</v>
      </c>
      <c r="P124">
        <v>40</v>
      </c>
      <c r="Q124">
        <f t="shared" si="45"/>
        <v>4.0404040404040407E-2</v>
      </c>
      <c r="R124">
        <v>0.02</v>
      </c>
      <c r="S124">
        <f t="shared" si="52"/>
        <v>0.2</v>
      </c>
      <c r="T124">
        <f t="shared" si="46"/>
        <v>7.65257317773101E-4</v>
      </c>
      <c r="U124">
        <f t="shared" si="47"/>
        <v>-0.12964951470766464</v>
      </c>
      <c r="V124">
        <f t="shared" si="48"/>
        <v>1.6300000000000002E-2</v>
      </c>
      <c r="W124">
        <v>0.1</v>
      </c>
      <c r="X124">
        <f t="shared" si="49"/>
        <v>0.16300000000000001</v>
      </c>
      <c r="Y124">
        <v>2</v>
      </c>
      <c r="Z124">
        <v>2</v>
      </c>
      <c r="AA124" t="s">
        <v>50</v>
      </c>
      <c r="AB124">
        <f t="shared" si="50"/>
        <v>11.313708498984759</v>
      </c>
      <c r="AC124">
        <f t="shared" si="31"/>
        <v>45.254833995939038</v>
      </c>
      <c r="AE124">
        <v>3</v>
      </c>
      <c r="AF124">
        <v>3</v>
      </c>
      <c r="AG124">
        <v>2</v>
      </c>
      <c r="AH124">
        <f t="shared" si="51"/>
        <v>13.538171135111025</v>
      </c>
      <c r="AI124">
        <f t="shared" si="32"/>
        <v>48.135719591505861</v>
      </c>
    </row>
    <row r="125" spans="1:36" x14ac:dyDescent="0.3">
      <c r="A125">
        <v>2020</v>
      </c>
      <c r="B125" t="s">
        <v>203</v>
      </c>
      <c r="C125" t="s">
        <v>241</v>
      </c>
      <c r="D125" t="s">
        <v>205</v>
      </c>
      <c r="E125" t="s">
        <v>206</v>
      </c>
      <c r="F125">
        <v>34</v>
      </c>
      <c r="G125" t="s">
        <v>79</v>
      </c>
      <c r="H125" t="s">
        <v>113</v>
      </c>
      <c r="I125" t="s">
        <v>123</v>
      </c>
      <c r="J125" t="s">
        <v>124</v>
      </c>
      <c r="K125" t="s">
        <v>125</v>
      </c>
      <c r="L125">
        <v>218310</v>
      </c>
      <c r="M125">
        <v>141435</v>
      </c>
      <c r="N125">
        <v>7</v>
      </c>
      <c r="O125">
        <f t="shared" si="44"/>
        <v>7.0707070707070704E-2</v>
      </c>
      <c r="P125">
        <v>70</v>
      </c>
      <c r="Q125">
        <f t="shared" si="45"/>
        <v>7.0707070707070704E-2</v>
      </c>
      <c r="R125">
        <v>0.26</v>
      </c>
      <c r="S125">
        <f t="shared" si="52"/>
        <v>2.6</v>
      </c>
      <c r="T125">
        <f t="shared" si="46"/>
        <v>9.9483451310503138E-3</v>
      </c>
      <c r="U125">
        <f t="shared" si="47"/>
        <v>-0.18731785765207007</v>
      </c>
      <c r="V125">
        <f t="shared" si="48"/>
        <v>1.6300000000000002E-2</v>
      </c>
      <c r="W125">
        <v>0.1</v>
      </c>
      <c r="X125">
        <f t="shared" si="49"/>
        <v>0.16300000000000001</v>
      </c>
      <c r="Y125">
        <v>2</v>
      </c>
      <c r="Z125">
        <v>2</v>
      </c>
      <c r="AA125" t="s">
        <v>50</v>
      </c>
      <c r="AB125">
        <f t="shared" si="50"/>
        <v>53.962950252928167</v>
      </c>
      <c r="AC125">
        <f t="shared" si="31"/>
        <v>215.85180101171267</v>
      </c>
      <c r="AE125">
        <v>1</v>
      </c>
      <c r="AF125">
        <v>1</v>
      </c>
      <c r="AG125">
        <v>2</v>
      </c>
      <c r="AH125">
        <f t="shared" si="51"/>
        <v>11.844985042523826</v>
      </c>
      <c r="AI125">
        <f t="shared" si="32"/>
        <v>379.03952136076242</v>
      </c>
    </row>
    <row r="126" spans="1:36" x14ac:dyDescent="0.3">
      <c r="A126">
        <v>2020</v>
      </c>
      <c r="B126" t="s">
        <v>203</v>
      </c>
      <c r="C126" t="s">
        <v>241</v>
      </c>
      <c r="D126" t="s">
        <v>205</v>
      </c>
      <c r="E126" t="s">
        <v>206</v>
      </c>
      <c r="F126">
        <v>34</v>
      </c>
      <c r="I126" t="s">
        <v>230</v>
      </c>
      <c r="J126" t="s">
        <v>231</v>
      </c>
      <c r="K126" t="s">
        <v>232</v>
      </c>
      <c r="L126">
        <v>233581</v>
      </c>
      <c r="M126">
        <v>128549</v>
      </c>
      <c r="N126">
        <v>5</v>
      </c>
      <c r="O126">
        <f t="shared" si="44"/>
        <v>5.0505050505050504E-2</v>
      </c>
      <c r="P126">
        <v>50</v>
      </c>
      <c r="Q126">
        <f t="shared" si="45"/>
        <v>5.0505050505050504E-2</v>
      </c>
      <c r="R126">
        <v>0.06</v>
      </c>
      <c r="S126">
        <f t="shared" si="52"/>
        <v>0.6</v>
      </c>
      <c r="T126">
        <f t="shared" si="46"/>
        <v>2.2957719533193027E-3</v>
      </c>
      <c r="U126">
        <f t="shared" si="47"/>
        <v>-0.15079201705558029</v>
      </c>
      <c r="V126">
        <f t="shared" si="48"/>
        <v>1.6300000000000002E-2</v>
      </c>
      <c r="W126">
        <v>0.1</v>
      </c>
      <c r="X126">
        <f t="shared" si="49"/>
        <v>0.16300000000000001</v>
      </c>
      <c r="Y126">
        <v>2</v>
      </c>
      <c r="Z126">
        <v>1</v>
      </c>
      <c r="AA126" t="s">
        <v>50</v>
      </c>
      <c r="AB126">
        <f t="shared" si="50"/>
        <v>10.954451150103322</v>
      </c>
      <c r="AC126">
        <f t="shared" si="31"/>
        <v>87.635609200826579</v>
      </c>
      <c r="AE126">
        <v>3</v>
      </c>
      <c r="AF126">
        <v>2</v>
      </c>
      <c r="AG126">
        <v>1</v>
      </c>
      <c r="AH126">
        <f t="shared" si="51"/>
        <v>10.876951430484365</v>
      </c>
      <c r="AI126">
        <f t="shared" si="32"/>
        <v>116.02081525849988</v>
      </c>
    </row>
    <row r="127" spans="1:36" x14ac:dyDescent="0.3">
      <c r="A127">
        <v>2020</v>
      </c>
      <c r="B127" t="s">
        <v>203</v>
      </c>
      <c r="C127" t="s">
        <v>241</v>
      </c>
      <c r="D127" t="s">
        <v>205</v>
      </c>
      <c r="E127" t="s">
        <v>206</v>
      </c>
      <c r="F127">
        <v>34</v>
      </c>
      <c r="G127" t="s">
        <v>79</v>
      </c>
      <c r="H127" t="s">
        <v>215</v>
      </c>
      <c r="I127" t="s">
        <v>216</v>
      </c>
      <c r="J127" t="s">
        <v>217</v>
      </c>
      <c r="K127" t="s">
        <v>218</v>
      </c>
      <c r="L127">
        <v>218266</v>
      </c>
      <c r="M127">
        <v>139410</v>
      </c>
      <c r="N127">
        <v>9</v>
      </c>
      <c r="O127">
        <f t="shared" si="44"/>
        <v>9.0909090909090912E-2</v>
      </c>
      <c r="P127">
        <v>90</v>
      </c>
      <c r="Q127">
        <f t="shared" si="45"/>
        <v>9.0909090909090912E-2</v>
      </c>
      <c r="R127">
        <v>0.03</v>
      </c>
      <c r="S127">
        <f t="shared" si="52"/>
        <v>0.3</v>
      </c>
      <c r="T127">
        <f t="shared" si="46"/>
        <v>1.1478859766596513E-3</v>
      </c>
      <c r="U127">
        <f t="shared" si="47"/>
        <v>-0.21799047934530644</v>
      </c>
      <c r="V127">
        <f t="shared" si="48"/>
        <v>1.6300000000000002E-2</v>
      </c>
      <c r="W127">
        <v>0.1</v>
      </c>
      <c r="X127">
        <f t="shared" si="49"/>
        <v>0.16300000000000001</v>
      </c>
      <c r="Y127">
        <v>2</v>
      </c>
      <c r="Z127">
        <v>2</v>
      </c>
      <c r="AA127" t="s">
        <v>50</v>
      </c>
      <c r="AB127">
        <f t="shared" si="50"/>
        <v>20.784609690826528</v>
      </c>
      <c r="AC127">
        <f t="shared" si="31"/>
        <v>83.138438763306112</v>
      </c>
      <c r="AE127">
        <v>2.5</v>
      </c>
      <c r="AF127">
        <v>1</v>
      </c>
      <c r="AG127">
        <v>2</v>
      </c>
      <c r="AH127">
        <f t="shared" si="51"/>
        <v>6.2426871754317261</v>
      </c>
      <c r="AI127">
        <f t="shared" si="32"/>
        <v>79.906395845526092</v>
      </c>
    </row>
    <row r="128" spans="1:36" x14ac:dyDescent="0.3">
      <c r="A128">
        <v>2020</v>
      </c>
      <c r="B128" t="s">
        <v>203</v>
      </c>
      <c r="C128" t="s">
        <v>241</v>
      </c>
      <c r="D128" t="s">
        <v>205</v>
      </c>
      <c r="E128" t="s">
        <v>206</v>
      </c>
      <c r="F128">
        <v>34</v>
      </c>
      <c r="G128" t="s">
        <v>79</v>
      </c>
      <c r="H128" t="s">
        <v>245</v>
      </c>
      <c r="I128" t="s">
        <v>246</v>
      </c>
      <c r="J128" t="s">
        <v>247</v>
      </c>
      <c r="K128" t="s">
        <v>248</v>
      </c>
      <c r="L128">
        <v>218231</v>
      </c>
      <c r="M128">
        <v>140589</v>
      </c>
      <c r="N128">
        <v>2</v>
      </c>
      <c r="O128">
        <f t="shared" si="44"/>
        <v>2.0202020202020204E-2</v>
      </c>
      <c r="P128">
        <v>20</v>
      </c>
      <c r="Q128">
        <f t="shared" si="45"/>
        <v>2.0202020202020204E-2</v>
      </c>
      <c r="R128">
        <v>0.02</v>
      </c>
      <c r="S128">
        <f t="shared" si="52"/>
        <v>0.2</v>
      </c>
      <c r="T128">
        <f t="shared" si="46"/>
        <v>7.65257317773101E-4</v>
      </c>
      <c r="U128">
        <f t="shared" si="47"/>
        <v>-7.8827730698477677E-2</v>
      </c>
      <c r="V128">
        <f t="shared" si="48"/>
        <v>1.6300000000000002E-2</v>
      </c>
      <c r="W128">
        <v>0.1</v>
      </c>
      <c r="X128">
        <f t="shared" si="49"/>
        <v>0.16300000000000001</v>
      </c>
      <c r="Y128">
        <v>2</v>
      </c>
      <c r="Z128">
        <v>3</v>
      </c>
      <c r="AA128" t="s">
        <v>50</v>
      </c>
      <c r="AB128">
        <f t="shared" si="50"/>
        <v>12</v>
      </c>
      <c r="AC128">
        <f t="shared" si="31"/>
        <v>32</v>
      </c>
      <c r="AE128">
        <v>3</v>
      </c>
      <c r="AF128">
        <v>3</v>
      </c>
      <c r="AG128">
        <v>1</v>
      </c>
      <c r="AH128">
        <f t="shared" si="51"/>
        <v>5.6920997883030839</v>
      </c>
      <c r="AI128">
        <f t="shared" si="32"/>
        <v>40.477154050155264</v>
      </c>
    </row>
    <row r="129" spans="1:36" x14ac:dyDescent="0.3">
      <c r="A129">
        <v>2020</v>
      </c>
      <c r="B129" t="s">
        <v>203</v>
      </c>
      <c r="C129" t="s">
        <v>241</v>
      </c>
      <c r="D129" t="s">
        <v>205</v>
      </c>
      <c r="E129" t="s">
        <v>206</v>
      </c>
      <c r="F129">
        <v>34</v>
      </c>
      <c r="G129" t="s">
        <v>45</v>
      </c>
      <c r="H129" t="s">
        <v>71</v>
      </c>
      <c r="I129" t="s">
        <v>72</v>
      </c>
      <c r="J129" t="s">
        <v>73</v>
      </c>
      <c r="K129" t="s">
        <v>74</v>
      </c>
      <c r="L129">
        <v>217978</v>
      </c>
      <c r="M129">
        <v>140129</v>
      </c>
      <c r="N129">
        <v>6</v>
      </c>
      <c r="O129">
        <f t="shared" si="44"/>
        <v>6.0606060606060608E-2</v>
      </c>
      <c r="P129">
        <v>60</v>
      </c>
      <c r="Q129">
        <f t="shared" si="45"/>
        <v>6.0606060606060608E-2</v>
      </c>
      <c r="R129">
        <v>0.02</v>
      </c>
      <c r="S129">
        <f t="shared" si="52"/>
        <v>0.2</v>
      </c>
      <c r="T129">
        <f t="shared" si="46"/>
        <v>7.65257317773101E-4</v>
      </c>
      <c r="U129">
        <f t="shared" si="47"/>
        <v>-0.16990062914585061</v>
      </c>
      <c r="V129">
        <f t="shared" si="48"/>
        <v>1.6300000000000002E-2</v>
      </c>
      <c r="W129">
        <v>0.1</v>
      </c>
      <c r="X129">
        <f t="shared" si="49"/>
        <v>0.16300000000000001</v>
      </c>
      <c r="Y129">
        <v>2</v>
      </c>
      <c r="Z129">
        <v>3</v>
      </c>
      <c r="AA129" t="s">
        <v>50</v>
      </c>
      <c r="AB129">
        <f t="shared" si="50"/>
        <v>20.784609690826528</v>
      </c>
      <c r="AC129">
        <f t="shared" si="31"/>
        <v>55.425625842204077</v>
      </c>
      <c r="AE129">
        <v>1</v>
      </c>
      <c r="AF129">
        <v>3</v>
      </c>
      <c r="AG129">
        <v>1</v>
      </c>
      <c r="AH129">
        <f t="shared" si="51"/>
        <v>2.4970748701726904</v>
      </c>
      <c r="AI129">
        <f t="shared" si="32"/>
        <v>53.270930563684061</v>
      </c>
    </row>
    <row r="130" spans="1:36" x14ac:dyDescent="0.3">
      <c r="A130">
        <v>2020</v>
      </c>
      <c r="B130" t="s">
        <v>203</v>
      </c>
      <c r="C130" t="s">
        <v>241</v>
      </c>
      <c r="D130" t="s">
        <v>205</v>
      </c>
      <c r="E130" t="s">
        <v>206</v>
      </c>
      <c r="F130">
        <v>34</v>
      </c>
      <c r="G130" t="s">
        <v>51</v>
      </c>
      <c r="H130" t="s">
        <v>126</v>
      </c>
      <c r="I130" t="s">
        <v>242</v>
      </c>
      <c r="J130" t="s">
        <v>243</v>
      </c>
      <c r="K130" t="s">
        <v>244</v>
      </c>
      <c r="L130">
        <v>233532</v>
      </c>
      <c r="M130">
        <v>102462</v>
      </c>
      <c r="N130">
        <v>2</v>
      </c>
      <c r="O130">
        <f t="shared" si="44"/>
        <v>2.0202020202020204E-2</v>
      </c>
      <c r="P130">
        <v>20</v>
      </c>
      <c r="Q130">
        <f t="shared" si="45"/>
        <v>2.0202020202020204E-2</v>
      </c>
      <c r="R130">
        <v>0.01</v>
      </c>
      <c r="S130">
        <f t="shared" si="52"/>
        <v>0.1</v>
      </c>
      <c r="T130">
        <f t="shared" si="46"/>
        <v>3.826286588865505E-4</v>
      </c>
      <c r="U130">
        <f t="shared" si="47"/>
        <v>-7.8827730698477677E-2</v>
      </c>
      <c r="V130">
        <f t="shared" si="48"/>
        <v>1.6300000000000002E-2</v>
      </c>
      <c r="W130">
        <v>0.1</v>
      </c>
      <c r="X130">
        <f t="shared" si="49"/>
        <v>0.16300000000000001</v>
      </c>
      <c r="Y130">
        <v>2</v>
      </c>
      <c r="Z130">
        <v>3</v>
      </c>
      <c r="AA130" t="s">
        <v>50</v>
      </c>
      <c r="AB130">
        <f t="shared" si="50"/>
        <v>8.4852813742385695</v>
      </c>
      <c r="AC130">
        <f t="shared" si="31"/>
        <v>22.627416997969519</v>
      </c>
      <c r="AE130">
        <v>1</v>
      </c>
      <c r="AF130">
        <v>3.5</v>
      </c>
      <c r="AG130">
        <v>1.5</v>
      </c>
      <c r="AH130">
        <f t="shared" si="51"/>
        <v>1.9743166238703576</v>
      </c>
      <c r="AI130">
        <f t="shared" si="32"/>
        <v>24.067859795752931</v>
      </c>
    </row>
    <row r="131" spans="1:36" x14ac:dyDescent="0.3">
      <c r="A131">
        <v>2020</v>
      </c>
      <c r="B131" t="s">
        <v>203</v>
      </c>
      <c r="C131" t="s">
        <v>241</v>
      </c>
      <c r="D131" t="s">
        <v>205</v>
      </c>
      <c r="E131" t="s">
        <v>206</v>
      </c>
      <c r="F131">
        <v>34</v>
      </c>
      <c r="G131" t="s">
        <v>22</v>
      </c>
      <c r="I131" t="s">
        <v>102</v>
      </c>
      <c r="K131" t="s">
        <v>102</v>
      </c>
      <c r="L131">
        <v>2000521</v>
      </c>
      <c r="M131">
        <v>923</v>
      </c>
      <c r="N131">
        <v>1</v>
      </c>
      <c r="O131">
        <f t="shared" si="44"/>
        <v>1.0101010101010102E-2</v>
      </c>
      <c r="P131">
        <v>10</v>
      </c>
      <c r="Q131">
        <f t="shared" si="45"/>
        <v>1.0101010101010102E-2</v>
      </c>
      <c r="R131">
        <v>5.0000000000000001E-3</v>
      </c>
      <c r="S131">
        <f t="shared" si="52"/>
        <v>0.05</v>
      </c>
      <c r="T131">
        <f t="shared" si="46"/>
        <v>1.9131432944327525E-4</v>
      </c>
      <c r="U131">
        <f t="shared" si="47"/>
        <v>-4.6415352021561516E-2</v>
      </c>
      <c r="V131">
        <f t="shared" si="48"/>
        <v>1.6300000000000002E-2</v>
      </c>
      <c r="W131">
        <v>0.1</v>
      </c>
      <c r="X131">
        <f t="shared" si="49"/>
        <v>0.16300000000000001</v>
      </c>
      <c r="Y131">
        <v>3</v>
      </c>
      <c r="Z131">
        <v>1.0526315789473699</v>
      </c>
      <c r="AA131" t="s">
        <v>60</v>
      </c>
      <c r="AB131">
        <f t="shared" si="50"/>
        <v>2.2329687826943636</v>
      </c>
      <c r="AC131">
        <f t="shared" ref="AC131:AC194" si="53">(SQRT(S131/P131))*P131*4*4</f>
        <v>11.313708498984759</v>
      </c>
      <c r="AE131">
        <v>3</v>
      </c>
      <c r="AF131">
        <v>4</v>
      </c>
      <c r="AG131">
        <v>2.855</v>
      </c>
      <c r="AH131">
        <f t="shared" si="51"/>
        <v>6.4419130984569959</v>
      </c>
      <c r="AI131">
        <f t="shared" ref="AI131:AI194" si="54">((S131/P131)^0.75)*P131*4*4*4</f>
        <v>12.033929897876465</v>
      </c>
    </row>
    <row r="132" spans="1:36" x14ac:dyDescent="0.3">
      <c r="A132">
        <v>2020</v>
      </c>
      <c r="B132" t="s">
        <v>203</v>
      </c>
      <c r="C132" t="s">
        <v>241</v>
      </c>
      <c r="D132" t="s">
        <v>205</v>
      </c>
      <c r="E132" t="s">
        <v>206</v>
      </c>
      <c r="F132">
        <v>34</v>
      </c>
      <c r="G132" t="s">
        <v>22</v>
      </c>
      <c r="H132" t="s">
        <v>56</v>
      </c>
      <c r="I132" t="s">
        <v>57</v>
      </c>
      <c r="J132" t="s">
        <v>58</v>
      </c>
      <c r="K132" t="s">
        <v>59</v>
      </c>
      <c r="L132">
        <v>227394</v>
      </c>
      <c r="M132">
        <v>130100</v>
      </c>
      <c r="N132">
        <v>1</v>
      </c>
      <c r="O132">
        <f t="shared" si="44"/>
        <v>1.0101010101010102E-2</v>
      </c>
      <c r="P132">
        <v>10</v>
      </c>
      <c r="Q132">
        <f t="shared" si="45"/>
        <v>1.0101010101010102E-2</v>
      </c>
      <c r="R132">
        <v>0.01</v>
      </c>
      <c r="S132">
        <f t="shared" si="52"/>
        <v>0.1</v>
      </c>
      <c r="T132">
        <f t="shared" si="46"/>
        <v>3.826286588865505E-4</v>
      </c>
      <c r="U132">
        <f t="shared" si="47"/>
        <v>-4.6415352021561516E-2</v>
      </c>
      <c r="V132">
        <f t="shared" si="48"/>
        <v>1.6300000000000002E-2</v>
      </c>
      <c r="W132">
        <v>0.1</v>
      </c>
      <c r="X132">
        <f t="shared" si="49"/>
        <v>0.16300000000000001</v>
      </c>
      <c r="Y132">
        <v>3</v>
      </c>
      <c r="Z132">
        <v>2</v>
      </c>
      <c r="AA132" t="s">
        <v>60</v>
      </c>
      <c r="AB132">
        <f t="shared" si="50"/>
        <v>6</v>
      </c>
      <c r="AC132">
        <f t="shared" si="53"/>
        <v>16</v>
      </c>
      <c r="AE132">
        <v>1</v>
      </c>
      <c r="AF132">
        <v>3</v>
      </c>
      <c r="AG132">
        <v>2</v>
      </c>
      <c r="AH132">
        <f t="shared" si="51"/>
        <v>1.897366596101028</v>
      </c>
      <c r="AI132">
        <f t="shared" si="54"/>
        <v>20.238577025077632</v>
      </c>
    </row>
    <row r="133" spans="1:36" x14ac:dyDescent="0.3">
      <c r="A133">
        <v>2020</v>
      </c>
      <c r="B133" t="s">
        <v>203</v>
      </c>
      <c r="C133" t="s">
        <v>241</v>
      </c>
      <c r="D133" t="s">
        <v>205</v>
      </c>
      <c r="E133" t="s">
        <v>206</v>
      </c>
      <c r="F133">
        <v>34</v>
      </c>
      <c r="G133" t="s">
        <v>22</v>
      </c>
      <c r="H133" t="s">
        <v>96</v>
      </c>
      <c r="I133" t="s">
        <v>97</v>
      </c>
      <c r="J133" t="s">
        <v>98</v>
      </c>
      <c r="K133" t="s">
        <v>101</v>
      </c>
      <c r="L133">
        <v>227337</v>
      </c>
      <c r="M133">
        <v>131157</v>
      </c>
      <c r="N133">
        <v>7</v>
      </c>
      <c r="O133">
        <f t="shared" si="44"/>
        <v>7.0707070707070704E-2</v>
      </c>
      <c r="P133">
        <v>70</v>
      </c>
      <c r="Q133">
        <f t="shared" si="45"/>
        <v>7.0707070707070704E-2</v>
      </c>
      <c r="R133">
        <v>0.02</v>
      </c>
      <c r="S133">
        <f t="shared" si="52"/>
        <v>0.2</v>
      </c>
      <c r="T133">
        <f t="shared" si="46"/>
        <v>7.65257317773101E-4</v>
      </c>
      <c r="U133">
        <f t="shared" si="47"/>
        <v>-0.18731785765207007</v>
      </c>
      <c r="V133">
        <f t="shared" si="48"/>
        <v>1.6300000000000002E-2</v>
      </c>
      <c r="W133">
        <v>0.1</v>
      </c>
      <c r="X133">
        <f t="shared" si="49"/>
        <v>0.16300000000000001</v>
      </c>
      <c r="Y133">
        <v>3</v>
      </c>
      <c r="Z133">
        <v>2</v>
      </c>
      <c r="AA133" t="s">
        <v>100</v>
      </c>
      <c r="AB133">
        <f t="shared" si="50"/>
        <v>22.449944320643649</v>
      </c>
      <c r="AC133">
        <f t="shared" si="53"/>
        <v>59.866518188383061</v>
      </c>
      <c r="AE133">
        <v>2.5</v>
      </c>
      <c r="AF133">
        <v>3</v>
      </c>
      <c r="AG133">
        <v>2</v>
      </c>
      <c r="AH133">
        <f t="shared" si="51"/>
        <v>12.975923181216331</v>
      </c>
      <c r="AI133">
        <f t="shared" si="54"/>
        <v>55.363938906523018</v>
      </c>
    </row>
    <row r="134" spans="1:36" x14ac:dyDescent="0.3">
      <c r="A134">
        <v>2020</v>
      </c>
      <c r="B134" t="s">
        <v>203</v>
      </c>
      <c r="C134" t="s">
        <v>241</v>
      </c>
      <c r="D134" t="s">
        <v>205</v>
      </c>
      <c r="E134" t="s">
        <v>206</v>
      </c>
      <c r="F134">
        <v>34</v>
      </c>
      <c r="G134" t="s">
        <v>22</v>
      </c>
      <c r="H134" t="s">
        <v>56</v>
      </c>
      <c r="I134" t="s">
        <v>153</v>
      </c>
      <c r="J134" t="s">
        <v>154</v>
      </c>
      <c r="K134" t="s">
        <v>155</v>
      </c>
      <c r="L134">
        <v>227487</v>
      </c>
      <c r="M134">
        <v>129804</v>
      </c>
      <c r="N134">
        <v>2</v>
      </c>
      <c r="O134">
        <f t="shared" si="44"/>
        <v>2.0202020202020204E-2</v>
      </c>
      <c r="P134">
        <v>20</v>
      </c>
      <c r="Q134">
        <f t="shared" si="45"/>
        <v>2.0202020202020204E-2</v>
      </c>
      <c r="R134">
        <v>0.02</v>
      </c>
      <c r="S134">
        <f t="shared" si="52"/>
        <v>0.2</v>
      </c>
      <c r="T134">
        <f t="shared" si="46"/>
        <v>7.65257317773101E-4</v>
      </c>
      <c r="U134">
        <f t="shared" si="47"/>
        <v>-7.8827730698477677E-2</v>
      </c>
      <c r="V134">
        <f t="shared" si="48"/>
        <v>1.6300000000000002E-2</v>
      </c>
      <c r="W134">
        <v>0.1</v>
      </c>
      <c r="X134">
        <f t="shared" si="49"/>
        <v>0.16300000000000001</v>
      </c>
      <c r="Y134">
        <v>3</v>
      </c>
      <c r="Z134">
        <v>1</v>
      </c>
      <c r="AA134" t="s">
        <v>100</v>
      </c>
      <c r="AB134">
        <f t="shared" si="50"/>
        <v>6</v>
      </c>
      <c r="AC134">
        <f t="shared" si="53"/>
        <v>32</v>
      </c>
      <c r="AE134">
        <v>3</v>
      </c>
      <c r="AF134">
        <v>3</v>
      </c>
      <c r="AG134">
        <v>2</v>
      </c>
      <c r="AH134">
        <f t="shared" si="51"/>
        <v>11.384199576606168</v>
      </c>
      <c r="AI134">
        <f t="shared" si="54"/>
        <v>40.477154050155264</v>
      </c>
    </row>
    <row r="135" spans="1:36" x14ac:dyDescent="0.3">
      <c r="A135">
        <v>2020</v>
      </c>
      <c r="B135" t="s">
        <v>203</v>
      </c>
      <c r="C135" t="s">
        <v>241</v>
      </c>
      <c r="D135" t="s">
        <v>205</v>
      </c>
      <c r="E135" t="s">
        <v>206</v>
      </c>
      <c r="F135">
        <v>34</v>
      </c>
      <c r="G135" t="s">
        <v>22</v>
      </c>
      <c r="H135" t="s">
        <v>96</v>
      </c>
      <c r="I135" t="s">
        <v>97</v>
      </c>
      <c r="J135" t="s">
        <v>239</v>
      </c>
      <c r="K135" t="s">
        <v>240</v>
      </c>
      <c r="L135">
        <v>227343</v>
      </c>
      <c r="M135">
        <v>131168</v>
      </c>
      <c r="N135">
        <v>2</v>
      </c>
      <c r="O135">
        <f t="shared" si="44"/>
        <v>2.0202020202020204E-2</v>
      </c>
      <c r="P135">
        <v>20</v>
      </c>
      <c r="Q135">
        <f t="shared" si="45"/>
        <v>2.0202020202020204E-2</v>
      </c>
      <c r="R135">
        <v>0.01</v>
      </c>
      <c r="S135">
        <f t="shared" si="52"/>
        <v>0.1</v>
      </c>
      <c r="T135">
        <f t="shared" si="46"/>
        <v>3.826286588865505E-4</v>
      </c>
      <c r="U135">
        <f t="shared" si="47"/>
        <v>-7.8827730698477677E-2</v>
      </c>
      <c r="V135">
        <f t="shared" si="48"/>
        <v>1.6300000000000002E-2</v>
      </c>
      <c r="W135">
        <v>0.1</v>
      </c>
      <c r="X135">
        <f t="shared" si="49"/>
        <v>0.16300000000000001</v>
      </c>
      <c r="Y135">
        <v>3</v>
      </c>
      <c r="Z135">
        <v>1</v>
      </c>
      <c r="AA135" t="s">
        <v>100</v>
      </c>
      <c r="AB135">
        <f t="shared" si="50"/>
        <v>4.2426406871192848</v>
      </c>
      <c r="AC135">
        <f t="shared" si="53"/>
        <v>22.627416997969519</v>
      </c>
      <c r="AE135">
        <v>2.5</v>
      </c>
      <c r="AF135">
        <v>3</v>
      </c>
      <c r="AG135">
        <v>2</v>
      </c>
      <c r="AH135">
        <f t="shared" si="51"/>
        <v>5.6409046396295928</v>
      </c>
      <c r="AI135">
        <f t="shared" si="54"/>
        <v>24.067859795752931</v>
      </c>
    </row>
    <row r="136" spans="1:36" x14ac:dyDescent="0.3">
      <c r="A136">
        <v>2020</v>
      </c>
      <c r="B136" t="s">
        <v>203</v>
      </c>
      <c r="C136" t="s">
        <v>241</v>
      </c>
      <c r="D136" t="s">
        <v>205</v>
      </c>
      <c r="E136" t="s">
        <v>206</v>
      </c>
      <c r="F136">
        <v>34</v>
      </c>
      <c r="G136" t="s">
        <v>22</v>
      </c>
      <c r="H136" t="s">
        <v>56</v>
      </c>
      <c r="I136" t="s">
        <v>153</v>
      </c>
      <c r="J136" t="s">
        <v>183</v>
      </c>
      <c r="K136" t="s">
        <v>184</v>
      </c>
      <c r="L136">
        <v>227459</v>
      </c>
      <c r="M136">
        <v>129781</v>
      </c>
      <c r="N136">
        <v>1</v>
      </c>
      <c r="O136">
        <f t="shared" si="44"/>
        <v>1.0101010101010102E-2</v>
      </c>
      <c r="P136">
        <v>10</v>
      </c>
      <c r="Q136">
        <f t="shared" si="45"/>
        <v>1.0101010101010102E-2</v>
      </c>
      <c r="R136">
        <v>5.0000000000000001E-3</v>
      </c>
      <c r="S136">
        <f t="shared" si="52"/>
        <v>0.05</v>
      </c>
      <c r="T136">
        <f t="shared" si="46"/>
        <v>1.9131432944327525E-4</v>
      </c>
      <c r="U136">
        <f t="shared" si="47"/>
        <v>-4.6415352021561516E-2</v>
      </c>
      <c r="V136">
        <f t="shared" si="48"/>
        <v>1.6300000000000002E-2</v>
      </c>
      <c r="W136">
        <v>0.1</v>
      </c>
      <c r="X136">
        <f t="shared" si="49"/>
        <v>0.16300000000000001</v>
      </c>
      <c r="Y136">
        <v>3</v>
      </c>
      <c r="Z136">
        <v>2</v>
      </c>
      <c r="AA136" t="s">
        <v>100</v>
      </c>
      <c r="AB136">
        <f t="shared" si="50"/>
        <v>4.2426406871192848</v>
      </c>
      <c r="AC136">
        <f t="shared" si="53"/>
        <v>11.313708498984759</v>
      </c>
      <c r="AE136">
        <v>3</v>
      </c>
      <c r="AF136">
        <v>1</v>
      </c>
      <c r="AG136">
        <v>1</v>
      </c>
      <c r="AH136">
        <f t="shared" si="51"/>
        <v>0.56409046396295937</v>
      </c>
      <c r="AI136">
        <f t="shared" si="54"/>
        <v>12.033929897876465</v>
      </c>
    </row>
    <row r="137" spans="1:36" s="4" customFormat="1" x14ac:dyDescent="0.3">
      <c r="N137" s="4">
        <f>SUM(N114:N136)</f>
        <v>99</v>
      </c>
      <c r="O137" s="4">
        <f>SUM(O114:O136)</f>
        <v>1</v>
      </c>
      <c r="P137" s="4">
        <f t="shared" ref="P137:AI137" si="55">SUM(P114:P136)</f>
        <v>990</v>
      </c>
      <c r="Q137" s="4">
        <f t="shared" si="55"/>
        <v>1</v>
      </c>
      <c r="R137" s="4">
        <f t="shared" si="55"/>
        <v>26.135000000000002</v>
      </c>
      <c r="S137" s="4">
        <f t="shared" si="55"/>
        <v>261.35000000000008</v>
      </c>
      <c r="T137" s="4">
        <f t="shared" si="55"/>
        <v>0.99999999999999956</v>
      </c>
      <c r="U137" s="4">
        <f>-SUM(U114:U136)</f>
        <v>2.7985352201016784</v>
      </c>
      <c r="Y137" s="4">
        <v>4</v>
      </c>
      <c r="Z137" s="4">
        <v>4</v>
      </c>
      <c r="AB137" s="4">
        <f t="shared" si="55"/>
        <v>1329.3739367517035</v>
      </c>
      <c r="AC137" s="4">
        <f t="shared" si="55"/>
        <v>2585.4162691772281</v>
      </c>
      <c r="AD137" s="4">
        <f>AB137/AC137</f>
        <v>0.51418177900410511</v>
      </c>
      <c r="AE137" s="4">
        <v>4</v>
      </c>
      <c r="AF137" s="4">
        <v>4</v>
      </c>
      <c r="AG137" s="4">
        <v>4</v>
      </c>
      <c r="AH137" s="4">
        <f t="shared" si="55"/>
        <v>1660.1566397543206</v>
      </c>
      <c r="AI137" s="4">
        <f t="shared" si="55"/>
        <v>9958.7150353637207</v>
      </c>
      <c r="AJ137" s="4">
        <f>AH137/AI137</f>
        <v>0.1667039004388669</v>
      </c>
    </row>
    <row r="138" spans="1:36" x14ac:dyDescent="0.3">
      <c r="A138">
        <v>2021</v>
      </c>
      <c r="B138" t="s">
        <v>249</v>
      </c>
      <c r="C138" t="s">
        <v>250</v>
      </c>
      <c r="D138" t="s">
        <v>251</v>
      </c>
      <c r="E138" t="s">
        <v>252</v>
      </c>
      <c r="F138">
        <v>21</v>
      </c>
      <c r="G138" t="s">
        <v>28</v>
      </c>
      <c r="H138" t="s">
        <v>29</v>
      </c>
      <c r="I138" t="s">
        <v>30</v>
      </c>
      <c r="J138" t="s">
        <v>31</v>
      </c>
      <c r="K138" t="s">
        <v>185</v>
      </c>
      <c r="L138" t="s">
        <v>112</v>
      </c>
      <c r="M138" t="s">
        <v>112</v>
      </c>
      <c r="N138">
        <v>57</v>
      </c>
      <c r="O138">
        <f t="shared" ref="O138:O182" si="56">N138/$N$183</f>
        <v>0.14766839378238342</v>
      </c>
      <c r="P138">
        <v>570</v>
      </c>
      <c r="Q138">
        <f t="shared" ref="Q138:Q182" si="57">P138/$P$183</f>
        <v>0.14766839378238342</v>
      </c>
      <c r="R138">
        <v>2.95</v>
      </c>
      <c r="S138">
        <f>R138*10</f>
        <v>29.5</v>
      </c>
      <c r="T138">
        <f t="shared" ref="T138:T182" si="58">S138/$S$183</f>
        <v>0.30287474332648884</v>
      </c>
      <c r="U138">
        <f t="shared" ref="U138:U182" si="59">O138*LN(O138)</f>
        <v>-0.28245805127701035</v>
      </c>
      <c r="V138">
        <f t="shared" ref="V138:V182" si="60">13.4/1000</f>
        <v>1.34E-2</v>
      </c>
      <c r="W138">
        <v>0.1</v>
      </c>
      <c r="X138">
        <f t="shared" ref="X138:X182" si="61">V138/W138</f>
        <v>0.13400000000000001</v>
      </c>
      <c r="Y138">
        <v>4</v>
      </c>
      <c r="Z138">
        <v>3</v>
      </c>
      <c r="AA138" t="s">
        <v>27</v>
      </c>
      <c r="AB138">
        <f t="shared" ref="AB138:AB182" si="62">(SQRT(S138/P138))*P138*Z138*Y138</f>
        <v>1556.0719777696661</v>
      </c>
      <c r="AC138">
        <f t="shared" si="53"/>
        <v>2074.7626370262215</v>
      </c>
      <c r="AE138">
        <v>2</v>
      </c>
      <c r="AF138">
        <v>4</v>
      </c>
      <c r="AG138">
        <v>3</v>
      </c>
      <c r="AH138">
        <f t="shared" ref="AH138:AH182" si="63">((S138/P138)^0.75)*P138*AE138*AF138*AG138</f>
        <v>1484.3846942493869</v>
      </c>
      <c r="AI138">
        <f t="shared" si="54"/>
        <v>3958.3591846650315</v>
      </c>
    </row>
    <row r="139" spans="1:36" x14ac:dyDescent="0.3">
      <c r="A139">
        <v>2021</v>
      </c>
      <c r="B139" t="s">
        <v>249</v>
      </c>
      <c r="C139" t="s">
        <v>250</v>
      </c>
      <c r="D139" t="s">
        <v>251</v>
      </c>
      <c r="E139" t="s">
        <v>252</v>
      </c>
      <c r="F139">
        <v>21</v>
      </c>
      <c r="G139" t="s">
        <v>22</v>
      </c>
      <c r="H139" t="s">
        <v>67</v>
      </c>
      <c r="I139" t="s">
        <v>224</v>
      </c>
      <c r="J139" t="s">
        <v>225</v>
      </c>
      <c r="K139" t="s">
        <v>226</v>
      </c>
      <c r="L139">
        <v>227033</v>
      </c>
      <c r="M139">
        <v>130362</v>
      </c>
      <c r="N139">
        <v>6</v>
      </c>
      <c r="O139">
        <f t="shared" si="56"/>
        <v>1.5544041450777202E-2</v>
      </c>
      <c r="P139">
        <v>60</v>
      </c>
      <c r="Q139">
        <f t="shared" si="57"/>
        <v>1.5544041450777202E-2</v>
      </c>
      <c r="R139">
        <v>0.71</v>
      </c>
      <c r="S139">
        <f t="shared" ref="S139:S182" si="64">R139*10</f>
        <v>7.1</v>
      </c>
      <c r="T139">
        <f t="shared" si="58"/>
        <v>7.2895277207392237E-2</v>
      </c>
      <c r="U139">
        <f t="shared" si="59"/>
        <v>-6.4726599485545738E-2</v>
      </c>
      <c r="V139">
        <f t="shared" si="60"/>
        <v>1.34E-2</v>
      </c>
      <c r="W139">
        <v>0.1</v>
      </c>
      <c r="X139">
        <f t="shared" si="61"/>
        <v>0.13400000000000001</v>
      </c>
      <c r="Y139">
        <v>4</v>
      </c>
      <c r="Z139">
        <v>3</v>
      </c>
      <c r="AA139" t="s">
        <v>27</v>
      </c>
      <c r="AB139">
        <f t="shared" si="62"/>
        <v>247.67720928660353</v>
      </c>
      <c r="AC139">
        <f t="shared" si="53"/>
        <v>330.2362790488047</v>
      </c>
      <c r="AE139">
        <v>3</v>
      </c>
      <c r="AF139">
        <v>2</v>
      </c>
      <c r="AG139">
        <v>1</v>
      </c>
      <c r="AH139">
        <f t="shared" si="63"/>
        <v>72.632806346751153</v>
      </c>
      <c r="AI139">
        <f t="shared" si="54"/>
        <v>774.74993436534567</v>
      </c>
    </row>
    <row r="140" spans="1:36" x14ac:dyDescent="0.3">
      <c r="A140">
        <v>2021</v>
      </c>
      <c r="B140" t="s">
        <v>249</v>
      </c>
      <c r="C140" t="s">
        <v>250</v>
      </c>
      <c r="D140" t="s">
        <v>251</v>
      </c>
      <c r="E140" t="s">
        <v>252</v>
      </c>
      <c r="F140">
        <v>21</v>
      </c>
      <c r="G140" t="s">
        <v>22</v>
      </c>
      <c r="I140" t="s">
        <v>105</v>
      </c>
      <c r="J140" t="s">
        <v>106</v>
      </c>
      <c r="K140" t="s">
        <v>107</v>
      </c>
      <c r="L140">
        <v>227839</v>
      </c>
      <c r="M140">
        <v>130980</v>
      </c>
      <c r="N140">
        <v>22</v>
      </c>
      <c r="O140">
        <f t="shared" si="56"/>
        <v>5.6994818652849742E-2</v>
      </c>
      <c r="P140">
        <v>220</v>
      </c>
      <c r="Q140">
        <f t="shared" si="57"/>
        <v>5.6994818652849742E-2</v>
      </c>
      <c r="R140">
        <v>0.09</v>
      </c>
      <c r="S140">
        <f t="shared" si="64"/>
        <v>0.89999999999999991</v>
      </c>
      <c r="T140">
        <f t="shared" si="58"/>
        <v>9.2402464065708453E-3</v>
      </c>
      <c r="U140">
        <f t="shared" si="59"/>
        <v>-0.16327846672109672</v>
      </c>
      <c r="V140">
        <f t="shared" si="60"/>
        <v>1.34E-2</v>
      </c>
      <c r="W140">
        <v>0.1</v>
      </c>
      <c r="X140">
        <f t="shared" si="61"/>
        <v>0.13400000000000001</v>
      </c>
      <c r="Y140">
        <v>4</v>
      </c>
      <c r="Z140">
        <v>4</v>
      </c>
      <c r="AA140" t="s">
        <v>27</v>
      </c>
      <c r="AB140">
        <f t="shared" si="62"/>
        <v>225.13995647152461</v>
      </c>
      <c r="AC140">
        <f t="shared" si="53"/>
        <v>225.13995647152461</v>
      </c>
      <c r="AE140">
        <v>2</v>
      </c>
      <c r="AF140">
        <v>3</v>
      </c>
      <c r="AG140">
        <v>3</v>
      </c>
      <c r="AH140">
        <f t="shared" si="63"/>
        <v>64.056035677315663</v>
      </c>
      <c r="AI140">
        <f t="shared" si="54"/>
        <v>227.75479351934456</v>
      </c>
    </row>
    <row r="141" spans="1:36" x14ac:dyDescent="0.3">
      <c r="A141">
        <v>2021</v>
      </c>
      <c r="B141" t="s">
        <v>249</v>
      </c>
      <c r="C141" t="s">
        <v>250</v>
      </c>
      <c r="D141" t="s">
        <v>251</v>
      </c>
      <c r="E141" t="s">
        <v>252</v>
      </c>
      <c r="F141">
        <v>21</v>
      </c>
      <c r="K141" t="s">
        <v>75</v>
      </c>
      <c r="L141">
        <v>5000018</v>
      </c>
      <c r="M141">
        <v>152391</v>
      </c>
      <c r="N141">
        <v>13</v>
      </c>
      <c r="O141">
        <f t="shared" si="56"/>
        <v>3.367875647668394E-2</v>
      </c>
      <c r="P141">
        <v>130</v>
      </c>
      <c r="Q141">
        <f t="shared" si="57"/>
        <v>3.367875647668394E-2</v>
      </c>
      <c r="R141">
        <v>0.06</v>
      </c>
      <c r="S141">
        <f t="shared" si="64"/>
        <v>0.6</v>
      </c>
      <c r="T141">
        <f t="shared" si="58"/>
        <v>6.1601642710472308E-3</v>
      </c>
      <c r="U141">
        <f t="shared" si="59"/>
        <v>-0.11420089159596587</v>
      </c>
      <c r="V141">
        <f t="shared" si="60"/>
        <v>1.34E-2</v>
      </c>
      <c r="W141">
        <v>0.1</v>
      </c>
      <c r="X141">
        <f t="shared" si="61"/>
        <v>0.13400000000000001</v>
      </c>
      <c r="Y141">
        <v>4</v>
      </c>
      <c r="Z141">
        <v>3</v>
      </c>
      <c r="AA141" t="s">
        <v>27</v>
      </c>
      <c r="AB141">
        <f t="shared" si="62"/>
        <v>105.98113039593417</v>
      </c>
      <c r="AC141">
        <f t="shared" si="53"/>
        <v>141.30817386124556</v>
      </c>
      <c r="AE141">
        <v>2</v>
      </c>
      <c r="AF141">
        <v>2</v>
      </c>
      <c r="AG141">
        <v>2</v>
      </c>
      <c r="AH141">
        <f t="shared" si="63"/>
        <v>18.415743733745575</v>
      </c>
      <c r="AI141">
        <f t="shared" si="54"/>
        <v>147.3259498699646</v>
      </c>
    </row>
    <row r="142" spans="1:36" x14ac:dyDescent="0.3">
      <c r="A142">
        <v>2021</v>
      </c>
      <c r="B142" t="s">
        <v>249</v>
      </c>
      <c r="C142" t="s">
        <v>250</v>
      </c>
      <c r="D142" t="s">
        <v>251</v>
      </c>
      <c r="E142" t="s">
        <v>252</v>
      </c>
      <c r="F142">
        <v>21</v>
      </c>
      <c r="G142" t="s">
        <v>22</v>
      </c>
      <c r="H142" t="s">
        <v>67</v>
      </c>
      <c r="I142" t="s">
        <v>196</v>
      </c>
      <c r="J142" t="s">
        <v>259</v>
      </c>
      <c r="K142" t="s">
        <v>260</v>
      </c>
      <c r="L142">
        <v>227070</v>
      </c>
      <c r="M142">
        <v>130738</v>
      </c>
      <c r="N142">
        <v>1</v>
      </c>
      <c r="O142">
        <f t="shared" si="56"/>
        <v>2.5906735751295338E-3</v>
      </c>
      <c r="P142">
        <v>10</v>
      </c>
      <c r="Q142">
        <f t="shared" si="57"/>
        <v>2.5906735751295338E-3</v>
      </c>
      <c r="R142">
        <v>0.18</v>
      </c>
      <c r="S142">
        <f t="shared" si="64"/>
        <v>1.7999999999999998</v>
      </c>
      <c r="T142">
        <f t="shared" si="58"/>
        <v>1.8480492813141691E-2</v>
      </c>
      <c r="U142">
        <f t="shared" si="59"/>
        <v>-1.5429630490841532E-2</v>
      </c>
      <c r="V142">
        <f t="shared" si="60"/>
        <v>1.34E-2</v>
      </c>
      <c r="W142">
        <v>0.1</v>
      </c>
      <c r="X142">
        <f t="shared" si="61"/>
        <v>0.13400000000000001</v>
      </c>
      <c r="Y142">
        <v>4</v>
      </c>
      <c r="Z142">
        <v>3</v>
      </c>
      <c r="AA142" t="s">
        <v>27</v>
      </c>
      <c r="AB142">
        <f t="shared" si="62"/>
        <v>50.911688245431421</v>
      </c>
      <c r="AC142">
        <f t="shared" si="53"/>
        <v>67.882250993908556</v>
      </c>
      <c r="AE142">
        <v>1</v>
      </c>
      <c r="AF142">
        <v>2</v>
      </c>
      <c r="AG142">
        <v>1</v>
      </c>
      <c r="AH142">
        <f t="shared" si="63"/>
        <v>5.5269352219162879</v>
      </c>
      <c r="AI142">
        <f t="shared" si="54"/>
        <v>176.86192710132121</v>
      </c>
    </row>
    <row r="143" spans="1:36" x14ac:dyDescent="0.3">
      <c r="A143">
        <v>2021</v>
      </c>
      <c r="B143" t="s">
        <v>249</v>
      </c>
      <c r="C143" t="s">
        <v>250</v>
      </c>
      <c r="D143" t="s">
        <v>251</v>
      </c>
      <c r="E143" t="s">
        <v>252</v>
      </c>
      <c r="F143">
        <v>21</v>
      </c>
      <c r="G143" t="s">
        <v>22</v>
      </c>
      <c r="H143" t="s">
        <v>67</v>
      </c>
      <c r="I143" t="s">
        <v>196</v>
      </c>
      <c r="J143" t="s">
        <v>261</v>
      </c>
      <c r="K143" t="s">
        <v>262</v>
      </c>
      <c r="L143">
        <v>227079</v>
      </c>
      <c r="M143">
        <v>130749</v>
      </c>
      <c r="N143">
        <v>3</v>
      </c>
      <c r="O143">
        <f t="shared" si="56"/>
        <v>7.7720207253886009E-3</v>
      </c>
      <c r="P143">
        <v>30</v>
      </c>
      <c r="Q143">
        <f t="shared" si="57"/>
        <v>7.7720207253886009E-3</v>
      </c>
      <c r="R143">
        <v>5.0000000000000001E-3</v>
      </c>
      <c r="S143">
        <f t="shared" si="64"/>
        <v>0.05</v>
      </c>
      <c r="T143">
        <f t="shared" si="58"/>
        <v>5.1334702258726934E-4</v>
      </c>
      <c r="U143">
        <f t="shared" si="59"/>
        <v>-3.7750453995829436E-2</v>
      </c>
      <c r="V143">
        <f t="shared" si="60"/>
        <v>1.34E-2</v>
      </c>
      <c r="W143">
        <v>0.1</v>
      </c>
      <c r="X143">
        <f t="shared" si="61"/>
        <v>0.13400000000000001</v>
      </c>
      <c r="Y143">
        <v>4</v>
      </c>
      <c r="Z143">
        <v>3</v>
      </c>
      <c r="AA143" t="s">
        <v>27</v>
      </c>
      <c r="AB143">
        <f t="shared" si="62"/>
        <v>14.696938456699069</v>
      </c>
      <c r="AC143">
        <f t="shared" si="53"/>
        <v>19.595917942265427</v>
      </c>
      <c r="AE143">
        <v>3</v>
      </c>
      <c r="AF143">
        <v>2</v>
      </c>
      <c r="AG143">
        <v>2</v>
      </c>
      <c r="AH143">
        <f t="shared" si="63"/>
        <v>2.9695392023038605</v>
      </c>
      <c r="AI143">
        <f t="shared" si="54"/>
        <v>15.837542412287256</v>
      </c>
    </row>
    <row r="144" spans="1:36" x14ac:dyDescent="0.3">
      <c r="A144">
        <v>2021</v>
      </c>
      <c r="B144" t="s">
        <v>249</v>
      </c>
      <c r="C144" t="s">
        <v>250</v>
      </c>
      <c r="D144" t="s">
        <v>251</v>
      </c>
      <c r="E144" t="s">
        <v>252</v>
      </c>
      <c r="F144">
        <v>21</v>
      </c>
      <c r="G144" t="s">
        <v>45</v>
      </c>
      <c r="H144" t="s">
        <v>294</v>
      </c>
      <c r="I144" t="s">
        <v>295</v>
      </c>
      <c r="J144" t="s">
        <v>296</v>
      </c>
      <c r="K144" t="s">
        <v>297</v>
      </c>
      <c r="L144" t="s">
        <v>112</v>
      </c>
      <c r="M144">
        <v>141872</v>
      </c>
      <c r="N144">
        <v>1</v>
      </c>
      <c r="O144">
        <f t="shared" si="56"/>
        <v>2.5906735751295338E-3</v>
      </c>
      <c r="P144">
        <v>10</v>
      </c>
      <c r="Q144">
        <f t="shared" si="57"/>
        <v>2.5906735751295338E-3</v>
      </c>
      <c r="R144">
        <v>0.19</v>
      </c>
      <c r="S144">
        <f t="shared" si="64"/>
        <v>1.9</v>
      </c>
      <c r="T144">
        <f t="shared" si="58"/>
        <v>1.950718685831623E-2</v>
      </c>
      <c r="U144">
        <f t="shared" si="59"/>
        <v>-1.5429630490841532E-2</v>
      </c>
      <c r="V144">
        <f t="shared" si="60"/>
        <v>1.34E-2</v>
      </c>
      <c r="W144">
        <v>0.1</v>
      </c>
      <c r="X144">
        <f t="shared" si="61"/>
        <v>0.13400000000000001</v>
      </c>
      <c r="Y144">
        <v>4</v>
      </c>
      <c r="Z144">
        <v>3</v>
      </c>
      <c r="AA144" t="s">
        <v>27</v>
      </c>
      <c r="AB144">
        <f t="shared" si="62"/>
        <v>52.306787322488077</v>
      </c>
      <c r="AC144">
        <f t="shared" si="53"/>
        <v>69.742383096650769</v>
      </c>
      <c r="AE144">
        <v>1</v>
      </c>
      <c r="AF144">
        <v>1</v>
      </c>
      <c r="AG144">
        <v>1</v>
      </c>
      <c r="AH144">
        <f t="shared" si="63"/>
        <v>2.8778304315451386</v>
      </c>
      <c r="AI144">
        <f t="shared" si="54"/>
        <v>184.18114761888887</v>
      </c>
    </row>
    <row r="145" spans="1:35" x14ac:dyDescent="0.3">
      <c r="A145">
        <v>2021</v>
      </c>
      <c r="B145" t="s">
        <v>249</v>
      </c>
      <c r="C145" t="s">
        <v>250</v>
      </c>
      <c r="D145" t="s">
        <v>251</v>
      </c>
      <c r="E145" t="s">
        <v>252</v>
      </c>
      <c r="F145">
        <v>21</v>
      </c>
      <c r="G145" t="s">
        <v>22</v>
      </c>
      <c r="H145" t="s">
        <v>56</v>
      </c>
      <c r="I145" t="s">
        <v>90</v>
      </c>
      <c r="J145" t="s">
        <v>292</v>
      </c>
      <c r="K145" t="s">
        <v>293</v>
      </c>
      <c r="L145">
        <v>227535</v>
      </c>
      <c r="M145">
        <v>131543</v>
      </c>
      <c r="N145">
        <v>2</v>
      </c>
      <c r="O145">
        <f t="shared" si="56"/>
        <v>5.1813471502590676E-3</v>
      </c>
      <c r="P145">
        <v>20</v>
      </c>
      <c r="Q145">
        <f t="shared" si="57"/>
        <v>5.1813471502590676E-3</v>
      </c>
      <c r="R145">
        <v>0.84</v>
      </c>
      <c r="S145">
        <f t="shared" si="64"/>
        <v>8.4</v>
      </c>
      <c r="T145">
        <f t="shared" si="58"/>
        <v>8.6242299794661234E-2</v>
      </c>
      <c r="U145">
        <f t="shared" si="59"/>
        <v>-2.7267824812978684E-2</v>
      </c>
      <c r="V145">
        <f t="shared" si="60"/>
        <v>1.34E-2</v>
      </c>
      <c r="W145">
        <v>0.1</v>
      </c>
      <c r="X145">
        <f t="shared" si="61"/>
        <v>0.13400000000000001</v>
      </c>
      <c r="Y145">
        <v>3</v>
      </c>
      <c r="Z145">
        <v>1</v>
      </c>
      <c r="AA145" t="s">
        <v>93</v>
      </c>
      <c r="AB145">
        <f t="shared" si="62"/>
        <v>38.884444190447162</v>
      </c>
      <c r="AC145">
        <f t="shared" si="53"/>
        <v>207.38370234905153</v>
      </c>
      <c r="AE145">
        <v>3</v>
      </c>
      <c r="AF145">
        <v>3</v>
      </c>
      <c r="AG145">
        <v>1</v>
      </c>
      <c r="AH145">
        <f t="shared" si="63"/>
        <v>93.909488031792705</v>
      </c>
      <c r="AI145">
        <f t="shared" si="54"/>
        <v>667.800803781637</v>
      </c>
    </row>
    <row r="146" spans="1:35" x14ac:dyDescent="0.3">
      <c r="A146">
        <v>2021</v>
      </c>
      <c r="B146" t="s">
        <v>249</v>
      </c>
      <c r="C146" t="s">
        <v>250</v>
      </c>
      <c r="D146" t="s">
        <v>251</v>
      </c>
      <c r="E146" t="s">
        <v>252</v>
      </c>
      <c r="F146">
        <v>21</v>
      </c>
      <c r="G146" t="s">
        <v>22</v>
      </c>
      <c r="H146" t="s">
        <v>56</v>
      </c>
      <c r="I146" t="s">
        <v>90</v>
      </c>
      <c r="J146" t="s">
        <v>270</v>
      </c>
      <c r="K146" t="s">
        <v>271</v>
      </c>
      <c r="L146">
        <v>227539</v>
      </c>
      <c r="M146">
        <v>131500</v>
      </c>
      <c r="N146">
        <v>1</v>
      </c>
      <c r="O146">
        <f t="shared" si="56"/>
        <v>2.5906735751295338E-3</v>
      </c>
      <c r="P146">
        <v>10</v>
      </c>
      <c r="Q146">
        <f t="shared" si="57"/>
        <v>2.5906735751295338E-3</v>
      </c>
      <c r="R146">
        <v>0.8</v>
      </c>
      <c r="S146">
        <f t="shared" si="64"/>
        <v>8</v>
      </c>
      <c r="T146">
        <f t="shared" si="58"/>
        <v>8.2135523613963077E-2</v>
      </c>
      <c r="U146">
        <f t="shared" si="59"/>
        <v>-1.5429630490841532E-2</v>
      </c>
      <c r="V146">
        <f t="shared" si="60"/>
        <v>1.34E-2</v>
      </c>
      <c r="W146">
        <v>0.1</v>
      </c>
      <c r="X146">
        <f t="shared" si="61"/>
        <v>0.13400000000000001</v>
      </c>
      <c r="Y146">
        <v>3</v>
      </c>
      <c r="Z146">
        <v>1</v>
      </c>
      <c r="AA146" t="s">
        <v>93</v>
      </c>
      <c r="AB146">
        <f t="shared" si="62"/>
        <v>26.832815729997478</v>
      </c>
      <c r="AC146">
        <f t="shared" si="53"/>
        <v>143.10835055998655</v>
      </c>
      <c r="AE146">
        <v>1</v>
      </c>
      <c r="AF146">
        <v>3</v>
      </c>
      <c r="AG146">
        <v>2</v>
      </c>
      <c r="AH146">
        <f t="shared" si="63"/>
        <v>50.753820645147073</v>
      </c>
      <c r="AI146">
        <f t="shared" si="54"/>
        <v>541.37408688156881</v>
      </c>
    </row>
    <row r="147" spans="1:35" x14ac:dyDescent="0.3">
      <c r="A147">
        <v>2021</v>
      </c>
      <c r="B147" t="s">
        <v>249</v>
      </c>
      <c r="C147" t="s">
        <v>250</v>
      </c>
      <c r="D147" t="s">
        <v>251</v>
      </c>
      <c r="E147" t="s">
        <v>252</v>
      </c>
      <c r="F147">
        <v>21</v>
      </c>
      <c r="G147" t="s">
        <v>22</v>
      </c>
      <c r="H147" t="s">
        <v>56</v>
      </c>
      <c r="I147" t="s">
        <v>90</v>
      </c>
      <c r="J147" t="s">
        <v>117</v>
      </c>
      <c r="K147" t="s">
        <v>118</v>
      </c>
      <c r="L147">
        <v>227496</v>
      </c>
      <c r="M147">
        <v>131573</v>
      </c>
      <c r="N147">
        <v>2</v>
      </c>
      <c r="O147">
        <f t="shared" si="56"/>
        <v>5.1813471502590676E-3</v>
      </c>
      <c r="P147">
        <v>20</v>
      </c>
      <c r="Q147">
        <f t="shared" si="57"/>
        <v>5.1813471502590676E-3</v>
      </c>
      <c r="R147">
        <v>0.23</v>
      </c>
      <c r="S147">
        <f t="shared" si="64"/>
        <v>2.3000000000000003</v>
      </c>
      <c r="T147">
        <f t="shared" si="58"/>
        <v>2.3613963039014387E-2</v>
      </c>
      <c r="U147">
        <f t="shared" si="59"/>
        <v>-2.7267824812978684E-2</v>
      </c>
      <c r="V147">
        <f t="shared" si="60"/>
        <v>1.34E-2</v>
      </c>
      <c r="W147">
        <v>0.1</v>
      </c>
      <c r="X147">
        <f t="shared" si="61"/>
        <v>0.13400000000000001</v>
      </c>
      <c r="Y147">
        <v>3</v>
      </c>
      <c r="Z147">
        <v>1</v>
      </c>
      <c r="AA147" t="s">
        <v>93</v>
      </c>
      <c r="AB147">
        <f t="shared" si="62"/>
        <v>20.346989949375807</v>
      </c>
      <c r="AC147">
        <f t="shared" si="53"/>
        <v>108.5172797300043</v>
      </c>
      <c r="AE147">
        <v>3</v>
      </c>
      <c r="AF147">
        <v>3</v>
      </c>
      <c r="AG147">
        <v>1</v>
      </c>
      <c r="AH147">
        <f t="shared" si="63"/>
        <v>35.546421421237866</v>
      </c>
      <c r="AI147">
        <f t="shared" si="54"/>
        <v>252.7745523288026</v>
      </c>
    </row>
    <row r="148" spans="1:35" x14ac:dyDescent="0.3">
      <c r="A148">
        <v>2021</v>
      </c>
      <c r="B148" t="s">
        <v>249</v>
      </c>
      <c r="C148" t="s">
        <v>250</v>
      </c>
      <c r="D148" t="s">
        <v>251</v>
      </c>
      <c r="E148" t="s">
        <v>252</v>
      </c>
      <c r="F148">
        <v>21</v>
      </c>
      <c r="G148" t="s">
        <v>22</v>
      </c>
      <c r="H148" t="s">
        <v>56</v>
      </c>
      <c r="I148" t="s">
        <v>90</v>
      </c>
      <c r="J148" t="s">
        <v>282</v>
      </c>
      <c r="K148" t="s">
        <v>283</v>
      </c>
      <c r="L148">
        <v>227527</v>
      </c>
      <c r="M148">
        <v>154972</v>
      </c>
      <c r="N148">
        <v>3</v>
      </c>
      <c r="O148">
        <f t="shared" si="56"/>
        <v>7.7720207253886009E-3</v>
      </c>
      <c r="P148">
        <v>30</v>
      </c>
      <c r="Q148">
        <f t="shared" si="57"/>
        <v>7.7720207253886009E-3</v>
      </c>
      <c r="R148">
        <v>0.06</v>
      </c>
      <c r="S148">
        <f t="shared" si="64"/>
        <v>0.6</v>
      </c>
      <c r="T148">
        <f t="shared" si="58"/>
        <v>6.1601642710472308E-3</v>
      </c>
      <c r="U148">
        <f t="shared" si="59"/>
        <v>-3.7750453995829436E-2</v>
      </c>
      <c r="V148">
        <f t="shared" si="60"/>
        <v>1.34E-2</v>
      </c>
      <c r="W148">
        <v>0.1</v>
      </c>
      <c r="X148">
        <f t="shared" si="61"/>
        <v>0.13400000000000001</v>
      </c>
      <c r="Y148">
        <v>3</v>
      </c>
      <c r="Z148">
        <v>1</v>
      </c>
      <c r="AA148" t="s">
        <v>93</v>
      </c>
      <c r="AB148">
        <f t="shared" si="62"/>
        <v>12.727922061357855</v>
      </c>
      <c r="AC148">
        <f t="shared" si="53"/>
        <v>67.882250993908556</v>
      </c>
      <c r="AE148">
        <v>1.5</v>
      </c>
      <c r="AF148">
        <v>2.5</v>
      </c>
      <c r="AG148">
        <v>2.5</v>
      </c>
      <c r="AH148">
        <f t="shared" si="63"/>
        <v>14.957707210157785</v>
      </c>
      <c r="AI148">
        <f t="shared" si="54"/>
        <v>102.1112812213438</v>
      </c>
    </row>
    <row r="149" spans="1:35" x14ac:dyDescent="0.3">
      <c r="A149">
        <v>2021</v>
      </c>
      <c r="B149" t="s">
        <v>249</v>
      </c>
      <c r="C149" t="s">
        <v>250</v>
      </c>
      <c r="D149" t="s">
        <v>251</v>
      </c>
      <c r="E149" t="s">
        <v>252</v>
      </c>
      <c r="F149">
        <v>21</v>
      </c>
      <c r="G149" t="s">
        <v>79</v>
      </c>
      <c r="H149" t="s">
        <v>80</v>
      </c>
      <c r="I149" t="s">
        <v>81</v>
      </c>
      <c r="J149" t="s">
        <v>177</v>
      </c>
      <c r="K149" t="s">
        <v>178</v>
      </c>
      <c r="L149">
        <v>218350</v>
      </c>
      <c r="M149">
        <v>141662</v>
      </c>
      <c r="N149">
        <v>1</v>
      </c>
      <c r="O149">
        <f t="shared" si="56"/>
        <v>2.5906735751295338E-3</v>
      </c>
      <c r="P149">
        <v>10</v>
      </c>
      <c r="Q149">
        <f t="shared" si="57"/>
        <v>2.5906735751295338E-3</v>
      </c>
      <c r="R149">
        <v>5.0000000000000001E-3</v>
      </c>
      <c r="S149">
        <f t="shared" si="64"/>
        <v>0.05</v>
      </c>
      <c r="T149">
        <f t="shared" si="58"/>
        <v>5.1334702258726934E-4</v>
      </c>
      <c r="U149">
        <f t="shared" si="59"/>
        <v>-1.5429630490841532E-2</v>
      </c>
      <c r="V149">
        <f t="shared" si="60"/>
        <v>1.34E-2</v>
      </c>
      <c r="W149">
        <v>0.1</v>
      </c>
      <c r="X149">
        <f t="shared" si="61"/>
        <v>0.13400000000000001</v>
      </c>
      <c r="Y149">
        <v>3</v>
      </c>
      <c r="Z149">
        <v>2</v>
      </c>
      <c r="AA149" t="s">
        <v>93</v>
      </c>
      <c r="AB149">
        <f t="shared" si="62"/>
        <v>4.2426406871192848</v>
      </c>
      <c r="AC149">
        <f t="shared" si="53"/>
        <v>11.313708498984759</v>
      </c>
      <c r="AE149">
        <v>3</v>
      </c>
      <c r="AF149">
        <v>3</v>
      </c>
      <c r="AG149">
        <v>3</v>
      </c>
      <c r="AH149">
        <f t="shared" si="63"/>
        <v>5.0768141756666338</v>
      </c>
      <c r="AI149">
        <f t="shared" si="54"/>
        <v>12.033929897876465</v>
      </c>
    </row>
    <row r="150" spans="1:35" x14ac:dyDescent="0.3">
      <c r="A150">
        <v>2021</v>
      </c>
      <c r="B150" t="s">
        <v>249</v>
      </c>
      <c r="C150" t="s">
        <v>250</v>
      </c>
      <c r="D150" t="s">
        <v>251</v>
      </c>
      <c r="E150" t="s">
        <v>252</v>
      </c>
      <c r="F150">
        <v>21</v>
      </c>
      <c r="G150" t="s">
        <v>22</v>
      </c>
      <c r="H150" t="s">
        <v>135</v>
      </c>
      <c r="I150" t="s">
        <v>142</v>
      </c>
      <c r="J150" t="s">
        <v>143</v>
      </c>
      <c r="K150" t="s">
        <v>144</v>
      </c>
      <c r="L150">
        <v>227556</v>
      </c>
      <c r="M150">
        <v>146950</v>
      </c>
      <c r="N150">
        <v>1</v>
      </c>
      <c r="O150">
        <f t="shared" si="56"/>
        <v>2.5906735751295338E-3</v>
      </c>
      <c r="P150">
        <v>10</v>
      </c>
      <c r="Q150">
        <f t="shared" si="57"/>
        <v>2.5906735751295338E-3</v>
      </c>
      <c r="R150">
        <v>5.0000000000000001E-3</v>
      </c>
      <c r="S150">
        <f t="shared" si="64"/>
        <v>0.05</v>
      </c>
      <c r="T150">
        <f t="shared" si="58"/>
        <v>5.1334702258726934E-4</v>
      </c>
      <c r="U150">
        <f t="shared" si="59"/>
        <v>-1.5429630490841532E-2</v>
      </c>
      <c r="V150">
        <f t="shared" si="60"/>
        <v>1.34E-2</v>
      </c>
      <c r="W150">
        <v>0.1</v>
      </c>
      <c r="X150">
        <f t="shared" si="61"/>
        <v>0.13400000000000001</v>
      </c>
      <c r="Y150">
        <v>3</v>
      </c>
      <c r="Z150">
        <v>1</v>
      </c>
      <c r="AA150" t="s">
        <v>93</v>
      </c>
      <c r="AB150">
        <f t="shared" si="62"/>
        <v>2.1213203435596424</v>
      </c>
      <c r="AC150">
        <f t="shared" si="53"/>
        <v>11.313708498984759</v>
      </c>
      <c r="AE150">
        <v>3</v>
      </c>
      <c r="AF150">
        <v>3</v>
      </c>
      <c r="AG150">
        <v>1</v>
      </c>
      <c r="AH150">
        <f t="shared" si="63"/>
        <v>1.6922713918888781</v>
      </c>
      <c r="AI150">
        <f t="shared" si="54"/>
        <v>12.033929897876465</v>
      </c>
    </row>
    <row r="151" spans="1:35" x14ac:dyDescent="0.3">
      <c r="A151">
        <v>2021</v>
      </c>
      <c r="B151" t="s">
        <v>249</v>
      </c>
      <c r="C151" t="s">
        <v>250</v>
      </c>
      <c r="D151" t="s">
        <v>251</v>
      </c>
      <c r="E151" t="s">
        <v>252</v>
      </c>
      <c r="F151">
        <v>21</v>
      </c>
      <c r="G151" t="s">
        <v>22</v>
      </c>
      <c r="H151" t="s">
        <v>56</v>
      </c>
      <c r="I151" t="s">
        <v>90</v>
      </c>
      <c r="J151" t="s">
        <v>91</v>
      </c>
      <c r="K151" t="s">
        <v>91</v>
      </c>
      <c r="L151">
        <v>1007620</v>
      </c>
      <c r="M151">
        <v>129710</v>
      </c>
      <c r="N151">
        <v>1</v>
      </c>
      <c r="O151">
        <f t="shared" si="56"/>
        <v>2.5906735751295338E-3</v>
      </c>
      <c r="P151">
        <v>10</v>
      </c>
      <c r="Q151">
        <f t="shared" si="57"/>
        <v>2.5906735751295338E-3</v>
      </c>
      <c r="R151">
        <v>0.02</v>
      </c>
      <c r="S151">
        <f t="shared" si="64"/>
        <v>0.2</v>
      </c>
      <c r="T151">
        <f t="shared" si="58"/>
        <v>2.0533880903490774E-3</v>
      </c>
      <c r="U151">
        <f t="shared" si="59"/>
        <v>-1.5429630490841532E-2</v>
      </c>
      <c r="V151">
        <f t="shared" si="60"/>
        <v>1.34E-2</v>
      </c>
      <c r="W151">
        <v>0.1</v>
      </c>
      <c r="X151">
        <f t="shared" si="61"/>
        <v>0.13400000000000001</v>
      </c>
      <c r="Y151">
        <v>3</v>
      </c>
      <c r="Z151">
        <v>1</v>
      </c>
      <c r="AA151" t="s">
        <v>93</v>
      </c>
      <c r="AB151">
        <f t="shared" si="62"/>
        <v>4.2426406871192848</v>
      </c>
      <c r="AC151">
        <f t="shared" si="53"/>
        <v>22.627416997969519</v>
      </c>
      <c r="AE151">
        <v>1</v>
      </c>
      <c r="AF151">
        <v>3</v>
      </c>
      <c r="AG151">
        <v>1</v>
      </c>
      <c r="AH151">
        <f t="shared" si="63"/>
        <v>1.5954887690834969</v>
      </c>
      <c r="AI151">
        <f t="shared" si="54"/>
        <v>34.037093740447936</v>
      </c>
    </row>
    <row r="152" spans="1:35" x14ac:dyDescent="0.3">
      <c r="A152">
        <v>2021</v>
      </c>
      <c r="B152" t="s">
        <v>249</v>
      </c>
      <c r="C152" t="s">
        <v>250</v>
      </c>
      <c r="D152" t="s">
        <v>251</v>
      </c>
      <c r="E152" t="s">
        <v>252</v>
      </c>
      <c r="F152">
        <v>21</v>
      </c>
      <c r="G152" t="s">
        <v>22</v>
      </c>
      <c r="H152" t="s">
        <v>56</v>
      </c>
      <c r="I152" t="s">
        <v>90</v>
      </c>
      <c r="J152" t="s">
        <v>91</v>
      </c>
      <c r="K152" t="s">
        <v>92</v>
      </c>
      <c r="L152">
        <v>227550</v>
      </c>
      <c r="M152">
        <v>131534</v>
      </c>
      <c r="N152">
        <v>1</v>
      </c>
      <c r="O152">
        <f t="shared" si="56"/>
        <v>2.5906735751295338E-3</v>
      </c>
      <c r="P152">
        <v>10</v>
      </c>
      <c r="Q152">
        <f t="shared" si="57"/>
        <v>2.5906735751295338E-3</v>
      </c>
      <c r="R152">
        <v>0.01</v>
      </c>
      <c r="S152">
        <f t="shared" si="64"/>
        <v>0.1</v>
      </c>
      <c r="T152">
        <f t="shared" si="58"/>
        <v>1.0266940451745387E-3</v>
      </c>
      <c r="U152">
        <f t="shared" si="59"/>
        <v>-1.5429630490841532E-2</v>
      </c>
      <c r="V152">
        <f t="shared" si="60"/>
        <v>1.34E-2</v>
      </c>
      <c r="W152">
        <v>0.1</v>
      </c>
      <c r="X152">
        <f t="shared" si="61"/>
        <v>0.13400000000000001</v>
      </c>
      <c r="Y152">
        <v>3</v>
      </c>
      <c r="Z152">
        <v>1</v>
      </c>
      <c r="AA152" t="s">
        <v>93</v>
      </c>
      <c r="AB152">
        <f t="shared" si="62"/>
        <v>3</v>
      </c>
      <c r="AC152">
        <f t="shared" si="53"/>
        <v>16</v>
      </c>
      <c r="AE152">
        <v>1</v>
      </c>
      <c r="AF152">
        <v>3</v>
      </c>
      <c r="AG152">
        <v>1</v>
      </c>
      <c r="AH152">
        <f t="shared" si="63"/>
        <v>0.94868329805051399</v>
      </c>
      <c r="AI152">
        <f t="shared" si="54"/>
        <v>20.238577025077632</v>
      </c>
    </row>
    <row r="153" spans="1:35" x14ac:dyDescent="0.3">
      <c r="A153">
        <v>2021</v>
      </c>
      <c r="B153" t="s">
        <v>249</v>
      </c>
      <c r="C153" t="s">
        <v>250</v>
      </c>
      <c r="D153" t="s">
        <v>251</v>
      </c>
      <c r="E153" t="s">
        <v>252</v>
      </c>
      <c r="F153">
        <v>21</v>
      </c>
      <c r="G153" t="s">
        <v>61</v>
      </c>
      <c r="H153" t="s">
        <v>287</v>
      </c>
      <c r="I153" t="s">
        <v>288</v>
      </c>
      <c r="K153" t="s">
        <v>288</v>
      </c>
      <c r="L153">
        <v>2000115</v>
      </c>
      <c r="M153">
        <v>100681</v>
      </c>
      <c r="N153">
        <v>1</v>
      </c>
      <c r="O153">
        <f t="shared" si="56"/>
        <v>2.5906735751295338E-3</v>
      </c>
      <c r="P153">
        <v>10</v>
      </c>
      <c r="Q153">
        <f t="shared" si="57"/>
        <v>2.5906735751295338E-3</v>
      </c>
      <c r="R153">
        <v>0.17</v>
      </c>
      <c r="S153">
        <f t="shared" si="64"/>
        <v>1.7000000000000002</v>
      </c>
      <c r="T153">
        <f t="shared" si="58"/>
        <v>1.7453798767967158E-2</v>
      </c>
      <c r="U153">
        <f t="shared" si="59"/>
        <v>-1.5429630490841532E-2</v>
      </c>
      <c r="V153">
        <f t="shared" si="60"/>
        <v>1.34E-2</v>
      </c>
      <c r="W153">
        <v>0.1</v>
      </c>
      <c r="X153">
        <f t="shared" si="61"/>
        <v>0.13400000000000001</v>
      </c>
      <c r="Y153">
        <v>1</v>
      </c>
      <c r="Z153">
        <v>1</v>
      </c>
      <c r="AA153" t="s">
        <v>66</v>
      </c>
      <c r="AB153">
        <f t="shared" si="62"/>
        <v>4.1231056256176606</v>
      </c>
      <c r="AC153">
        <f t="shared" si="53"/>
        <v>65.969690009882569</v>
      </c>
      <c r="AE153">
        <v>1</v>
      </c>
      <c r="AF153">
        <v>1.5</v>
      </c>
      <c r="AG153">
        <v>2.5</v>
      </c>
      <c r="AH153">
        <f t="shared" si="63"/>
        <v>9.9281415109990352</v>
      </c>
      <c r="AI153">
        <f t="shared" si="54"/>
        <v>169.44028178771686</v>
      </c>
    </row>
    <row r="154" spans="1:35" x14ac:dyDescent="0.3">
      <c r="A154">
        <v>2021</v>
      </c>
      <c r="B154" t="s">
        <v>249</v>
      </c>
      <c r="C154" t="s">
        <v>250</v>
      </c>
      <c r="D154" t="s">
        <v>251</v>
      </c>
      <c r="E154" t="s">
        <v>252</v>
      </c>
      <c r="F154">
        <v>21</v>
      </c>
      <c r="G154" t="s">
        <v>265</v>
      </c>
      <c r="H154" t="s">
        <v>266</v>
      </c>
      <c r="I154" t="s">
        <v>267</v>
      </c>
      <c r="J154" t="s">
        <v>268</v>
      </c>
      <c r="K154" t="s">
        <v>269</v>
      </c>
      <c r="L154">
        <v>217912</v>
      </c>
      <c r="M154">
        <v>140199</v>
      </c>
      <c r="N154">
        <v>3</v>
      </c>
      <c r="O154">
        <f t="shared" si="56"/>
        <v>7.7720207253886009E-3</v>
      </c>
      <c r="P154">
        <v>30</v>
      </c>
      <c r="Q154">
        <f t="shared" si="57"/>
        <v>7.7720207253886009E-3</v>
      </c>
      <c r="R154">
        <v>0.08</v>
      </c>
      <c r="S154">
        <f t="shared" si="64"/>
        <v>0.8</v>
      </c>
      <c r="T154">
        <f t="shared" si="58"/>
        <v>8.2135523613963094E-3</v>
      </c>
      <c r="U154">
        <f t="shared" si="59"/>
        <v>-3.7750453995829436E-2</v>
      </c>
      <c r="V154">
        <f t="shared" si="60"/>
        <v>1.34E-2</v>
      </c>
      <c r="W154">
        <v>0.1</v>
      </c>
      <c r="X154">
        <f t="shared" si="61"/>
        <v>0.13400000000000001</v>
      </c>
      <c r="Y154">
        <v>1</v>
      </c>
      <c r="Z154">
        <v>2</v>
      </c>
      <c r="AA154" t="s">
        <v>66</v>
      </c>
      <c r="AB154">
        <f t="shared" si="62"/>
        <v>9.7979589711327133</v>
      </c>
      <c r="AC154">
        <f t="shared" si="53"/>
        <v>78.383671769061706</v>
      </c>
      <c r="AE154">
        <v>1</v>
      </c>
      <c r="AF154">
        <v>3</v>
      </c>
      <c r="AG154">
        <v>1</v>
      </c>
      <c r="AH154">
        <f t="shared" si="63"/>
        <v>5.9390784046077174</v>
      </c>
      <c r="AI154">
        <f t="shared" si="54"/>
        <v>126.70033929829798</v>
      </c>
    </row>
    <row r="155" spans="1:35" x14ac:dyDescent="0.3">
      <c r="A155">
        <v>2021</v>
      </c>
      <c r="B155" t="s">
        <v>249</v>
      </c>
      <c r="C155" t="s">
        <v>250</v>
      </c>
      <c r="D155" t="s">
        <v>251</v>
      </c>
      <c r="E155" t="s">
        <v>252</v>
      </c>
      <c r="F155">
        <v>21</v>
      </c>
      <c r="G155" t="s">
        <v>22</v>
      </c>
      <c r="H155" t="s">
        <v>67</v>
      </c>
      <c r="I155" t="s">
        <v>196</v>
      </c>
      <c r="J155" t="s">
        <v>263</v>
      </c>
      <c r="K155" t="s">
        <v>264</v>
      </c>
      <c r="L155">
        <v>227120</v>
      </c>
      <c r="M155">
        <v>130801</v>
      </c>
      <c r="N155">
        <v>1</v>
      </c>
      <c r="O155">
        <f t="shared" si="56"/>
        <v>2.5906735751295338E-3</v>
      </c>
      <c r="P155">
        <v>10</v>
      </c>
      <c r="Q155">
        <f t="shared" si="57"/>
        <v>2.5906735751295338E-3</v>
      </c>
      <c r="R155">
        <v>0.04</v>
      </c>
      <c r="S155">
        <f t="shared" si="64"/>
        <v>0.4</v>
      </c>
      <c r="T155">
        <f t="shared" si="58"/>
        <v>4.1067761806981547E-3</v>
      </c>
      <c r="U155">
        <f t="shared" si="59"/>
        <v>-1.5429630490841532E-2</v>
      </c>
      <c r="V155">
        <f t="shared" si="60"/>
        <v>1.34E-2</v>
      </c>
      <c r="W155">
        <v>0.1</v>
      </c>
      <c r="X155">
        <f t="shared" si="61"/>
        <v>0.13400000000000001</v>
      </c>
      <c r="Y155">
        <v>1</v>
      </c>
      <c r="Z155">
        <v>1</v>
      </c>
      <c r="AA155" t="s">
        <v>66</v>
      </c>
      <c r="AB155">
        <f t="shared" si="62"/>
        <v>2</v>
      </c>
      <c r="AC155">
        <f t="shared" si="53"/>
        <v>32</v>
      </c>
      <c r="AE155">
        <v>1</v>
      </c>
      <c r="AF155">
        <v>2.33</v>
      </c>
      <c r="AG155">
        <v>1</v>
      </c>
      <c r="AH155">
        <f t="shared" si="63"/>
        <v>2.0840153550298046</v>
      </c>
      <c r="AI155">
        <f t="shared" si="54"/>
        <v>57.243340223994636</v>
      </c>
    </row>
    <row r="156" spans="1:35" x14ac:dyDescent="0.3">
      <c r="A156">
        <v>2021</v>
      </c>
      <c r="B156" t="s">
        <v>249</v>
      </c>
      <c r="C156" t="s">
        <v>250</v>
      </c>
      <c r="D156" t="s">
        <v>251</v>
      </c>
      <c r="E156" t="s">
        <v>252</v>
      </c>
      <c r="F156">
        <v>21</v>
      </c>
      <c r="G156" t="s">
        <v>79</v>
      </c>
      <c r="H156" t="s">
        <v>245</v>
      </c>
      <c r="I156" t="s">
        <v>246</v>
      </c>
      <c r="J156" t="s">
        <v>247</v>
      </c>
      <c r="K156" t="s">
        <v>248</v>
      </c>
      <c r="L156">
        <v>218231</v>
      </c>
      <c r="M156">
        <v>140589</v>
      </c>
      <c r="N156">
        <v>86</v>
      </c>
      <c r="O156">
        <f t="shared" si="56"/>
        <v>0.22279792746113988</v>
      </c>
      <c r="P156">
        <v>860</v>
      </c>
      <c r="Q156">
        <f t="shared" si="57"/>
        <v>0.22279792746113988</v>
      </c>
      <c r="R156">
        <v>0.81</v>
      </c>
      <c r="S156">
        <f t="shared" si="64"/>
        <v>8.1000000000000014</v>
      </c>
      <c r="T156">
        <f t="shared" si="58"/>
        <v>8.316221765913763E-2</v>
      </c>
      <c r="U156">
        <f t="shared" si="59"/>
        <v>-0.33452887641495799</v>
      </c>
      <c r="V156">
        <f t="shared" si="60"/>
        <v>1.34E-2</v>
      </c>
      <c r="W156">
        <v>0.1</v>
      </c>
      <c r="X156">
        <f t="shared" si="61"/>
        <v>0.13400000000000001</v>
      </c>
      <c r="Y156">
        <v>2</v>
      </c>
      <c r="Z156">
        <v>3</v>
      </c>
      <c r="AA156" t="s">
        <v>50</v>
      </c>
      <c r="AB156">
        <f t="shared" si="62"/>
        <v>500.77539875676803</v>
      </c>
      <c r="AC156">
        <f t="shared" si="53"/>
        <v>1335.4010633513815</v>
      </c>
      <c r="AE156">
        <v>3</v>
      </c>
      <c r="AF156">
        <v>3</v>
      </c>
      <c r="AG156">
        <v>1</v>
      </c>
      <c r="AH156">
        <f t="shared" si="63"/>
        <v>234.00809783862732</v>
      </c>
      <c r="AI156">
        <f t="shared" si="54"/>
        <v>1664.0575846302388</v>
      </c>
    </row>
    <row r="157" spans="1:35" x14ac:dyDescent="0.3">
      <c r="A157">
        <v>2021</v>
      </c>
      <c r="B157" t="s">
        <v>249</v>
      </c>
      <c r="C157" t="s">
        <v>250</v>
      </c>
      <c r="D157" t="s">
        <v>251</v>
      </c>
      <c r="E157" t="s">
        <v>252</v>
      </c>
      <c r="F157">
        <v>21</v>
      </c>
      <c r="G157" t="s">
        <v>79</v>
      </c>
      <c r="H157" t="s">
        <v>113</v>
      </c>
      <c r="I157" t="s">
        <v>114</v>
      </c>
      <c r="J157" t="s">
        <v>191</v>
      </c>
      <c r="K157" t="s">
        <v>192</v>
      </c>
      <c r="L157">
        <v>218286</v>
      </c>
      <c r="M157">
        <v>345281</v>
      </c>
      <c r="N157">
        <v>44</v>
      </c>
      <c r="O157">
        <f t="shared" si="56"/>
        <v>0.11398963730569948</v>
      </c>
      <c r="P157">
        <v>440</v>
      </c>
      <c r="Q157">
        <f t="shared" si="57"/>
        <v>0.11398963730569948</v>
      </c>
      <c r="R157">
        <v>0.12</v>
      </c>
      <c r="S157">
        <f t="shared" si="64"/>
        <v>1.2</v>
      </c>
      <c r="T157">
        <f t="shared" si="58"/>
        <v>1.2320328542094462E-2</v>
      </c>
      <c r="U157">
        <f t="shared" si="59"/>
        <v>-0.24754533773069706</v>
      </c>
      <c r="V157">
        <f t="shared" si="60"/>
        <v>1.34E-2</v>
      </c>
      <c r="W157">
        <v>0.1</v>
      </c>
      <c r="X157">
        <f t="shared" si="61"/>
        <v>0.13400000000000001</v>
      </c>
      <c r="Y157">
        <v>2</v>
      </c>
      <c r="Z157">
        <v>2</v>
      </c>
      <c r="AA157" t="s">
        <v>50</v>
      </c>
      <c r="AB157">
        <f t="shared" si="62"/>
        <v>91.913002344608458</v>
      </c>
      <c r="AC157">
        <f t="shared" si="53"/>
        <v>367.65200937843383</v>
      </c>
      <c r="AE157">
        <v>2</v>
      </c>
      <c r="AF157">
        <v>4</v>
      </c>
      <c r="AG157">
        <v>3</v>
      </c>
      <c r="AH157">
        <f t="shared" si="63"/>
        <v>126.02605605646926</v>
      </c>
      <c r="AI157">
        <f t="shared" si="54"/>
        <v>336.06948281725136</v>
      </c>
    </row>
    <row r="158" spans="1:35" x14ac:dyDescent="0.3">
      <c r="A158">
        <v>2021</v>
      </c>
      <c r="B158" t="s">
        <v>249</v>
      </c>
      <c r="C158" t="s">
        <v>250</v>
      </c>
      <c r="D158" t="s">
        <v>251</v>
      </c>
      <c r="E158" t="s">
        <v>252</v>
      </c>
      <c r="F158">
        <v>21</v>
      </c>
      <c r="I158" t="s">
        <v>230</v>
      </c>
      <c r="J158" t="s">
        <v>231</v>
      </c>
      <c r="K158" t="s">
        <v>232</v>
      </c>
      <c r="L158">
        <v>233581</v>
      </c>
      <c r="M158">
        <v>128549</v>
      </c>
      <c r="N158">
        <v>28</v>
      </c>
      <c r="O158">
        <f t="shared" si="56"/>
        <v>7.2538860103626937E-2</v>
      </c>
      <c r="P158">
        <v>280</v>
      </c>
      <c r="Q158">
        <f t="shared" si="57"/>
        <v>7.2538860103626937E-2</v>
      </c>
      <c r="R158">
        <v>0.65</v>
      </c>
      <c r="S158">
        <f t="shared" si="64"/>
        <v>6.5</v>
      </c>
      <c r="T158">
        <f t="shared" si="58"/>
        <v>6.6735112936345001E-2</v>
      </c>
      <c r="U158">
        <f t="shared" si="59"/>
        <v>-0.190315336943289</v>
      </c>
      <c r="V158">
        <f t="shared" si="60"/>
        <v>1.34E-2</v>
      </c>
      <c r="W158">
        <v>0.1</v>
      </c>
      <c r="X158">
        <f t="shared" si="61"/>
        <v>0.13400000000000001</v>
      </c>
      <c r="Y158">
        <v>2</v>
      </c>
      <c r="Z158">
        <v>1</v>
      </c>
      <c r="AA158" t="s">
        <v>50</v>
      </c>
      <c r="AB158">
        <f t="shared" si="62"/>
        <v>85.322916030806155</v>
      </c>
      <c r="AC158">
        <f t="shared" si="53"/>
        <v>682.58332824644924</v>
      </c>
      <c r="AE158">
        <v>3</v>
      </c>
      <c r="AF158">
        <v>2</v>
      </c>
      <c r="AG158">
        <v>1</v>
      </c>
      <c r="AH158">
        <f t="shared" si="63"/>
        <v>99.913868785090699</v>
      </c>
      <c r="AI158">
        <f t="shared" si="54"/>
        <v>1065.747933707634</v>
      </c>
    </row>
    <row r="159" spans="1:35" x14ac:dyDescent="0.3">
      <c r="A159">
        <v>2021</v>
      </c>
      <c r="B159" t="s">
        <v>249</v>
      </c>
      <c r="C159" t="s">
        <v>250</v>
      </c>
      <c r="D159" t="s">
        <v>251</v>
      </c>
      <c r="E159" t="s">
        <v>252</v>
      </c>
      <c r="F159">
        <v>21</v>
      </c>
      <c r="G159" t="s">
        <v>79</v>
      </c>
      <c r="H159" t="s">
        <v>113</v>
      </c>
      <c r="I159" t="s">
        <v>123</v>
      </c>
      <c r="J159" t="s">
        <v>124</v>
      </c>
      <c r="K159" t="s">
        <v>125</v>
      </c>
      <c r="L159">
        <v>218310</v>
      </c>
      <c r="M159">
        <v>141435</v>
      </c>
      <c r="N159">
        <v>54</v>
      </c>
      <c r="O159">
        <f t="shared" si="56"/>
        <v>0.13989637305699482</v>
      </c>
      <c r="P159">
        <v>540</v>
      </c>
      <c r="Q159">
        <f t="shared" si="57"/>
        <v>0.13989637305699482</v>
      </c>
      <c r="R159">
        <v>0.74</v>
      </c>
      <c r="S159">
        <f t="shared" si="64"/>
        <v>7.4</v>
      </c>
      <c r="T159">
        <f t="shared" si="58"/>
        <v>7.5975359342915855E-2</v>
      </c>
      <c r="U159">
        <f t="shared" si="59"/>
        <v>-0.27515564620888611</v>
      </c>
      <c r="V159">
        <f t="shared" si="60"/>
        <v>1.34E-2</v>
      </c>
      <c r="W159">
        <v>0.1</v>
      </c>
      <c r="X159">
        <f t="shared" si="61"/>
        <v>0.13400000000000001</v>
      </c>
      <c r="Y159">
        <v>2</v>
      </c>
      <c r="Z159">
        <v>2</v>
      </c>
      <c r="AA159" t="s">
        <v>50</v>
      </c>
      <c r="AB159">
        <f t="shared" si="62"/>
        <v>252.85569006846572</v>
      </c>
      <c r="AC159">
        <f t="shared" si="53"/>
        <v>1011.4227602738629</v>
      </c>
      <c r="AE159">
        <v>1</v>
      </c>
      <c r="AF159">
        <v>1</v>
      </c>
      <c r="AG159">
        <v>2</v>
      </c>
      <c r="AH159">
        <f t="shared" si="63"/>
        <v>43.256584545091478</v>
      </c>
      <c r="AI159">
        <f t="shared" si="54"/>
        <v>1384.2107054429273</v>
      </c>
    </row>
    <row r="160" spans="1:35" x14ac:dyDescent="0.3">
      <c r="A160">
        <v>2021</v>
      </c>
      <c r="B160" t="s">
        <v>249</v>
      </c>
      <c r="C160" t="s">
        <v>250</v>
      </c>
      <c r="D160" t="s">
        <v>251</v>
      </c>
      <c r="E160" t="s">
        <v>252</v>
      </c>
      <c r="F160">
        <v>21</v>
      </c>
      <c r="G160" t="s">
        <v>28</v>
      </c>
      <c r="H160" t="s">
        <v>29</v>
      </c>
      <c r="I160" t="s">
        <v>279</v>
      </c>
      <c r="J160" t="s">
        <v>280</v>
      </c>
      <c r="K160" t="s">
        <v>281</v>
      </c>
      <c r="L160">
        <v>217707</v>
      </c>
      <c r="M160">
        <v>124929</v>
      </c>
      <c r="N160">
        <v>1</v>
      </c>
      <c r="O160">
        <f t="shared" si="56"/>
        <v>2.5906735751295338E-3</v>
      </c>
      <c r="P160">
        <v>10</v>
      </c>
      <c r="Q160">
        <f t="shared" si="57"/>
        <v>2.5906735751295338E-3</v>
      </c>
      <c r="R160">
        <v>0.28000000000000003</v>
      </c>
      <c r="S160">
        <f t="shared" si="64"/>
        <v>2.8000000000000003</v>
      </c>
      <c r="T160">
        <f t="shared" si="58"/>
        <v>2.874743326488708E-2</v>
      </c>
      <c r="U160">
        <f t="shared" si="59"/>
        <v>-1.5429630490841532E-2</v>
      </c>
      <c r="V160">
        <f t="shared" si="60"/>
        <v>1.34E-2</v>
      </c>
      <c r="W160">
        <v>0.1</v>
      </c>
      <c r="X160">
        <f t="shared" si="61"/>
        <v>0.13400000000000001</v>
      </c>
      <c r="Y160">
        <v>2</v>
      </c>
      <c r="Z160">
        <v>2</v>
      </c>
      <c r="AA160" t="s">
        <v>50</v>
      </c>
      <c r="AB160">
        <f t="shared" si="62"/>
        <v>21.166010488516726</v>
      </c>
      <c r="AC160">
        <f t="shared" si="53"/>
        <v>84.664041954066903</v>
      </c>
      <c r="AE160">
        <v>1</v>
      </c>
      <c r="AF160">
        <v>3</v>
      </c>
      <c r="AG160">
        <v>1</v>
      </c>
      <c r="AH160">
        <f t="shared" si="63"/>
        <v>11.547548054788749</v>
      </c>
      <c r="AI160">
        <f t="shared" si="54"/>
        <v>246.34769183549332</v>
      </c>
    </row>
    <row r="161" spans="1:35" x14ac:dyDescent="0.3">
      <c r="A161">
        <v>2021</v>
      </c>
      <c r="B161" t="s">
        <v>249</v>
      </c>
      <c r="C161" t="s">
        <v>250</v>
      </c>
      <c r="D161" t="s">
        <v>251</v>
      </c>
      <c r="E161" t="s">
        <v>252</v>
      </c>
      <c r="F161">
        <v>21</v>
      </c>
      <c r="G161" t="s">
        <v>22</v>
      </c>
      <c r="I161" t="s">
        <v>221</v>
      </c>
      <c r="J161" t="s">
        <v>222</v>
      </c>
      <c r="K161" t="s">
        <v>223</v>
      </c>
      <c r="L161">
        <v>227385</v>
      </c>
      <c r="M161">
        <v>130270</v>
      </c>
      <c r="N161">
        <v>2</v>
      </c>
      <c r="O161">
        <f t="shared" si="56"/>
        <v>5.1813471502590676E-3</v>
      </c>
      <c r="P161">
        <v>20</v>
      </c>
      <c r="Q161">
        <f t="shared" si="57"/>
        <v>5.1813471502590676E-3</v>
      </c>
      <c r="R161">
        <v>5.0000000000000001E-3</v>
      </c>
      <c r="S161">
        <f t="shared" si="64"/>
        <v>0.05</v>
      </c>
      <c r="T161">
        <f t="shared" si="58"/>
        <v>5.1334702258726934E-4</v>
      </c>
      <c r="U161">
        <f t="shared" si="59"/>
        <v>-2.7267824812978684E-2</v>
      </c>
      <c r="V161">
        <f t="shared" si="60"/>
        <v>1.34E-2</v>
      </c>
      <c r="W161">
        <v>0.1</v>
      </c>
      <c r="X161">
        <f t="shared" si="61"/>
        <v>0.13400000000000001</v>
      </c>
      <c r="Y161">
        <v>2</v>
      </c>
      <c r="Z161">
        <v>2</v>
      </c>
      <c r="AA161" t="s">
        <v>50</v>
      </c>
      <c r="AB161">
        <f t="shared" si="62"/>
        <v>4</v>
      </c>
      <c r="AC161">
        <f t="shared" si="53"/>
        <v>16</v>
      </c>
      <c r="AE161">
        <v>3</v>
      </c>
      <c r="AF161">
        <v>3</v>
      </c>
      <c r="AG161">
        <v>4</v>
      </c>
      <c r="AH161">
        <f t="shared" si="63"/>
        <v>8.0498447189992426</v>
      </c>
      <c r="AI161">
        <f t="shared" si="54"/>
        <v>14.310835055998654</v>
      </c>
    </row>
    <row r="162" spans="1:35" x14ac:dyDescent="0.3">
      <c r="A162">
        <v>2021</v>
      </c>
      <c r="B162" t="s">
        <v>249</v>
      </c>
      <c r="C162" t="s">
        <v>250</v>
      </c>
      <c r="D162" t="s">
        <v>251</v>
      </c>
      <c r="E162" t="s">
        <v>252</v>
      </c>
      <c r="F162">
        <v>21</v>
      </c>
      <c r="G162" t="s">
        <v>79</v>
      </c>
      <c r="H162" t="s">
        <v>113</v>
      </c>
      <c r="I162" t="s">
        <v>123</v>
      </c>
      <c r="J162" t="s">
        <v>124</v>
      </c>
      <c r="K162" t="s">
        <v>253</v>
      </c>
      <c r="L162">
        <v>218308</v>
      </c>
      <c r="M162">
        <v>141433</v>
      </c>
      <c r="N162">
        <v>1</v>
      </c>
      <c r="O162">
        <f t="shared" si="56"/>
        <v>2.5906735751295338E-3</v>
      </c>
      <c r="P162">
        <v>10</v>
      </c>
      <c r="Q162">
        <f t="shared" si="57"/>
        <v>2.5906735751295338E-3</v>
      </c>
      <c r="R162">
        <v>0.08</v>
      </c>
      <c r="S162">
        <f t="shared" si="64"/>
        <v>0.8</v>
      </c>
      <c r="T162">
        <f t="shared" si="58"/>
        <v>8.2135523613963094E-3</v>
      </c>
      <c r="U162">
        <f t="shared" si="59"/>
        <v>-1.5429630490841532E-2</v>
      </c>
      <c r="V162">
        <f t="shared" si="60"/>
        <v>1.34E-2</v>
      </c>
      <c r="W162">
        <v>0.1</v>
      </c>
      <c r="X162">
        <f t="shared" si="61"/>
        <v>0.13400000000000001</v>
      </c>
      <c r="Y162">
        <v>2</v>
      </c>
      <c r="Z162">
        <v>2</v>
      </c>
      <c r="AA162" t="s">
        <v>50</v>
      </c>
      <c r="AB162">
        <f t="shared" si="62"/>
        <v>11.313708498984759</v>
      </c>
      <c r="AC162">
        <f t="shared" si="53"/>
        <v>45.254833995939038</v>
      </c>
      <c r="AE162">
        <v>1</v>
      </c>
      <c r="AF162">
        <v>1</v>
      </c>
      <c r="AG162">
        <v>3</v>
      </c>
      <c r="AH162">
        <f t="shared" si="63"/>
        <v>4.5127237117036714</v>
      </c>
      <c r="AI162">
        <f t="shared" si="54"/>
        <v>96.271439183011665</v>
      </c>
    </row>
    <row r="163" spans="1:35" x14ac:dyDescent="0.3">
      <c r="A163">
        <v>2021</v>
      </c>
      <c r="B163" t="s">
        <v>249</v>
      </c>
      <c r="C163" t="s">
        <v>250</v>
      </c>
      <c r="D163" t="s">
        <v>251</v>
      </c>
      <c r="E163" t="s">
        <v>252</v>
      </c>
      <c r="F163">
        <v>21</v>
      </c>
      <c r="G163" t="s">
        <v>79</v>
      </c>
      <c r="H163" t="s">
        <v>215</v>
      </c>
      <c r="I163" t="s">
        <v>216</v>
      </c>
      <c r="J163" t="s">
        <v>217</v>
      </c>
      <c r="K163" t="s">
        <v>218</v>
      </c>
      <c r="L163">
        <v>218266</v>
      </c>
      <c r="M163">
        <v>139410</v>
      </c>
      <c r="N163">
        <v>6</v>
      </c>
      <c r="O163">
        <f t="shared" si="56"/>
        <v>1.5544041450777202E-2</v>
      </c>
      <c r="P163">
        <v>60</v>
      </c>
      <c r="Q163">
        <f t="shared" si="57"/>
        <v>1.5544041450777202E-2</v>
      </c>
      <c r="R163">
        <v>0.02</v>
      </c>
      <c r="S163">
        <f t="shared" si="64"/>
        <v>0.2</v>
      </c>
      <c r="T163">
        <f t="shared" si="58"/>
        <v>2.0533880903490774E-3</v>
      </c>
      <c r="U163">
        <f t="shared" si="59"/>
        <v>-6.4726599485545738E-2</v>
      </c>
      <c r="V163">
        <f t="shared" si="60"/>
        <v>1.34E-2</v>
      </c>
      <c r="W163">
        <v>0.1</v>
      </c>
      <c r="X163">
        <f t="shared" si="61"/>
        <v>0.13400000000000001</v>
      </c>
      <c r="Y163">
        <v>2</v>
      </c>
      <c r="Z163">
        <v>2</v>
      </c>
      <c r="AA163" t="s">
        <v>50</v>
      </c>
      <c r="AB163">
        <f t="shared" si="62"/>
        <v>13.856406460551019</v>
      </c>
      <c r="AC163">
        <f t="shared" si="53"/>
        <v>55.425625842204077</v>
      </c>
      <c r="AE163">
        <v>2.5</v>
      </c>
      <c r="AF163">
        <v>1</v>
      </c>
      <c r="AG163">
        <v>2</v>
      </c>
      <c r="AH163">
        <f t="shared" si="63"/>
        <v>4.1617914502878168</v>
      </c>
      <c r="AI163">
        <f t="shared" si="54"/>
        <v>53.270930563684061</v>
      </c>
    </row>
    <row r="164" spans="1:35" x14ac:dyDescent="0.3">
      <c r="A164">
        <v>2021</v>
      </c>
      <c r="B164" t="s">
        <v>249</v>
      </c>
      <c r="C164" t="s">
        <v>250</v>
      </c>
      <c r="D164" t="s">
        <v>251</v>
      </c>
      <c r="E164" t="s">
        <v>252</v>
      </c>
      <c r="F164">
        <v>21</v>
      </c>
      <c r="G164" t="s">
        <v>51</v>
      </c>
      <c r="H164" t="s">
        <v>126</v>
      </c>
      <c r="I164" t="s">
        <v>273</v>
      </c>
      <c r="J164" t="s">
        <v>274</v>
      </c>
      <c r="K164" t="s">
        <v>274</v>
      </c>
      <c r="L164">
        <v>1009357</v>
      </c>
      <c r="M164">
        <v>101471</v>
      </c>
      <c r="N164">
        <v>1</v>
      </c>
      <c r="O164">
        <f t="shared" si="56"/>
        <v>2.5906735751295338E-3</v>
      </c>
      <c r="P164">
        <v>10</v>
      </c>
      <c r="Q164">
        <f t="shared" si="57"/>
        <v>2.5906735751295338E-3</v>
      </c>
      <c r="R164">
        <v>5.0000000000000001E-3</v>
      </c>
      <c r="S164">
        <f t="shared" si="64"/>
        <v>0.05</v>
      </c>
      <c r="T164">
        <f t="shared" si="58"/>
        <v>5.1334702258726934E-4</v>
      </c>
      <c r="U164">
        <f t="shared" si="59"/>
        <v>-1.5429630490841532E-2</v>
      </c>
      <c r="V164">
        <f t="shared" si="60"/>
        <v>1.34E-2</v>
      </c>
      <c r="W164">
        <v>0.1</v>
      </c>
      <c r="X164">
        <f t="shared" si="61"/>
        <v>0.13400000000000001</v>
      </c>
      <c r="Y164">
        <v>1</v>
      </c>
      <c r="Z164">
        <v>3</v>
      </c>
      <c r="AA164" t="s">
        <v>50</v>
      </c>
      <c r="AB164">
        <f t="shared" si="62"/>
        <v>2.1213203435596424</v>
      </c>
      <c r="AC164">
        <f t="shared" si="53"/>
        <v>11.313708498984759</v>
      </c>
      <c r="AE164">
        <v>3</v>
      </c>
      <c r="AF164">
        <v>3</v>
      </c>
      <c r="AG164">
        <v>2</v>
      </c>
      <c r="AH164">
        <f t="shared" si="63"/>
        <v>3.3845427837777562</v>
      </c>
      <c r="AI164">
        <f t="shared" si="54"/>
        <v>12.033929897876465</v>
      </c>
    </row>
    <row r="165" spans="1:35" x14ac:dyDescent="0.3">
      <c r="A165">
        <v>2021</v>
      </c>
      <c r="B165" t="s">
        <v>249</v>
      </c>
      <c r="C165" t="s">
        <v>250</v>
      </c>
      <c r="D165" t="s">
        <v>251</v>
      </c>
      <c r="E165" t="s">
        <v>252</v>
      </c>
      <c r="F165">
        <v>21</v>
      </c>
      <c r="G165" t="s">
        <v>22</v>
      </c>
      <c r="H165" t="s">
        <v>135</v>
      </c>
      <c r="I165" t="s">
        <v>136</v>
      </c>
      <c r="J165" t="s">
        <v>285</v>
      </c>
      <c r="K165" t="s">
        <v>286</v>
      </c>
      <c r="L165">
        <v>227615</v>
      </c>
      <c r="M165">
        <v>130967</v>
      </c>
      <c r="N165">
        <v>1</v>
      </c>
      <c r="O165">
        <f t="shared" si="56"/>
        <v>2.5906735751295338E-3</v>
      </c>
      <c r="P165">
        <v>10</v>
      </c>
      <c r="Q165">
        <f t="shared" si="57"/>
        <v>2.5906735751295338E-3</v>
      </c>
      <c r="R165">
        <v>0.03</v>
      </c>
      <c r="S165">
        <f t="shared" si="64"/>
        <v>0.3</v>
      </c>
      <c r="T165">
        <f t="shared" si="58"/>
        <v>3.0800821355236154E-3</v>
      </c>
      <c r="U165">
        <f t="shared" si="59"/>
        <v>-1.5429630490841532E-2</v>
      </c>
      <c r="V165">
        <f t="shared" si="60"/>
        <v>1.34E-2</v>
      </c>
      <c r="W165">
        <v>0.1</v>
      </c>
      <c r="X165">
        <f t="shared" si="61"/>
        <v>0.13400000000000001</v>
      </c>
      <c r="Y165">
        <v>2</v>
      </c>
      <c r="Z165">
        <v>1</v>
      </c>
      <c r="AA165" t="s">
        <v>50</v>
      </c>
      <c r="AB165">
        <f t="shared" si="62"/>
        <v>3.4641016151377544</v>
      </c>
      <c r="AC165">
        <f t="shared" si="53"/>
        <v>27.712812921102035</v>
      </c>
      <c r="AE165">
        <v>3</v>
      </c>
      <c r="AF165">
        <v>1</v>
      </c>
      <c r="AG165">
        <v>1</v>
      </c>
      <c r="AH165">
        <f t="shared" si="63"/>
        <v>2.1625302727212796</v>
      </c>
      <c r="AI165">
        <f t="shared" si="54"/>
        <v>46.133979151387294</v>
      </c>
    </row>
    <row r="166" spans="1:35" x14ac:dyDescent="0.3">
      <c r="A166">
        <v>2021</v>
      </c>
      <c r="B166" t="s">
        <v>249</v>
      </c>
      <c r="C166" t="s">
        <v>250</v>
      </c>
      <c r="D166" t="s">
        <v>251</v>
      </c>
      <c r="E166" t="s">
        <v>252</v>
      </c>
      <c r="F166">
        <v>21</v>
      </c>
      <c r="G166" t="s">
        <v>51</v>
      </c>
      <c r="H166" t="s">
        <v>52</v>
      </c>
      <c r="I166" t="s">
        <v>53</v>
      </c>
      <c r="J166" t="s">
        <v>54</v>
      </c>
      <c r="K166" t="s">
        <v>258</v>
      </c>
      <c r="L166">
        <v>233410</v>
      </c>
      <c r="M166">
        <v>110487</v>
      </c>
      <c r="N166">
        <v>1</v>
      </c>
      <c r="O166">
        <f t="shared" si="56"/>
        <v>2.5906735751295338E-3</v>
      </c>
      <c r="P166">
        <v>10</v>
      </c>
      <c r="Q166">
        <f t="shared" si="57"/>
        <v>2.5906735751295338E-3</v>
      </c>
      <c r="R166">
        <v>0.01</v>
      </c>
      <c r="S166">
        <f>R166*10</f>
        <v>0.1</v>
      </c>
      <c r="T166">
        <f t="shared" si="58"/>
        <v>1.0266940451745387E-3</v>
      </c>
      <c r="U166">
        <f t="shared" si="59"/>
        <v>-1.5429630490841532E-2</v>
      </c>
      <c r="V166">
        <f t="shared" si="60"/>
        <v>1.34E-2</v>
      </c>
      <c r="W166">
        <v>0.1</v>
      </c>
      <c r="X166">
        <f t="shared" si="61"/>
        <v>0.13400000000000001</v>
      </c>
      <c r="Y166">
        <v>2</v>
      </c>
      <c r="Z166">
        <v>3</v>
      </c>
      <c r="AA166" t="s">
        <v>50</v>
      </c>
      <c r="AB166">
        <f t="shared" si="62"/>
        <v>6</v>
      </c>
      <c r="AC166">
        <f t="shared" si="53"/>
        <v>16</v>
      </c>
      <c r="AE166">
        <v>3</v>
      </c>
      <c r="AF166">
        <v>2</v>
      </c>
      <c r="AG166">
        <v>1</v>
      </c>
      <c r="AH166">
        <f t="shared" si="63"/>
        <v>1.897366596101028</v>
      </c>
      <c r="AI166">
        <f t="shared" si="54"/>
        <v>20.238577025077632</v>
      </c>
    </row>
    <row r="167" spans="1:35" x14ac:dyDescent="0.3">
      <c r="A167">
        <v>2021</v>
      </c>
      <c r="B167" t="s">
        <v>249</v>
      </c>
      <c r="C167" t="s">
        <v>250</v>
      </c>
      <c r="D167" t="s">
        <v>251</v>
      </c>
      <c r="E167" t="s">
        <v>252</v>
      </c>
      <c r="F167">
        <v>21</v>
      </c>
      <c r="G167" t="s">
        <v>51</v>
      </c>
      <c r="H167" t="s">
        <v>126</v>
      </c>
      <c r="I167" t="s">
        <v>254</v>
      </c>
      <c r="J167" t="s">
        <v>255</v>
      </c>
      <c r="K167" t="s">
        <v>256</v>
      </c>
      <c r="L167">
        <v>246923</v>
      </c>
      <c r="M167">
        <v>102797</v>
      </c>
      <c r="N167">
        <v>1</v>
      </c>
      <c r="O167">
        <f t="shared" si="56"/>
        <v>2.5906735751295338E-3</v>
      </c>
      <c r="P167">
        <v>10</v>
      </c>
      <c r="Q167">
        <f t="shared" si="57"/>
        <v>2.5906735751295338E-3</v>
      </c>
      <c r="R167">
        <v>5.0000000000000001E-3</v>
      </c>
      <c r="S167">
        <f t="shared" si="64"/>
        <v>0.05</v>
      </c>
      <c r="T167">
        <f t="shared" si="58"/>
        <v>5.1334702258726934E-4</v>
      </c>
      <c r="U167">
        <f t="shared" si="59"/>
        <v>-1.5429630490841532E-2</v>
      </c>
      <c r="V167">
        <f t="shared" si="60"/>
        <v>1.34E-2</v>
      </c>
      <c r="W167">
        <v>0.1</v>
      </c>
      <c r="X167">
        <f t="shared" si="61"/>
        <v>0.13400000000000001</v>
      </c>
      <c r="Y167">
        <v>2</v>
      </c>
      <c r="Z167">
        <v>3</v>
      </c>
      <c r="AA167" t="s">
        <v>50</v>
      </c>
      <c r="AB167">
        <f t="shared" si="62"/>
        <v>4.2426406871192848</v>
      </c>
      <c r="AC167">
        <f t="shared" si="53"/>
        <v>11.313708498984759</v>
      </c>
      <c r="AE167">
        <v>1.75</v>
      </c>
      <c r="AF167">
        <v>3</v>
      </c>
      <c r="AG167">
        <v>1.5</v>
      </c>
      <c r="AH167">
        <f t="shared" si="63"/>
        <v>1.4807374679027681</v>
      </c>
      <c r="AI167">
        <f t="shared" si="54"/>
        <v>12.033929897876465</v>
      </c>
    </row>
    <row r="168" spans="1:35" x14ac:dyDescent="0.3">
      <c r="A168">
        <v>2021</v>
      </c>
      <c r="B168" t="s">
        <v>249</v>
      </c>
      <c r="C168" t="s">
        <v>250</v>
      </c>
      <c r="D168" t="s">
        <v>251</v>
      </c>
      <c r="E168" t="s">
        <v>252</v>
      </c>
      <c r="F168">
        <v>21</v>
      </c>
      <c r="G168" t="s">
        <v>51</v>
      </c>
      <c r="H168" t="s">
        <v>126</v>
      </c>
      <c r="I168" t="s">
        <v>254</v>
      </c>
      <c r="J168" t="s">
        <v>255</v>
      </c>
      <c r="K168" t="s">
        <v>257</v>
      </c>
      <c r="L168">
        <v>233430</v>
      </c>
      <c r="M168">
        <v>102798</v>
      </c>
      <c r="N168">
        <v>1</v>
      </c>
      <c r="O168">
        <f t="shared" si="56"/>
        <v>2.5906735751295338E-3</v>
      </c>
      <c r="P168">
        <v>10</v>
      </c>
      <c r="Q168">
        <f t="shared" si="57"/>
        <v>2.5906735751295338E-3</v>
      </c>
      <c r="R168">
        <v>5.0000000000000001E-3</v>
      </c>
      <c r="S168">
        <f t="shared" si="64"/>
        <v>0.05</v>
      </c>
      <c r="T168">
        <f t="shared" si="58"/>
        <v>5.1334702258726934E-4</v>
      </c>
      <c r="U168">
        <f t="shared" si="59"/>
        <v>-1.5429630490841532E-2</v>
      </c>
      <c r="V168">
        <f t="shared" si="60"/>
        <v>1.34E-2</v>
      </c>
      <c r="W168">
        <v>0.1</v>
      </c>
      <c r="X168">
        <f t="shared" si="61"/>
        <v>0.13400000000000001</v>
      </c>
      <c r="Y168">
        <v>2</v>
      </c>
      <c r="Z168">
        <v>3</v>
      </c>
      <c r="AA168" t="s">
        <v>50</v>
      </c>
      <c r="AB168">
        <f t="shared" si="62"/>
        <v>4.2426406871192848</v>
      </c>
      <c r="AC168">
        <f t="shared" si="53"/>
        <v>11.313708498984759</v>
      </c>
      <c r="AE168">
        <v>1.75</v>
      </c>
      <c r="AF168">
        <v>3</v>
      </c>
      <c r="AG168">
        <v>1.5</v>
      </c>
      <c r="AH168">
        <f t="shared" si="63"/>
        <v>1.4807374679027681</v>
      </c>
      <c r="AI168">
        <f t="shared" si="54"/>
        <v>12.033929897876465</v>
      </c>
    </row>
    <row r="169" spans="1:35" x14ac:dyDescent="0.3">
      <c r="A169">
        <v>2021</v>
      </c>
      <c r="B169" t="s">
        <v>249</v>
      </c>
      <c r="C169" t="s">
        <v>250</v>
      </c>
      <c r="D169" t="s">
        <v>251</v>
      </c>
      <c r="E169" t="s">
        <v>252</v>
      </c>
      <c r="F169">
        <v>21</v>
      </c>
      <c r="G169" t="s">
        <v>45</v>
      </c>
      <c r="H169" t="s">
        <v>71</v>
      </c>
      <c r="I169" t="s">
        <v>72</v>
      </c>
      <c r="J169" t="s">
        <v>73</v>
      </c>
      <c r="K169" t="s">
        <v>74</v>
      </c>
      <c r="L169">
        <v>217978</v>
      </c>
      <c r="M169">
        <v>140129</v>
      </c>
      <c r="N169">
        <v>5</v>
      </c>
      <c r="O169">
        <f t="shared" si="56"/>
        <v>1.2953367875647668E-2</v>
      </c>
      <c r="P169">
        <v>50</v>
      </c>
      <c r="Q169">
        <f t="shared" si="57"/>
        <v>1.2953367875647668E-2</v>
      </c>
      <c r="R169">
        <v>0.01</v>
      </c>
      <c r="S169">
        <f t="shared" si="64"/>
        <v>0.1</v>
      </c>
      <c r="T169">
        <f t="shared" si="58"/>
        <v>1.0266940451745387E-3</v>
      </c>
      <c r="U169">
        <f t="shared" si="59"/>
        <v>-5.6300511101434331E-2</v>
      </c>
      <c r="V169">
        <f t="shared" si="60"/>
        <v>1.34E-2</v>
      </c>
      <c r="W169">
        <v>0.1</v>
      </c>
      <c r="X169">
        <f t="shared" si="61"/>
        <v>0.13400000000000001</v>
      </c>
      <c r="Y169">
        <v>2</v>
      </c>
      <c r="Z169">
        <v>3</v>
      </c>
      <c r="AA169" t="s">
        <v>50</v>
      </c>
      <c r="AB169">
        <f t="shared" si="62"/>
        <v>13.416407864998739</v>
      </c>
      <c r="AC169">
        <f t="shared" si="53"/>
        <v>35.777087639996637</v>
      </c>
      <c r="AE169">
        <v>1</v>
      </c>
      <c r="AF169">
        <v>3</v>
      </c>
      <c r="AG169">
        <v>1</v>
      </c>
      <c r="AH169">
        <f t="shared" si="63"/>
        <v>1.4186124135047633</v>
      </c>
      <c r="AI169">
        <f t="shared" si="54"/>
        <v>30.26373148810162</v>
      </c>
    </row>
    <row r="170" spans="1:35" x14ac:dyDescent="0.3">
      <c r="A170">
        <v>2021</v>
      </c>
      <c r="B170" t="s">
        <v>249</v>
      </c>
      <c r="C170" t="s">
        <v>250</v>
      </c>
      <c r="D170" t="s">
        <v>251</v>
      </c>
      <c r="E170" t="s">
        <v>252</v>
      </c>
      <c r="F170">
        <v>21</v>
      </c>
      <c r="G170" t="s">
        <v>22</v>
      </c>
      <c r="I170" t="s">
        <v>148</v>
      </c>
      <c r="J170" t="s">
        <v>149</v>
      </c>
      <c r="K170" t="s">
        <v>150</v>
      </c>
      <c r="L170">
        <v>227872</v>
      </c>
      <c r="M170">
        <v>130578</v>
      </c>
      <c r="N170">
        <v>1</v>
      </c>
      <c r="O170">
        <f t="shared" si="56"/>
        <v>2.5906735751295338E-3</v>
      </c>
      <c r="P170">
        <v>10</v>
      </c>
      <c r="Q170">
        <f t="shared" si="57"/>
        <v>2.5906735751295338E-3</v>
      </c>
      <c r="R170">
        <v>5.0000000000000001E-3</v>
      </c>
      <c r="S170">
        <f t="shared" si="64"/>
        <v>0.05</v>
      </c>
      <c r="T170">
        <f t="shared" si="58"/>
        <v>5.1334702258726934E-4</v>
      </c>
      <c r="U170">
        <f t="shared" si="59"/>
        <v>-1.5429630490841532E-2</v>
      </c>
      <c r="V170">
        <f t="shared" si="60"/>
        <v>1.34E-2</v>
      </c>
      <c r="W170">
        <v>0.1</v>
      </c>
      <c r="X170">
        <f t="shared" si="61"/>
        <v>0.13400000000000001</v>
      </c>
      <c r="Y170">
        <v>2</v>
      </c>
      <c r="Z170">
        <v>3</v>
      </c>
      <c r="AA170" t="s">
        <v>50</v>
      </c>
      <c r="AB170">
        <f t="shared" si="62"/>
        <v>4.2426406871192848</v>
      </c>
      <c r="AC170">
        <f t="shared" si="53"/>
        <v>11.313708498984759</v>
      </c>
      <c r="AE170">
        <v>1</v>
      </c>
      <c r="AF170">
        <v>3.25</v>
      </c>
      <c r="AG170">
        <v>2</v>
      </c>
      <c r="AH170">
        <f t="shared" si="63"/>
        <v>1.2221960052530785</v>
      </c>
      <c r="AI170">
        <f t="shared" si="54"/>
        <v>12.033929897876465</v>
      </c>
    </row>
    <row r="171" spans="1:35" x14ac:dyDescent="0.3">
      <c r="A171">
        <v>2021</v>
      </c>
      <c r="B171" t="s">
        <v>249</v>
      </c>
      <c r="C171" t="s">
        <v>250</v>
      </c>
      <c r="D171" t="s">
        <v>251</v>
      </c>
      <c r="E171" t="s">
        <v>252</v>
      </c>
      <c r="F171">
        <v>21</v>
      </c>
      <c r="G171" t="s">
        <v>22</v>
      </c>
      <c r="H171" t="s">
        <v>67</v>
      </c>
      <c r="I171" t="s">
        <v>84</v>
      </c>
      <c r="J171" t="s">
        <v>85</v>
      </c>
      <c r="K171" t="s">
        <v>199</v>
      </c>
      <c r="L171">
        <v>227130</v>
      </c>
      <c r="M171">
        <v>130599</v>
      </c>
      <c r="N171">
        <v>8</v>
      </c>
      <c r="O171">
        <f t="shared" si="56"/>
        <v>2.072538860103627E-2</v>
      </c>
      <c r="P171">
        <v>80</v>
      </c>
      <c r="Q171">
        <f t="shared" si="57"/>
        <v>2.072538860103627E-2</v>
      </c>
      <c r="R171">
        <v>0.01</v>
      </c>
      <c r="S171">
        <f t="shared" si="64"/>
        <v>0.1</v>
      </c>
      <c r="T171">
        <f t="shared" si="58"/>
        <v>1.0266940451745387E-3</v>
      </c>
      <c r="U171">
        <f t="shared" si="59"/>
        <v>-8.0339809902279694E-2</v>
      </c>
      <c r="V171">
        <f t="shared" si="60"/>
        <v>1.34E-2</v>
      </c>
      <c r="W171">
        <v>0.1</v>
      </c>
      <c r="X171">
        <f t="shared" si="61"/>
        <v>0.13400000000000001</v>
      </c>
      <c r="Y171">
        <v>2</v>
      </c>
      <c r="Z171">
        <v>2</v>
      </c>
      <c r="AA171" t="s">
        <v>50</v>
      </c>
      <c r="AB171">
        <f t="shared" si="62"/>
        <v>11.313708498984759</v>
      </c>
      <c r="AC171">
        <f t="shared" si="53"/>
        <v>45.254833995939038</v>
      </c>
      <c r="AE171">
        <v>1</v>
      </c>
      <c r="AF171">
        <v>2</v>
      </c>
      <c r="AG171">
        <v>1</v>
      </c>
      <c r="AH171">
        <f t="shared" si="63"/>
        <v>1.063659179388998</v>
      </c>
      <c r="AI171">
        <f t="shared" si="54"/>
        <v>34.037093740447936</v>
      </c>
    </row>
    <row r="172" spans="1:35" x14ac:dyDescent="0.3">
      <c r="A172">
        <v>2021</v>
      </c>
      <c r="B172" t="s">
        <v>249</v>
      </c>
      <c r="C172" t="s">
        <v>250</v>
      </c>
      <c r="D172" t="s">
        <v>251</v>
      </c>
      <c r="E172" t="s">
        <v>252</v>
      </c>
      <c r="F172">
        <v>21</v>
      </c>
      <c r="G172" t="s">
        <v>22</v>
      </c>
      <c r="H172" t="s">
        <v>67</v>
      </c>
      <c r="I172" t="s">
        <v>289</v>
      </c>
      <c r="J172" t="s">
        <v>290</v>
      </c>
      <c r="K172" t="s">
        <v>291</v>
      </c>
      <c r="L172">
        <v>263377</v>
      </c>
      <c r="M172">
        <v>152394</v>
      </c>
      <c r="N172">
        <v>1</v>
      </c>
      <c r="O172">
        <f t="shared" si="56"/>
        <v>2.5906735751295338E-3</v>
      </c>
      <c r="P172">
        <v>10</v>
      </c>
      <c r="Q172">
        <f t="shared" si="57"/>
        <v>2.5906735751295338E-3</v>
      </c>
      <c r="R172">
        <v>0.01</v>
      </c>
      <c r="S172">
        <f t="shared" si="64"/>
        <v>0.1</v>
      </c>
      <c r="T172">
        <f t="shared" si="58"/>
        <v>1.0266940451745387E-3</v>
      </c>
      <c r="U172">
        <f t="shared" si="59"/>
        <v>-1.5429630490841532E-2</v>
      </c>
      <c r="V172">
        <f t="shared" si="60"/>
        <v>1.34E-2</v>
      </c>
      <c r="W172">
        <v>0.1</v>
      </c>
      <c r="X172">
        <f t="shared" si="61"/>
        <v>0.13400000000000001</v>
      </c>
      <c r="Y172">
        <v>2</v>
      </c>
      <c r="Z172">
        <v>2</v>
      </c>
      <c r="AA172" t="s">
        <v>50</v>
      </c>
      <c r="AB172">
        <f t="shared" si="62"/>
        <v>4</v>
      </c>
      <c r="AC172">
        <f t="shared" si="53"/>
        <v>16</v>
      </c>
      <c r="AE172">
        <v>1</v>
      </c>
      <c r="AF172">
        <v>3</v>
      </c>
      <c r="AG172">
        <v>1</v>
      </c>
      <c r="AH172">
        <f t="shared" si="63"/>
        <v>0.94868329805051399</v>
      </c>
      <c r="AI172">
        <f t="shared" si="54"/>
        <v>20.238577025077632</v>
      </c>
    </row>
    <row r="173" spans="1:35" x14ac:dyDescent="0.3">
      <c r="A173">
        <v>2021</v>
      </c>
      <c r="B173" t="s">
        <v>249</v>
      </c>
      <c r="C173" t="s">
        <v>250</v>
      </c>
      <c r="D173" t="s">
        <v>251</v>
      </c>
      <c r="E173" t="s">
        <v>252</v>
      </c>
      <c r="F173">
        <v>21</v>
      </c>
      <c r="G173" t="s">
        <v>51</v>
      </c>
      <c r="H173" t="s">
        <v>126</v>
      </c>
      <c r="I173" t="s">
        <v>207</v>
      </c>
      <c r="J173" t="s">
        <v>208</v>
      </c>
      <c r="K173" t="s">
        <v>210</v>
      </c>
      <c r="L173">
        <v>233384</v>
      </c>
      <c r="M173">
        <v>101930</v>
      </c>
      <c r="N173">
        <v>3</v>
      </c>
      <c r="O173">
        <f t="shared" si="56"/>
        <v>7.7720207253886009E-3</v>
      </c>
      <c r="P173">
        <v>30</v>
      </c>
      <c r="Q173">
        <f t="shared" si="57"/>
        <v>7.7720207253886009E-3</v>
      </c>
      <c r="R173">
        <v>0.02</v>
      </c>
      <c r="S173">
        <f t="shared" si="64"/>
        <v>0.2</v>
      </c>
      <c r="T173">
        <f t="shared" si="58"/>
        <v>2.0533880903490774E-3</v>
      </c>
      <c r="U173">
        <f t="shared" si="59"/>
        <v>-3.7750453995829436E-2</v>
      </c>
      <c r="V173">
        <f t="shared" si="60"/>
        <v>1.34E-2</v>
      </c>
      <c r="W173">
        <v>0.1</v>
      </c>
      <c r="X173">
        <f t="shared" si="61"/>
        <v>0.13400000000000001</v>
      </c>
      <c r="Y173">
        <v>2</v>
      </c>
      <c r="Z173">
        <v>1</v>
      </c>
      <c r="AA173" t="s">
        <v>50</v>
      </c>
      <c r="AB173">
        <f t="shared" si="62"/>
        <v>4.8989794855663567</v>
      </c>
      <c r="AC173">
        <f t="shared" si="53"/>
        <v>39.191835884530853</v>
      </c>
      <c r="AE173">
        <v>1</v>
      </c>
      <c r="AF173">
        <v>1</v>
      </c>
      <c r="AG173">
        <v>1</v>
      </c>
      <c r="AH173">
        <f t="shared" si="63"/>
        <v>0.69992710231611677</v>
      </c>
      <c r="AI173">
        <f t="shared" si="54"/>
        <v>44.795334548231473</v>
      </c>
    </row>
    <row r="174" spans="1:35" x14ac:dyDescent="0.3">
      <c r="A174">
        <v>2021</v>
      </c>
      <c r="B174" t="s">
        <v>249</v>
      </c>
      <c r="C174" t="s">
        <v>250</v>
      </c>
      <c r="D174" t="s">
        <v>251</v>
      </c>
      <c r="E174" t="s">
        <v>252</v>
      </c>
      <c r="F174">
        <v>21</v>
      </c>
      <c r="G174" t="s">
        <v>79</v>
      </c>
      <c r="H174" t="s">
        <v>275</v>
      </c>
      <c r="I174" t="s">
        <v>276</v>
      </c>
      <c r="J174" t="s">
        <v>277</v>
      </c>
      <c r="K174" t="s">
        <v>278</v>
      </c>
      <c r="L174">
        <v>218384</v>
      </c>
      <c r="M174">
        <v>140472</v>
      </c>
      <c r="N174">
        <v>2</v>
      </c>
      <c r="O174">
        <f t="shared" si="56"/>
        <v>5.1813471502590676E-3</v>
      </c>
      <c r="P174">
        <v>20</v>
      </c>
      <c r="Q174">
        <f t="shared" si="57"/>
        <v>5.1813471502590676E-3</v>
      </c>
      <c r="R174">
        <v>0.01</v>
      </c>
      <c r="S174">
        <f t="shared" si="64"/>
        <v>0.1</v>
      </c>
      <c r="T174">
        <f t="shared" si="58"/>
        <v>1.0266940451745387E-3</v>
      </c>
      <c r="U174">
        <f t="shared" si="59"/>
        <v>-2.7267824812978684E-2</v>
      </c>
      <c r="V174">
        <f t="shared" si="60"/>
        <v>1.34E-2</v>
      </c>
      <c r="W174">
        <v>0.1</v>
      </c>
      <c r="X174">
        <f t="shared" si="61"/>
        <v>0.13400000000000001</v>
      </c>
      <c r="Y174">
        <v>2</v>
      </c>
      <c r="Z174">
        <v>2</v>
      </c>
      <c r="AA174" t="s">
        <v>50</v>
      </c>
      <c r="AB174">
        <f t="shared" si="62"/>
        <v>5.6568542494923797</v>
      </c>
      <c r="AC174">
        <f t="shared" si="53"/>
        <v>22.627416997969519</v>
      </c>
      <c r="AE174">
        <v>1</v>
      </c>
      <c r="AF174">
        <v>1</v>
      </c>
      <c r="AG174">
        <v>1</v>
      </c>
      <c r="AH174">
        <f t="shared" si="63"/>
        <v>0.37606030930863954</v>
      </c>
      <c r="AI174">
        <f t="shared" si="54"/>
        <v>24.067859795752931</v>
      </c>
    </row>
    <row r="175" spans="1:35" x14ac:dyDescent="0.3">
      <c r="A175">
        <v>2021</v>
      </c>
      <c r="B175" t="s">
        <v>249</v>
      </c>
      <c r="C175" t="s">
        <v>250</v>
      </c>
      <c r="D175" t="s">
        <v>251</v>
      </c>
      <c r="E175" t="s">
        <v>252</v>
      </c>
      <c r="F175">
        <v>21</v>
      </c>
      <c r="G175" t="s">
        <v>79</v>
      </c>
      <c r="H175" t="s">
        <v>275</v>
      </c>
      <c r="I175" t="s">
        <v>276</v>
      </c>
      <c r="K175" t="s">
        <v>276</v>
      </c>
      <c r="L175">
        <v>2000701</v>
      </c>
      <c r="M175">
        <v>211</v>
      </c>
      <c r="N175">
        <v>1</v>
      </c>
      <c r="O175">
        <f t="shared" si="56"/>
        <v>2.5906735751295338E-3</v>
      </c>
      <c r="P175">
        <v>10</v>
      </c>
      <c r="Q175">
        <f t="shared" si="57"/>
        <v>2.5906735751295338E-3</v>
      </c>
      <c r="R175">
        <v>0.01</v>
      </c>
      <c r="S175">
        <f t="shared" si="64"/>
        <v>0.1</v>
      </c>
      <c r="T175">
        <f t="shared" si="58"/>
        <v>1.0266940451745387E-3</v>
      </c>
      <c r="U175">
        <f t="shared" si="59"/>
        <v>-1.5429630490841532E-2</v>
      </c>
      <c r="V175">
        <f t="shared" si="60"/>
        <v>1.34E-2</v>
      </c>
      <c r="W175">
        <v>0.1</v>
      </c>
      <c r="X175">
        <f t="shared" si="61"/>
        <v>0.13400000000000001</v>
      </c>
      <c r="Y175">
        <v>1.6666666666666701</v>
      </c>
      <c r="Z175">
        <v>1.8333333333333299</v>
      </c>
      <c r="AA175" t="s">
        <v>50</v>
      </c>
      <c r="AB175">
        <f t="shared" si="62"/>
        <v>3.0555555555555562</v>
      </c>
      <c r="AC175">
        <f t="shared" si="53"/>
        <v>16</v>
      </c>
      <c r="AE175">
        <v>1</v>
      </c>
      <c r="AF175">
        <v>1</v>
      </c>
      <c r="AG175">
        <v>1</v>
      </c>
      <c r="AH175">
        <f t="shared" si="63"/>
        <v>0.316227766016838</v>
      </c>
      <c r="AI175">
        <f t="shared" si="54"/>
        <v>20.238577025077632</v>
      </c>
    </row>
    <row r="176" spans="1:35" x14ac:dyDescent="0.3">
      <c r="A176">
        <v>2021</v>
      </c>
      <c r="B176" t="s">
        <v>249</v>
      </c>
      <c r="C176" t="s">
        <v>250</v>
      </c>
      <c r="D176" t="s">
        <v>251</v>
      </c>
      <c r="E176" t="s">
        <v>252</v>
      </c>
      <c r="F176">
        <v>21</v>
      </c>
      <c r="G176" t="s">
        <v>22</v>
      </c>
      <c r="H176" t="s">
        <v>56</v>
      </c>
      <c r="I176" t="s">
        <v>167</v>
      </c>
      <c r="J176" t="s">
        <v>168</v>
      </c>
      <c r="K176" t="s">
        <v>169</v>
      </c>
      <c r="L176">
        <v>227442</v>
      </c>
      <c r="M176">
        <v>334415</v>
      </c>
      <c r="N176">
        <v>1</v>
      </c>
      <c r="O176">
        <f t="shared" si="56"/>
        <v>2.5906735751295338E-3</v>
      </c>
      <c r="P176">
        <v>10</v>
      </c>
      <c r="Q176">
        <f t="shared" si="57"/>
        <v>2.5906735751295338E-3</v>
      </c>
      <c r="R176">
        <v>0.02</v>
      </c>
      <c r="S176">
        <f t="shared" si="64"/>
        <v>0.2</v>
      </c>
      <c r="T176">
        <f t="shared" si="58"/>
        <v>2.0533880903490774E-3</v>
      </c>
      <c r="U176">
        <f t="shared" si="59"/>
        <v>-1.5429630490841532E-2</v>
      </c>
      <c r="V176">
        <f t="shared" si="60"/>
        <v>1.34E-2</v>
      </c>
      <c r="W176">
        <v>0.1</v>
      </c>
      <c r="X176">
        <f t="shared" si="61"/>
        <v>0.13400000000000001</v>
      </c>
      <c r="Y176">
        <v>3</v>
      </c>
      <c r="Z176">
        <v>1</v>
      </c>
      <c r="AA176" t="s">
        <v>60</v>
      </c>
      <c r="AB176">
        <f t="shared" si="62"/>
        <v>4.2426406871192848</v>
      </c>
      <c r="AC176">
        <f t="shared" si="53"/>
        <v>22.627416997969519</v>
      </c>
      <c r="AE176">
        <v>3</v>
      </c>
      <c r="AF176">
        <v>4</v>
      </c>
      <c r="AG176">
        <v>2.5</v>
      </c>
      <c r="AH176">
        <f t="shared" si="63"/>
        <v>15.954887690834969</v>
      </c>
      <c r="AI176">
        <f t="shared" si="54"/>
        <v>34.037093740447936</v>
      </c>
    </row>
    <row r="177" spans="1:36" x14ac:dyDescent="0.3">
      <c r="A177">
        <v>2021</v>
      </c>
      <c r="B177" t="s">
        <v>249</v>
      </c>
      <c r="C177" t="s">
        <v>250</v>
      </c>
      <c r="D177" t="s">
        <v>251</v>
      </c>
      <c r="E177" t="s">
        <v>252</v>
      </c>
      <c r="F177">
        <v>21</v>
      </c>
      <c r="G177" t="s">
        <v>22</v>
      </c>
      <c r="I177" t="s">
        <v>102</v>
      </c>
      <c r="J177" t="s">
        <v>103</v>
      </c>
      <c r="K177" t="s">
        <v>284</v>
      </c>
      <c r="L177">
        <v>227805</v>
      </c>
      <c r="M177">
        <v>130330</v>
      </c>
      <c r="N177">
        <v>2</v>
      </c>
      <c r="O177">
        <f t="shared" si="56"/>
        <v>5.1813471502590676E-3</v>
      </c>
      <c r="P177">
        <v>20</v>
      </c>
      <c r="Q177">
        <f t="shared" si="57"/>
        <v>5.1813471502590676E-3</v>
      </c>
      <c r="R177">
        <v>0.01</v>
      </c>
      <c r="S177">
        <f t="shared" si="64"/>
        <v>0.1</v>
      </c>
      <c r="T177">
        <f t="shared" si="58"/>
        <v>1.0266940451745387E-3</v>
      </c>
      <c r="U177">
        <f t="shared" si="59"/>
        <v>-2.7267824812978684E-2</v>
      </c>
      <c r="V177">
        <f t="shared" si="60"/>
        <v>1.34E-2</v>
      </c>
      <c r="W177">
        <v>0.1</v>
      </c>
      <c r="X177">
        <f t="shared" si="61"/>
        <v>0.13400000000000001</v>
      </c>
      <c r="Y177">
        <v>3</v>
      </c>
      <c r="Z177">
        <v>1</v>
      </c>
      <c r="AA177" t="s">
        <v>60</v>
      </c>
      <c r="AB177">
        <f t="shared" si="62"/>
        <v>4.2426406871192848</v>
      </c>
      <c r="AC177">
        <f t="shared" si="53"/>
        <v>22.627416997969519</v>
      </c>
      <c r="AE177">
        <v>3</v>
      </c>
      <c r="AF177">
        <v>4</v>
      </c>
      <c r="AG177">
        <v>2.71</v>
      </c>
      <c r="AH177">
        <f t="shared" si="63"/>
        <v>12.229481258716959</v>
      </c>
      <c r="AI177">
        <f t="shared" si="54"/>
        <v>24.067859795752931</v>
      </c>
    </row>
    <row r="178" spans="1:36" x14ac:dyDescent="0.3">
      <c r="A178">
        <v>2021</v>
      </c>
      <c r="B178" t="s">
        <v>249</v>
      </c>
      <c r="C178" t="s">
        <v>250</v>
      </c>
      <c r="D178" t="s">
        <v>251</v>
      </c>
      <c r="E178" t="s">
        <v>252</v>
      </c>
      <c r="F178">
        <v>21</v>
      </c>
      <c r="G178" t="s">
        <v>22</v>
      </c>
      <c r="H178" t="s">
        <v>56</v>
      </c>
      <c r="I178" t="s">
        <v>153</v>
      </c>
      <c r="J178" t="s">
        <v>154</v>
      </c>
      <c r="K178" t="s">
        <v>272</v>
      </c>
      <c r="L178">
        <v>227488</v>
      </c>
      <c r="M178">
        <v>129802</v>
      </c>
      <c r="N178">
        <v>7</v>
      </c>
      <c r="O178">
        <f t="shared" si="56"/>
        <v>1.8134715025906734E-2</v>
      </c>
      <c r="P178">
        <v>70</v>
      </c>
      <c r="Q178">
        <f t="shared" si="57"/>
        <v>1.8134715025906734E-2</v>
      </c>
      <c r="R178">
        <v>0.4</v>
      </c>
      <c r="S178">
        <f t="shared" si="64"/>
        <v>4</v>
      </c>
      <c r="T178">
        <f t="shared" si="58"/>
        <v>4.1067761806981538E-2</v>
      </c>
      <c r="U178">
        <f t="shared" si="59"/>
        <v>-7.2718887416752906E-2</v>
      </c>
      <c r="V178">
        <f t="shared" si="60"/>
        <v>1.34E-2</v>
      </c>
      <c r="W178">
        <v>0.1</v>
      </c>
      <c r="X178">
        <f t="shared" si="61"/>
        <v>0.13400000000000001</v>
      </c>
      <c r="Y178">
        <v>3</v>
      </c>
      <c r="Z178">
        <v>1</v>
      </c>
      <c r="AA178" t="s">
        <v>100</v>
      </c>
      <c r="AB178">
        <f t="shared" si="62"/>
        <v>50.19960159204453</v>
      </c>
      <c r="AC178">
        <f t="shared" si="53"/>
        <v>267.73120849090418</v>
      </c>
      <c r="AE178">
        <v>3</v>
      </c>
      <c r="AF178">
        <v>3</v>
      </c>
      <c r="AG178">
        <v>2</v>
      </c>
      <c r="AH178">
        <f t="shared" si="63"/>
        <v>147.26244561246165</v>
      </c>
      <c r="AI178">
        <f t="shared" si="54"/>
        <v>523.59980662208591</v>
      </c>
    </row>
    <row r="179" spans="1:36" x14ac:dyDescent="0.3">
      <c r="A179">
        <v>2021</v>
      </c>
      <c r="B179" t="s">
        <v>249</v>
      </c>
      <c r="C179" t="s">
        <v>250</v>
      </c>
      <c r="D179" t="s">
        <v>251</v>
      </c>
      <c r="E179" t="s">
        <v>252</v>
      </c>
      <c r="F179">
        <v>21</v>
      </c>
      <c r="G179" t="s">
        <v>22</v>
      </c>
      <c r="H179" t="s">
        <v>96</v>
      </c>
      <c r="I179" t="s">
        <v>97</v>
      </c>
      <c r="J179" t="s">
        <v>98</v>
      </c>
      <c r="K179" t="s">
        <v>200</v>
      </c>
      <c r="L179">
        <v>227334</v>
      </c>
      <c r="M179">
        <v>131160</v>
      </c>
      <c r="N179">
        <v>2</v>
      </c>
      <c r="O179">
        <f t="shared" si="56"/>
        <v>5.1813471502590676E-3</v>
      </c>
      <c r="P179">
        <v>20</v>
      </c>
      <c r="Q179">
        <f t="shared" si="57"/>
        <v>5.1813471502590676E-3</v>
      </c>
      <c r="R179">
        <v>0.01</v>
      </c>
      <c r="S179">
        <f t="shared" si="64"/>
        <v>0.1</v>
      </c>
      <c r="T179">
        <f t="shared" si="58"/>
        <v>1.0266940451745387E-3</v>
      </c>
      <c r="U179">
        <f t="shared" si="59"/>
        <v>-2.7267824812978684E-2</v>
      </c>
      <c r="V179">
        <f t="shared" si="60"/>
        <v>1.34E-2</v>
      </c>
      <c r="W179">
        <v>0.1</v>
      </c>
      <c r="X179">
        <f t="shared" si="61"/>
        <v>0.13400000000000001</v>
      </c>
      <c r="Y179">
        <v>3</v>
      </c>
      <c r="Z179">
        <v>2</v>
      </c>
      <c r="AA179" t="s">
        <v>100</v>
      </c>
      <c r="AB179">
        <f t="shared" si="62"/>
        <v>8.4852813742385695</v>
      </c>
      <c r="AC179">
        <f t="shared" si="53"/>
        <v>22.627416997969519</v>
      </c>
      <c r="AE179">
        <v>2.5</v>
      </c>
      <c r="AF179">
        <v>3</v>
      </c>
      <c r="AG179">
        <v>2</v>
      </c>
      <c r="AH179">
        <f t="shared" si="63"/>
        <v>5.6409046396295928</v>
      </c>
      <c r="AI179">
        <f t="shared" si="54"/>
        <v>24.067859795752931</v>
      </c>
    </row>
    <row r="180" spans="1:36" x14ac:dyDescent="0.3">
      <c r="A180">
        <v>2021</v>
      </c>
      <c r="B180" t="s">
        <v>249</v>
      </c>
      <c r="C180" t="s">
        <v>250</v>
      </c>
      <c r="D180" t="s">
        <v>251</v>
      </c>
      <c r="E180" t="s">
        <v>252</v>
      </c>
      <c r="F180">
        <v>21</v>
      </c>
      <c r="G180" t="s">
        <v>22</v>
      </c>
      <c r="H180" t="s">
        <v>96</v>
      </c>
      <c r="I180" t="s">
        <v>97</v>
      </c>
      <c r="J180" t="s">
        <v>98</v>
      </c>
      <c r="K180" t="s">
        <v>101</v>
      </c>
      <c r="L180">
        <v>227337</v>
      </c>
      <c r="M180">
        <v>131157</v>
      </c>
      <c r="N180">
        <v>1</v>
      </c>
      <c r="O180">
        <f t="shared" si="56"/>
        <v>2.5906735751295338E-3</v>
      </c>
      <c r="P180">
        <v>10</v>
      </c>
      <c r="Q180">
        <f t="shared" si="57"/>
        <v>2.5906735751295338E-3</v>
      </c>
      <c r="R180">
        <v>5.0000000000000001E-3</v>
      </c>
      <c r="S180">
        <f t="shared" si="64"/>
        <v>0.05</v>
      </c>
      <c r="T180">
        <f t="shared" si="58"/>
        <v>5.1334702258726934E-4</v>
      </c>
      <c r="U180">
        <f t="shared" si="59"/>
        <v>-1.5429630490841532E-2</v>
      </c>
      <c r="V180">
        <f t="shared" si="60"/>
        <v>1.34E-2</v>
      </c>
      <c r="W180">
        <v>0.1</v>
      </c>
      <c r="X180">
        <f t="shared" si="61"/>
        <v>0.13400000000000001</v>
      </c>
      <c r="Y180">
        <v>3</v>
      </c>
      <c r="Z180">
        <v>2</v>
      </c>
      <c r="AA180" t="s">
        <v>100</v>
      </c>
      <c r="AB180">
        <f t="shared" si="62"/>
        <v>4.2426406871192848</v>
      </c>
      <c r="AC180">
        <f t="shared" si="53"/>
        <v>11.313708498984759</v>
      </c>
      <c r="AE180">
        <v>2.5</v>
      </c>
      <c r="AF180">
        <v>3</v>
      </c>
      <c r="AG180">
        <v>2</v>
      </c>
      <c r="AH180">
        <f t="shared" si="63"/>
        <v>2.8204523198147964</v>
      </c>
      <c r="AI180">
        <f t="shared" si="54"/>
        <v>12.033929897876465</v>
      </c>
    </row>
    <row r="181" spans="1:36" x14ac:dyDescent="0.3">
      <c r="A181">
        <v>2021</v>
      </c>
      <c r="B181" t="s">
        <v>249</v>
      </c>
      <c r="C181" t="s">
        <v>250</v>
      </c>
      <c r="D181" t="s">
        <v>251</v>
      </c>
      <c r="E181" t="s">
        <v>252</v>
      </c>
      <c r="F181">
        <v>21</v>
      </c>
      <c r="G181" t="s">
        <v>22</v>
      </c>
      <c r="H181" t="s">
        <v>96</v>
      </c>
      <c r="I181" t="s">
        <v>97</v>
      </c>
      <c r="J181" t="s">
        <v>239</v>
      </c>
      <c r="K181" t="s">
        <v>240</v>
      </c>
      <c r="L181">
        <v>227343</v>
      </c>
      <c r="M181">
        <v>131168</v>
      </c>
      <c r="N181">
        <v>1</v>
      </c>
      <c r="O181">
        <f t="shared" si="56"/>
        <v>2.5906735751295338E-3</v>
      </c>
      <c r="P181">
        <v>10</v>
      </c>
      <c r="Q181">
        <f t="shared" si="57"/>
        <v>2.5906735751295338E-3</v>
      </c>
      <c r="R181">
        <v>5.0000000000000001E-3</v>
      </c>
      <c r="S181">
        <f t="shared" si="64"/>
        <v>0.05</v>
      </c>
      <c r="T181">
        <f t="shared" si="58"/>
        <v>5.1334702258726934E-4</v>
      </c>
      <c r="U181">
        <f t="shared" si="59"/>
        <v>-1.5429630490841532E-2</v>
      </c>
      <c r="V181">
        <f t="shared" si="60"/>
        <v>1.34E-2</v>
      </c>
      <c r="W181">
        <v>0.1</v>
      </c>
      <c r="X181">
        <f t="shared" si="61"/>
        <v>0.13400000000000001</v>
      </c>
      <c r="Y181">
        <v>3</v>
      </c>
      <c r="Z181">
        <v>1</v>
      </c>
      <c r="AA181" t="s">
        <v>100</v>
      </c>
      <c r="AB181">
        <f t="shared" si="62"/>
        <v>2.1213203435596424</v>
      </c>
      <c r="AC181">
        <f t="shared" si="53"/>
        <v>11.313708498984759</v>
      </c>
      <c r="AE181">
        <v>2.5</v>
      </c>
      <c r="AF181">
        <v>3</v>
      </c>
      <c r="AG181">
        <v>2</v>
      </c>
      <c r="AH181">
        <f t="shared" si="63"/>
        <v>2.8204523198147964</v>
      </c>
      <c r="AI181">
        <f t="shared" si="54"/>
        <v>12.033929897876465</v>
      </c>
    </row>
    <row r="182" spans="1:36" x14ac:dyDescent="0.3">
      <c r="A182">
        <v>2021</v>
      </c>
      <c r="B182" t="s">
        <v>249</v>
      </c>
      <c r="C182" t="s">
        <v>250</v>
      </c>
      <c r="D182" t="s">
        <v>251</v>
      </c>
      <c r="E182" t="s">
        <v>252</v>
      </c>
      <c r="F182">
        <v>21</v>
      </c>
      <c r="G182" t="s">
        <v>22</v>
      </c>
      <c r="H182" t="s">
        <v>56</v>
      </c>
      <c r="I182" t="s">
        <v>153</v>
      </c>
      <c r="J182" t="s">
        <v>183</v>
      </c>
      <c r="K182" t="s">
        <v>184</v>
      </c>
      <c r="L182">
        <v>227459</v>
      </c>
      <c r="M182">
        <v>129781</v>
      </c>
      <c r="N182">
        <v>4</v>
      </c>
      <c r="O182">
        <f t="shared" si="56"/>
        <v>1.0362694300518135E-2</v>
      </c>
      <c r="P182">
        <v>40</v>
      </c>
      <c r="Q182">
        <f t="shared" si="57"/>
        <v>1.0362694300518135E-2</v>
      </c>
      <c r="R182">
        <v>0.01</v>
      </c>
      <c r="S182">
        <f t="shared" si="64"/>
        <v>0.1</v>
      </c>
      <c r="T182">
        <f t="shared" si="58"/>
        <v>1.0266940451745387E-3</v>
      </c>
      <c r="U182">
        <f t="shared" si="59"/>
        <v>-4.7352777288548607E-2</v>
      </c>
      <c r="V182">
        <f t="shared" si="60"/>
        <v>1.34E-2</v>
      </c>
      <c r="W182">
        <v>0.1</v>
      </c>
      <c r="X182">
        <f t="shared" si="61"/>
        <v>0.13400000000000001</v>
      </c>
      <c r="Y182">
        <v>3</v>
      </c>
      <c r="Z182">
        <v>2</v>
      </c>
      <c r="AA182" t="s">
        <v>100</v>
      </c>
      <c r="AB182">
        <f t="shared" si="62"/>
        <v>12</v>
      </c>
      <c r="AC182">
        <f t="shared" si="53"/>
        <v>32</v>
      </c>
      <c r="AE182">
        <v>3</v>
      </c>
      <c r="AF182">
        <v>1</v>
      </c>
      <c r="AG182">
        <v>1</v>
      </c>
      <c r="AH182">
        <f t="shared" si="63"/>
        <v>1.3416407864998738</v>
      </c>
      <c r="AI182">
        <f t="shared" si="54"/>
        <v>28.621670111997307</v>
      </c>
    </row>
    <row r="183" spans="1:36" s="4" customFormat="1" x14ac:dyDescent="0.3">
      <c r="N183" s="4">
        <f>SUM(N138:N182)</f>
        <v>386</v>
      </c>
      <c r="O183" s="4">
        <f>SUM(O138:O182)</f>
        <v>1.0000000000000004</v>
      </c>
      <c r="P183" s="4">
        <f t="shared" ref="P183:AI183" si="65">SUM(P138:P182)</f>
        <v>3860</v>
      </c>
      <c r="Q183" s="4">
        <f t="shared" si="65"/>
        <v>1.0000000000000004</v>
      </c>
      <c r="R183" s="4">
        <f t="shared" si="65"/>
        <v>9.74</v>
      </c>
      <c r="S183" s="4">
        <f t="shared" si="65"/>
        <v>97.399999999999949</v>
      </c>
      <c r="T183" s="4">
        <f t="shared" si="65"/>
        <v>1.0000000000000007</v>
      </c>
      <c r="U183" s="4">
        <f>-SUM(U138:U182)</f>
        <v>2.6477084272317128</v>
      </c>
      <c r="Y183" s="4">
        <v>4</v>
      </c>
      <c r="Z183" s="4">
        <v>4</v>
      </c>
      <c r="AB183" s="4">
        <f t="shared" si="65"/>
        <v>3514.4976338886272</v>
      </c>
      <c r="AC183" s="4">
        <f t="shared" si="65"/>
        <v>7945.6307388090536</v>
      </c>
      <c r="AD183" s="4">
        <f>AB183/AC183</f>
        <v>0.44231826892265125</v>
      </c>
      <c r="AE183" s="4">
        <v>4</v>
      </c>
      <c r="AF183" s="4">
        <v>4</v>
      </c>
      <c r="AG183" s="4">
        <v>4</v>
      </c>
      <c r="AH183" s="4">
        <f t="shared" si="65"/>
        <v>2609.2935755277008</v>
      </c>
      <c r="AI183" s="4">
        <f t="shared" si="65"/>
        <v>13287.756898125506</v>
      </c>
      <c r="AJ183" s="4">
        <f>AH183/AI183</f>
        <v>0.19636825052810772</v>
      </c>
    </row>
    <row r="184" spans="1:36" x14ac:dyDescent="0.3">
      <c r="A184">
        <v>2021</v>
      </c>
      <c r="B184" t="s">
        <v>249</v>
      </c>
      <c r="C184" t="s">
        <v>298</v>
      </c>
      <c r="D184" t="s">
        <v>299</v>
      </c>
      <c r="E184" t="s">
        <v>300</v>
      </c>
      <c r="F184">
        <v>21.3</v>
      </c>
      <c r="G184" t="s">
        <v>28</v>
      </c>
      <c r="H184" t="s">
        <v>29</v>
      </c>
      <c r="I184" t="s">
        <v>30</v>
      </c>
      <c r="J184" t="s">
        <v>31</v>
      </c>
      <c r="K184" t="s">
        <v>185</v>
      </c>
      <c r="L184" t="s">
        <v>112</v>
      </c>
      <c r="M184" t="s">
        <v>112</v>
      </c>
      <c r="N184">
        <v>50</v>
      </c>
      <c r="O184">
        <f t="shared" ref="O184:O211" si="66">N184/$N$212</f>
        <v>9.5419847328244281E-2</v>
      </c>
      <c r="P184">
        <v>500</v>
      </c>
      <c r="Q184">
        <f t="shared" ref="Q184:Q211" si="67">P184/$P$212</f>
        <v>9.5419847328244281E-2</v>
      </c>
      <c r="R184">
        <v>2.54</v>
      </c>
      <c r="S184">
        <f>R184*10</f>
        <v>25.4</v>
      </c>
      <c r="T184">
        <f t="shared" ref="T184:T211" si="68">S184/$S$212</f>
        <v>0.35799859055673028</v>
      </c>
      <c r="U184">
        <f t="shared" ref="U184:U211" si="69">O184*LN(O184)</f>
        <v>-0.22418594264245192</v>
      </c>
      <c r="V184">
        <f t="shared" ref="V184:V211" si="70">15.6/1000</f>
        <v>1.5599999999999999E-2</v>
      </c>
      <c r="W184">
        <v>0.1</v>
      </c>
      <c r="X184">
        <f t="shared" ref="X184:X211" si="71">V184/W184</f>
        <v>0.15599999999999997</v>
      </c>
      <c r="Y184">
        <v>4</v>
      </c>
      <c r="Z184">
        <v>3</v>
      </c>
      <c r="AA184" t="s">
        <v>27</v>
      </c>
      <c r="AB184">
        <f t="shared" ref="AB184:AB211" si="72">(SQRT(S184/P184))*P184*Z184*Y184</f>
        <v>1352.3313203501573</v>
      </c>
      <c r="AC184">
        <f t="shared" si="53"/>
        <v>1803.108427133543</v>
      </c>
      <c r="AE184">
        <v>2</v>
      </c>
      <c r="AF184">
        <v>4</v>
      </c>
      <c r="AG184">
        <v>3</v>
      </c>
      <c r="AH184">
        <f t="shared" ref="AH184:AH211" si="73">((S184/P184)^0.75)*P184*AE184*AF184*AG184</f>
        <v>1284.0414112367682</v>
      </c>
      <c r="AI184">
        <f t="shared" si="54"/>
        <v>3424.1104299647154</v>
      </c>
    </row>
    <row r="185" spans="1:36" x14ac:dyDescent="0.3">
      <c r="A185">
        <v>2021</v>
      </c>
      <c r="B185" t="s">
        <v>249</v>
      </c>
      <c r="C185" t="s">
        <v>298</v>
      </c>
      <c r="D185" t="s">
        <v>299</v>
      </c>
      <c r="E185" t="s">
        <v>300</v>
      </c>
      <c r="F185">
        <v>21.3</v>
      </c>
      <c r="G185" t="s">
        <v>22</v>
      </c>
      <c r="I185" t="s">
        <v>105</v>
      </c>
      <c r="J185" t="s">
        <v>106</v>
      </c>
      <c r="K185" t="s">
        <v>107</v>
      </c>
      <c r="L185">
        <v>227839</v>
      </c>
      <c r="M185">
        <v>130980</v>
      </c>
      <c r="N185">
        <v>90</v>
      </c>
      <c r="O185">
        <f t="shared" si="66"/>
        <v>0.1717557251908397</v>
      </c>
      <c r="P185">
        <v>900</v>
      </c>
      <c r="Q185">
        <f t="shared" si="67"/>
        <v>0.1717557251908397</v>
      </c>
      <c r="R185">
        <v>0.26</v>
      </c>
      <c r="S185">
        <f t="shared" ref="S185:S211" si="74">R185*10</f>
        <v>2.6</v>
      </c>
      <c r="T185">
        <f t="shared" si="68"/>
        <v>3.6645525017618065E-2</v>
      </c>
      <c r="U185">
        <f t="shared" si="69"/>
        <v>-0.30257897186864491</v>
      </c>
      <c r="V185">
        <f t="shared" si="70"/>
        <v>1.5599999999999999E-2</v>
      </c>
      <c r="W185">
        <v>0.1</v>
      </c>
      <c r="X185">
        <f t="shared" si="71"/>
        <v>0.15599999999999997</v>
      </c>
      <c r="Y185">
        <v>4</v>
      </c>
      <c r="Z185">
        <v>4</v>
      </c>
      <c r="AA185" t="s">
        <v>27</v>
      </c>
      <c r="AB185">
        <f t="shared" si="72"/>
        <v>773.97674383666083</v>
      </c>
      <c r="AC185">
        <f t="shared" si="53"/>
        <v>773.97674383666083</v>
      </c>
      <c r="AE185">
        <v>2</v>
      </c>
      <c r="AF185">
        <v>3</v>
      </c>
      <c r="AG185">
        <v>3</v>
      </c>
      <c r="AH185">
        <f t="shared" si="73"/>
        <v>201.86598416523825</v>
      </c>
      <c r="AI185">
        <f t="shared" si="54"/>
        <v>717.74572147640265</v>
      </c>
    </row>
    <row r="186" spans="1:36" x14ac:dyDescent="0.3">
      <c r="A186">
        <v>2021</v>
      </c>
      <c r="B186" t="s">
        <v>249</v>
      </c>
      <c r="C186" t="s">
        <v>298</v>
      </c>
      <c r="D186" t="s">
        <v>299</v>
      </c>
      <c r="E186" t="s">
        <v>300</v>
      </c>
      <c r="F186">
        <v>21.3</v>
      </c>
      <c r="G186" t="s">
        <v>22</v>
      </c>
      <c r="H186" t="s">
        <v>67</v>
      </c>
      <c r="I186" t="s">
        <v>224</v>
      </c>
      <c r="J186" t="s">
        <v>225</v>
      </c>
      <c r="K186" t="s">
        <v>226</v>
      </c>
      <c r="L186">
        <v>227033</v>
      </c>
      <c r="M186">
        <v>130362</v>
      </c>
      <c r="N186">
        <v>5</v>
      </c>
      <c r="O186">
        <f t="shared" si="66"/>
        <v>9.5419847328244278E-3</v>
      </c>
      <c r="P186">
        <v>50</v>
      </c>
      <c r="Q186">
        <f t="shared" si="67"/>
        <v>9.5419847328244278E-3</v>
      </c>
      <c r="R186">
        <v>0.56999999999999995</v>
      </c>
      <c r="S186">
        <f t="shared" si="74"/>
        <v>5.6999999999999993</v>
      </c>
      <c r="T186">
        <f t="shared" si="68"/>
        <v>8.0338266384778048E-2</v>
      </c>
      <c r="U186">
        <f t="shared" si="69"/>
        <v>-4.438982606762349E-2</v>
      </c>
      <c r="V186">
        <f t="shared" si="70"/>
        <v>1.5599999999999999E-2</v>
      </c>
      <c r="W186">
        <v>0.1</v>
      </c>
      <c r="X186">
        <f t="shared" si="71"/>
        <v>0.15599999999999997</v>
      </c>
      <c r="Y186">
        <v>4</v>
      </c>
      <c r="Z186">
        <v>3</v>
      </c>
      <c r="AA186" t="s">
        <v>27</v>
      </c>
      <c r="AB186">
        <f t="shared" si="72"/>
        <v>202.58331619360962</v>
      </c>
      <c r="AC186">
        <f t="shared" si="53"/>
        <v>270.11108825814614</v>
      </c>
      <c r="AE186">
        <v>3</v>
      </c>
      <c r="AF186">
        <v>2</v>
      </c>
      <c r="AG186">
        <v>1</v>
      </c>
      <c r="AH186">
        <f t="shared" si="73"/>
        <v>58.857240055159949</v>
      </c>
      <c r="AI186">
        <f t="shared" si="54"/>
        <v>627.81056058837282</v>
      </c>
    </row>
    <row r="187" spans="1:36" x14ac:dyDescent="0.3">
      <c r="A187">
        <v>2021</v>
      </c>
      <c r="B187" t="s">
        <v>249</v>
      </c>
      <c r="C187" t="s">
        <v>298</v>
      </c>
      <c r="D187" t="s">
        <v>299</v>
      </c>
      <c r="E187" t="s">
        <v>300</v>
      </c>
      <c r="F187">
        <v>21.3</v>
      </c>
      <c r="G187" t="s">
        <v>22</v>
      </c>
      <c r="H187" t="s">
        <v>67</v>
      </c>
      <c r="I187" t="s">
        <v>76</v>
      </c>
      <c r="J187" t="s">
        <v>77</v>
      </c>
      <c r="K187" t="s">
        <v>78</v>
      </c>
      <c r="L187">
        <v>226852</v>
      </c>
      <c r="M187">
        <v>710680</v>
      </c>
      <c r="N187">
        <v>1</v>
      </c>
      <c r="O187">
        <f t="shared" si="66"/>
        <v>1.9083969465648854E-3</v>
      </c>
      <c r="P187">
        <v>10</v>
      </c>
      <c r="Q187">
        <f t="shared" si="67"/>
        <v>1.9083969465648854E-3</v>
      </c>
      <c r="R187">
        <v>0.05</v>
      </c>
      <c r="S187">
        <f t="shared" si="74"/>
        <v>0.5</v>
      </c>
      <c r="T187">
        <f t="shared" si="68"/>
        <v>7.0472163495419347E-3</v>
      </c>
      <c r="U187">
        <f t="shared" si="69"/>
        <v>-1.1949411611299698E-2</v>
      </c>
      <c r="V187">
        <f t="shared" si="70"/>
        <v>1.5599999999999999E-2</v>
      </c>
      <c r="W187">
        <v>0.1</v>
      </c>
      <c r="X187">
        <f t="shared" si="71"/>
        <v>0.15599999999999997</v>
      </c>
      <c r="Y187">
        <v>4</v>
      </c>
      <c r="Z187">
        <v>3</v>
      </c>
      <c r="AA187" t="s">
        <v>27</v>
      </c>
      <c r="AB187">
        <f t="shared" si="72"/>
        <v>26.832815729997478</v>
      </c>
      <c r="AC187">
        <f t="shared" si="53"/>
        <v>35.777087639996637</v>
      </c>
      <c r="AE187">
        <v>1</v>
      </c>
      <c r="AF187">
        <v>2</v>
      </c>
      <c r="AG187">
        <v>1</v>
      </c>
      <c r="AH187">
        <f t="shared" si="73"/>
        <v>2.1147425268811282</v>
      </c>
      <c r="AI187">
        <f t="shared" si="54"/>
        <v>67.671760860196102</v>
      </c>
    </row>
    <row r="188" spans="1:36" x14ac:dyDescent="0.3">
      <c r="A188">
        <v>2021</v>
      </c>
      <c r="B188" t="s">
        <v>249</v>
      </c>
      <c r="C188" t="s">
        <v>298</v>
      </c>
      <c r="D188" t="s">
        <v>299</v>
      </c>
      <c r="E188" t="s">
        <v>300</v>
      </c>
      <c r="F188">
        <v>21.3</v>
      </c>
      <c r="K188" t="s">
        <v>75</v>
      </c>
      <c r="L188">
        <v>5000018</v>
      </c>
      <c r="M188">
        <v>152391</v>
      </c>
      <c r="N188">
        <v>2</v>
      </c>
      <c r="O188">
        <f t="shared" si="66"/>
        <v>3.8167938931297708E-3</v>
      </c>
      <c r="P188">
        <v>20</v>
      </c>
      <c r="Q188">
        <f t="shared" si="67"/>
        <v>3.8167938931297708E-3</v>
      </c>
      <c r="R188">
        <v>5.0000000000000001E-3</v>
      </c>
      <c r="S188">
        <f t="shared" si="74"/>
        <v>0.05</v>
      </c>
      <c r="T188">
        <f t="shared" si="68"/>
        <v>7.0472163495419356E-4</v>
      </c>
      <c r="U188">
        <f t="shared" si="69"/>
        <v>-2.1253223296798077E-2</v>
      </c>
      <c r="V188">
        <f t="shared" si="70"/>
        <v>1.5599999999999999E-2</v>
      </c>
      <c r="W188">
        <v>0.1</v>
      </c>
      <c r="X188">
        <f t="shared" si="71"/>
        <v>0.15599999999999997</v>
      </c>
      <c r="Y188">
        <v>4</v>
      </c>
      <c r="Z188">
        <v>3</v>
      </c>
      <c r="AA188" t="s">
        <v>27</v>
      </c>
      <c r="AB188">
        <f t="shared" si="72"/>
        <v>12</v>
      </c>
      <c r="AC188">
        <f t="shared" si="53"/>
        <v>16</v>
      </c>
      <c r="AE188">
        <v>2</v>
      </c>
      <c r="AF188">
        <v>2</v>
      </c>
      <c r="AG188">
        <v>2</v>
      </c>
      <c r="AH188">
        <f t="shared" si="73"/>
        <v>1.7888543819998317</v>
      </c>
      <c r="AI188">
        <f t="shared" si="54"/>
        <v>14.310835055998654</v>
      </c>
    </row>
    <row r="189" spans="1:36" x14ac:dyDescent="0.3">
      <c r="A189">
        <v>2021</v>
      </c>
      <c r="B189" t="s">
        <v>249</v>
      </c>
      <c r="C189" t="s">
        <v>298</v>
      </c>
      <c r="D189" t="s">
        <v>299</v>
      </c>
      <c r="E189" t="s">
        <v>300</v>
      </c>
      <c r="F189">
        <v>21.3</v>
      </c>
      <c r="G189" t="s">
        <v>79</v>
      </c>
      <c r="H189" t="s">
        <v>80</v>
      </c>
      <c r="I189" t="s">
        <v>81</v>
      </c>
      <c r="J189" t="s">
        <v>177</v>
      </c>
      <c r="K189" t="s">
        <v>178</v>
      </c>
      <c r="L189">
        <v>218350</v>
      </c>
      <c r="M189">
        <v>141662</v>
      </c>
      <c r="N189">
        <v>34</v>
      </c>
      <c r="O189">
        <f t="shared" si="66"/>
        <v>6.4885496183206104E-2</v>
      </c>
      <c r="P189">
        <v>340</v>
      </c>
      <c r="Q189">
        <f t="shared" si="67"/>
        <v>6.4885496183206104E-2</v>
      </c>
      <c r="R189">
        <v>0.28000000000000003</v>
      </c>
      <c r="S189">
        <f t="shared" si="74"/>
        <v>2.8000000000000003</v>
      </c>
      <c r="T189">
        <f t="shared" si="68"/>
        <v>3.9464411557434839E-2</v>
      </c>
      <c r="U189">
        <f t="shared" si="69"/>
        <v>-0.17747034242359913</v>
      </c>
      <c r="V189">
        <f t="shared" si="70"/>
        <v>1.5599999999999999E-2</v>
      </c>
      <c r="W189">
        <v>0.1</v>
      </c>
      <c r="X189">
        <f t="shared" si="71"/>
        <v>0.15599999999999997</v>
      </c>
      <c r="Y189">
        <v>3</v>
      </c>
      <c r="Z189">
        <v>2</v>
      </c>
      <c r="AA189" t="s">
        <v>93</v>
      </c>
      <c r="AB189">
        <f t="shared" si="72"/>
        <v>185.12698344649814</v>
      </c>
      <c r="AC189">
        <f t="shared" si="53"/>
        <v>493.67195585732838</v>
      </c>
      <c r="AE189">
        <v>3</v>
      </c>
      <c r="AF189">
        <v>3</v>
      </c>
      <c r="AG189">
        <v>3</v>
      </c>
      <c r="AH189">
        <f t="shared" si="73"/>
        <v>250.95856185533634</v>
      </c>
      <c r="AI189">
        <f t="shared" si="54"/>
        <v>594.86473921264906</v>
      </c>
    </row>
    <row r="190" spans="1:36" x14ac:dyDescent="0.3">
      <c r="A190">
        <v>2021</v>
      </c>
      <c r="B190" t="s">
        <v>249</v>
      </c>
      <c r="C190" t="s">
        <v>298</v>
      </c>
      <c r="D190" t="s">
        <v>299</v>
      </c>
      <c r="E190" t="s">
        <v>300</v>
      </c>
      <c r="F190">
        <v>21.3</v>
      </c>
      <c r="G190" t="s">
        <v>22</v>
      </c>
      <c r="H190" t="s">
        <v>56</v>
      </c>
      <c r="I190" t="s">
        <v>90</v>
      </c>
      <c r="J190" t="s">
        <v>117</v>
      </c>
      <c r="K190" t="s">
        <v>118</v>
      </c>
      <c r="L190">
        <v>227496</v>
      </c>
      <c r="M190">
        <v>131573</v>
      </c>
      <c r="N190">
        <v>5</v>
      </c>
      <c r="O190">
        <f t="shared" si="66"/>
        <v>9.5419847328244278E-3</v>
      </c>
      <c r="P190">
        <v>50</v>
      </c>
      <c r="Q190">
        <f t="shared" si="67"/>
        <v>9.5419847328244278E-3</v>
      </c>
      <c r="R190">
        <v>0.01</v>
      </c>
      <c r="S190">
        <f t="shared" si="74"/>
        <v>0.1</v>
      </c>
      <c r="T190">
        <f t="shared" si="68"/>
        <v>1.4094432699083871E-3</v>
      </c>
      <c r="U190">
        <f t="shared" si="69"/>
        <v>-4.438982606762349E-2</v>
      </c>
      <c r="V190">
        <f t="shared" si="70"/>
        <v>1.5599999999999999E-2</v>
      </c>
      <c r="W190">
        <v>0.1</v>
      </c>
      <c r="X190">
        <f t="shared" si="71"/>
        <v>0.15599999999999997</v>
      </c>
      <c r="Y190">
        <v>3</v>
      </c>
      <c r="Z190">
        <v>1</v>
      </c>
      <c r="AA190" t="s">
        <v>93</v>
      </c>
      <c r="AB190">
        <f t="shared" si="72"/>
        <v>6.7082039324993694</v>
      </c>
      <c r="AC190">
        <f t="shared" si="53"/>
        <v>35.777087639996637</v>
      </c>
      <c r="AE190">
        <v>3</v>
      </c>
      <c r="AF190">
        <v>3</v>
      </c>
      <c r="AG190">
        <v>1</v>
      </c>
      <c r="AH190">
        <f t="shared" si="73"/>
        <v>4.2558372405142899</v>
      </c>
      <c r="AI190">
        <f t="shared" si="54"/>
        <v>30.26373148810162</v>
      </c>
    </row>
    <row r="191" spans="1:36" x14ac:dyDescent="0.3">
      <c r="A191">
        <v>2021</v>
      </c>
      <c r="B191" t="s">
        <v>249</v>
      </c>
      <c r="C191" t="s">
        <v>298</v>
      </c>
      <c r="D191" t="s">
        <v>299</v>
      </c>
      <c r="E191" t="s">
        <v>300</v>
      </c>
      <c r="F191">
        <v>21.3</v>
      </c>
      <c r="G191" t="s">
        <v>79</v>
      </c>
      <c r="H191" t="s">
        <v>309</v>
      </c>
      <c r="I191" t="s">
        <v>310</v>
      </c>
      <c r="J191" t="s">
        <v>311</v>
      </c>
      <c r="K191" t="s">
        <v>311</v>
      </c>
      <c r="L191">
        <v>1005092</v>
      </c>
      <c r="M191">
        <v>138549</v>
      </c>
      <c r="N191">
        <v>1</v>
      </c>
      <c r="O191">
        <f t="shared" si="66"/>
        <v>1.9083969465648854E-3</v>
      </c>
      <c r="P191">
        <v>10</v>
      </c>
      <c r="Q191">
        <f t="shared" si="67"/>
        <v>1.9083969465648854E-3</v>
      </c>
      <c r="R191">
        <v>0.03</v>
      </c>
      <c r="S191">
        <f t="shared" si="74"/>
        <v>0.3</v>
      </c>
      <c r="T191">
        <f t="shared" si="68"/>
        <v>4.2283298097251605E-3</v>
      </c>
      <c r="U191">
        <f t="shared" si="69"/>
        <v>-1.1949411611299698E-2</v>
      </c>
      <c r="V191">
        <f t="shared" si="70"/>
        <v>1.5599999999999999E-2</v>
      </c>
      <c r="W191">
        <v>0.1</v>
      </c>
      <c r="X191">
        <f t="shared" si="71"/>
        <v>0.15599999999999997</v>
      </c>
      <c r="Y191">
        <v>3</v>
      </c>
      <c r="Z191">
        <v>2</v>
      </c>
      <c r="AA191" t="s">
        <v>93</v>
      </c>
      <c r="AB191">
        <f t="shared" si="72"/>
        <v>10.392304845413264</v>
      </c>
      <c r="AC191">
        <f t="shared" si="53"/>
        <v>27.712812921102035</v>
      </c>
      <c r="AE191">
        <v>1</v>
      </c>
      <c r="AF191">
        <v>1</v>
      </c>
      <c r="AG191">
        <v>1</v>
      </c>
      <c r="AH191">
        <f t="shared" si="73"/>
        <v>0.72084342424042647</v>
      </c>
      <c r="AI191">
        <f t="shared" si="54"/>
        <v>46.133979151387294</v>
      </c>
    </row>
    <row r="192" spans="1:36" x14ac:dyDescent="0.3">
      <c r="A192">
        <v>2021</v>
      </c>
      <c r="B192" t="s">
        <v>249</v>
      </c>
      <c r="C192" t="s">
        <v>298</v>
      </c>
      <c r="D192" t="s">
        <v>299</v>
      </c>
      <c r="E192" t="s">
        <v>300</v>
      </c>
      <c r="F192">
        <v>21.3</v>
      </c>
      <c r="G192" t="s">
        <v>79</v>
      </c>
      <c r="H192" t="s">
        <v>113</v>
      </c>
      <c r="I192" t="s">
        <v>114</v>
      </c>
      <c r="J192" t="s">
        <v>191</v>
      </c>
      <c r="K192" t="s">
        <v>192</v>
      </c>
      <c r="L192">
        <v>218286</v>
      </c>
      <c r="M192">
        <v>345281</v>
      </c>
      <c r="N192">
        <v>83</v>
      </c>
      <c r="O192">
        <f t="shared" si="66"/>
        <v>0.15839694656488548</v>
      </c>
      <c r="P192">
        <v>830</v>
      </c>
      <c r="Q192">
        <f t="shared" si="67"/>
        <v>0.15839694656488548</v>
      </c>
      <c r="R192">
        <v>0.23</v>
      </c>
      <c r="S192">
        <f t="shared" si="74"/>
        <v>2.3000000000000003</v>
      </c>
      <c r="T192">
        <f t="shared" si="68"/>
        <v>3.2417195207892907E-2</v>
      </c>
      <c r="U192">
        <f t="shared" si="69"/>
        <v>-0.29187030410597115</v>
      </c>
      <c r="V192">
        <f t="shared" si="70"/>
        <v>1.5599999999999999E-2</v>
      </c>
      <c r="W192">
        <v>0.1</v>
      </c>
      <c r="X192">
        <f t="shared" si="71"/>
        <v>0.15599999999999997</v>
      </c>
      <c r="Y192">
        <v>2</v>
      </c>
      <c r="Z192">
        <v>2</v>
      </c>
      <c r="AA192" t="s">
        <v>50</v>
      </c>
      <c r="AB192">
        <f t="shared" si="72"/>
        <v>174.76841819962783</v>
      </c>
      <c r="AC192">
        <f t="shared" si="53"/>
        <v>699.07367279851132</v>
      </c>
      <c r="AE192">
        <v>2</v>
      </c>
      <c r="AF192">
        <v>4</v>
      </c>
      <c r="AG192">
        <v>3</v>
      </c>
      <c r="AH192">
        <f t="shared" si="73"/>
        <v>240.58948461584259</v>
      </c>
      <c r="AI192">
        <f t="shared" si="54"/>
        <v>641.57195897558029</v>
      </c>
    </row>
    <row r="193" spans="1:35" x14ac:dyDescent="0.3">
      <c r="A193">
        <v>2021</v>
      </c>
      <c r="B193" t="s">
        <v>249</v>
      </c>
      <c r="C193" t="s">
        <v>298</v>
      </c>
      <c r="D193" t="s">
        <v>299</v>
      </c>
      <c r="E193" t="s">
        <v>300</v>
      </c>
      <c r="F193">
        <v>21.3</v>
      </c>
      <c r="G193" t="s">
        <v>79</v>
      </c>
      <c r="H193" t="s">
        <v>245</v>
      </c>
      <c r="I193" t="s">
        <v>246</v>
      </c>
      <c r="J193" t="s">
        <v>247</v>
      </c>
      <c r="K193" t="s">
        <v>248</v>
      </c>
      <c r="L193">
        <v>218231</v>
      </c>
      <c r="M193">
        <v>140589</v>
      </c>
      <c r="N193">
        <v>48</v>
      </c>
      <c r="O193">
        <f t="shared" si="66"/>
        <v>9.1603053435114504E-2</v>
      </c>
      <c r="P193">
        <v>480</v>
      </c>
      <c r="Q193">
        <f t="shared" si="67"/>
        <v>9.1603053435114504E-2</v>
      </c>
      <c r="R193">
        <v>0.38</v>
      </c>
      <c r="S193">
        <f t="shared" si="74"/>
        <v>3.8</v>
      </c>
      <c r="T193">
        <f t="shared" si="68"/>
        <v>5.3558844256518703E-2</v>
      </c>
      <c r="U193">
        <f t="shared" si="69"/>
        <v>-0.21895792428212071</v>
      </c>
      <c r="V193">
        <f t="shared" si="70"/>
        <v>1.5599999999999999E-2</v>
      </c>
      <c r="W193">
        <v>0.1</v>
      </c>
      <c r="X193">
        <f t="shared" si="71"/>
        <v>0.15599999999999997</v>
      </c>
      <c r="Y193">
        <v>2</v>
      </c>
      <c r="Z193">
        <v>3</v>
      </c>
      <c r="AA193" t="s">
        <v>50</v>
      </c>
      <c r="AB193">
        <f t="shared" si="72"/>
        <v>256.2498780487515</v>
      </c>
      <c r="AC193">
        <f t="shared" si="53"/>
        <v>683.33300813000392</v>
      </c>
      <c r="AE193">
        <v>3</v>
      </c>
      <c r="AF193">
        <v>3</v>
      </c>
      <c r="AG193">
        <v>1</v>
      </c>
      <c r="AH193">
        <f t="shared" si="73"/>
        <v>114.65434463595763</v>
      </c>
      <c r="AI193">
        <f t="shared" si="54"/>
        <v>815.31978407792087</v>
      </c>
    </row>
    <row r="194" spans="1:35" x14ac:dyDescent="0.3">
      <c r="A194">
        <v>2021</v>
      </c>
      <c r="B194" t="s">
        <v>249</v>
      </c>
      <c r="C194" t="s">
        <v>298</v>
      </c>
      <c r="D194" t="s">
        <v>299</v>
      </c>
      <c r="E194" t="s">
        <v>300</v>
      </c>
      <c r="F194">
        <v>21.3</v>
      </c>
      <c r="G194" t="s">
        <v>79</v>
      </c>
      <c r="H194" t="s">
        <v>113</v>
      </c>
      <c r="I194" t="s">
        <v>123</v>
      </c>
      <c r="J194" t="s">
        <v>124</v>
      </c>
      <c r="K194" t="s">
        <v>125</v>
      </c>
      <c r="L194">
        <v>218310</v>
      </c>
      <c r="M194">
        <v>141435</v>
      </c>
      <c r="N194">
        <v>92</v>
      </c>
      <c r="O194">
        <f t="shared" si="66"/>
        <v>0.17557251908396945</v>
      </c>
      <c r="P194">
        <v>920</v>
      </c>
      <c r="Q194">
        <f t="shared" si="67"/>
        <v>0.17557251908396945</v>
      </c>
      <c r="R194">
        <v>1.73</v>
      </c>
      <c r="S194">
        <f t="shared" si="74"/>
        <v>17.3</v>
      </c>
      <c r="T194">
        <f t="shared" si="68"/>
        <v>0.24383368569415095</v>
      </c>
      <c r="U194">
        <f t="shared" si="69"/>
        <v>-0.30544405700195454</v>
      </c>
      <c r="V194">
        <f t="shared" si="70"/>
        <v>1.5599999999999999E-2</v>
      </c>
      <c r="W194">
        <v>0.1</v>
      </c>
      <c r="X194">
        <f t="shared" si="71"/>
        <v>0.15599999999999997</v>
      </c>
      <c r="Y194">
        <v>2</v>
      </c>
      <c r="Z194">
        <v>2</v>
      </c>
      <c r="AA194" t="s">
        <v>50</v>
      </c>
      <c r="AB194">
        <f t="shared" si="72"/>
        <v>504.63452121312514</v>
      </c>
      <c r="AC194">
        <f t="shared" si="53"/>
        <v>2018.5380848525006</v>
      </c>
      <c r="AE194">
        <v>1</v>
      </c>
      <c r="AF194">
        <v>1</v>
      </c>
      <c r="AG194">
        <v>2</v>
      </c>
      <c r="AH194">
        <f t="shared" si="73"/>
        <v>93.43541735866043</v>
      </c>
      <c r="AI194">
        <f t="shared" si="54"/>
        <v>2989.9333554771338</v>
      </c>
    </row>
    <row r="195" spans="1:35" x14ac:dyDescent="0.3">
      <c r="A195">
        <v>2021</v>
      </c>
      <c r="B195" t="s">
        <v>249</v>
      </c>
      <c r="C195" t="s">
        <v>298</v>
      </c>
      <c r="D195" t="s">
        <v>299</v>
      </c>
      <c r="E195" t="s">
        <v>300</v>
      </c>
      <c r="F195">
        <v>21.3</v>
      </c>
      <c r="I195" t="s">
        <v>230</v>
      </c>
      <c r="J195" t="s">
        <v>231</v>
      </c>
      <c r="K195" t="s">
        <v>232</v>
      </c>
      <c r="L195">
        <v>233581</v>
      </c>
      <c r="M195">
        <v>128549</v>
      </c>
      <c r="N195">
        <v>21</v>
      </c>
      <c r="O195">
        <f t="shared" si="66"/>
        <v>4.0076335877862593E-2</v>
      </c>
      <c r="P195">
        <v>210</v>
      </c>
      <c r="Q195">
        <f t="shared" si="67"/>
        <v>4.0076335877862593E-2</v>
      </c>
      <c r="R195">
        <v>0.27</v>
      </c>
      <c r="S195">
        <f t="shared" si="74"/>
        <v>2.7</v>
      </c>
      <c r="T195">
        <f t="shared" si="68"/>
        <v>3.8054968287526449E-2</v>
      </c>
      <c r="U195">
        <f t="shared" si="69"/>
        <v>-0.12892434003540076</v>
      </c>
      <c r="V195">
        <f t="shared" si="70"/>
        <v>1.5599999999999999E-2</v>
      </c>
      <c r="W195">
        <v>0.1</v>
      </c>
      <c r="X195">
        <f t="shared" si="71"/>
        <v>0.15599999999999997</v>
      </c>
      <c r="Y195">
        <v>2</v>
      </c>
      <c r="Z195">
        <v>1</v>
      </c>
      <c r="AA195" t="s">
        <v>50</v>
      </c>
      <c r="AB195">
        <f t="shared" si="72"/>
        <v>47.623523599162631</v>
      </c>
      <c r="AC195">
        <f t="shared" ref="AC195:AC258" si="75">(SQRT(S195/P195))*P195*4*4</f>
        <v>380.98818879330105</v>
      </c>
      <c r="AE195">
        <v>3</v>
      </c>
      <c r="AF195">
        <v>2</v>
      </c>
      <c r="AG195">
        <v>1</v>
      </c>
      <c r="AH195">
        <f t="shared" si="73"/>
        <v>48.10928441495782</v>
      </c>
      <c r="AI195">
        <f t="shared" ref="AI195:AI258" si="76">((S195/P195)^0.75)*P195*4*4*4</f>
        <v>513.16570042621674</v>
      </c>
    </row>
    <row r="196" spans="1:35" x14ac:dyDescent="0.3">
      <c r="A196">
        <v>2021</v>
      </c>
      <c r="B196" t="s">
        <v>249</v>
      </c>
      <c r="C196" t="s">
        <v>298</v>
      </c>
      <c r="D196" t="s">
        <v>299</v>
      </c>
      <c r="E196" t="s">
        <v>300</v>
      </c>
      <c r="F196">
        <v>21.3</v>
      </c>
      <c r="G196" t="s">
        <v>79</v>
      </c>
      <c r="H196" t="s">
        <v>215</v>
      </c>
      <c r="I196" t="s">
        <v>216</v>
      </c>
      <c r="J196" t="s">
        <v>217</v>
      </c>
      <c r="K196" t="s">
        <v>218</v>
      </c>
      <c r="L196">
        <v>218266</v>
      </c>
      <c r="M196">
        <v>139410</v>
      </c>
      <c r="N196">
        <v>21</v>
      </c>
      <c r="O196">
        <f t="shared" si="66"/>
        <v>4.0076335877862593E-2</v>
      </c>
      <c r="P196">
        <v>210</v>
      </c>
      <c r="Q196">
        <f t="shared" si="67"/>
        <v>4.0076335877862593E-2</v>
      </c>
      <c r="R196">
        <v>0.19</v>
      </c>
      <c r="S196">
        <f t="shared" si="74"/>
        <v>1.9</v>
      </c>
      <c r="T196">
        <f t="shared" si="68"/>
        <v>2.6779422128259352E-2</v>
      </c>
      <c r="U196">
        <f t="shared" si="69"/>
        <v>-0.12892434003540076</v>
      </c>
      <c r="V196">
        <f t="shared" si="70"/>
        <v>1.5599999999999999E-2</v>
      </c>
      <c r="W196">
        <v>0.1</v>
      </c>
      <c r="X196">
        <f t="shared" si="71"/>
        <v>0.15599999999999997</v>
      </c>
      <c r="Y196">
        <v>2</v>
      </c>
      <c r="Z196">
        <v>2</v>
      </c>
      <c r="AA196" t="s">
        <v>50</v>
      </c>
      <c r="AB196">
        <f t="shared" si="72"/>
        <v>79.899937421752711</v>
      </c>
      <c r="AC196">
        <f t="shared" si="75"/>
        <v>319.59974968701084</v>
      </c>
      <c r="AE196">
        <v>2.5</v>
      </c>
      <c r="AF196">
        <v>1</v>
      </c>
      <c r="AG196">
        <v>2</v>
      </c>
      <c r="AH196">
        <f t="shared" si="73"/>
        <v>30.802788134896382</v>
      </c>
      <c r="AI196">
        <f t="shared" si="76"/>
        <v>394.27568812667369</v>
      </c>
    </row>
    <row r="197" spans="1:35" x14ac:dyDescent="0.3">
      <c r="A197">
        <v>2021</v>
      </c>
      <c r="B197" t="s">
        <v>249</v>
      </c>
      <c r="C197" t="s">
        <v>298</v>
      </c>
      <c r="D197" t="s">
        <v>299</v>
      </c>
      <c r="E197" t="s">
        <v>300</v>
      </c>
      <c r="F197">
        <v>21.3</v>
      </c>
      <c r="G197" t="s">
        <v>22</v>
      </c>
      <c r="H197" t="s">
        <v>96</v>
      </c>
      <c r="I197" t="s">
        <v>312</v>
      </c>
      <c r="J197" t="s">
        <v>313</v>
      </c>
      <c r="K197" t="s">
        <v>314</v>
      </c>
      <c r="L197">
        <v>227369</v>
      </c>
      <c r="M197">
        <v>131576</v>
      </c>
      <c r="N197">
        <v>2</v>
      </c>
      <c r="O197">
        <f t="shared" si="66"/>
        <v>3.8167938931297708E-3</v>
      </c>
      <c r="P197">
        <v>20</v>
      </c>
      <c r="Q197">
        <f t="shared" si="67"/>
        <v>3.8167938931297708E-3</v>
      </c>
      <c r="R197">
        <v>0.16</v>
      </c>
      <c r="S197">
        <f t="shared" si="74"/>
        <v>1.6</v>
      </c>
      <c r="T197">
        <f t="shared" si="68"/>
        <v>2.2551092318534194E-2</v>
      </c>
      <c r="U197">
        <f t="shared" si="69"/>
        <v>-2.1253223296798077E-2</v>
      </c>
      <c r="V197">
        <f t="shared" si="70"/>
        <v>1.5599999999999999E-2</v>
      </c>
      <c r="W197">
        <v>0.1</v>
      </c>
      <c r="X197">
        <f t="shared" si="71"/>
        <v>0.15599999999999997</v>
      </c>
      <c r="Y197">
        <v>2</v>
      </c>
      <c r="Z197">
        <v>2</v>
      </c>
      <c r="AA197" t="s">
        <v>50</v>
      </c>
      <c r="AB197">
        <f t="shared" si="72"/>
        <v>22.627416997969519</v>
      </c>
      <c r="AC197">
        <f t="shared" si="75"/>
        <v>90.509667991878075</v>
      </c>
      <c r="AE197">
        <v>3</v>
      </c>
      <c r="AF197">
        <v>3</v>
      </c>
      <c r="AG197">
        <v>1</v>
      </c>
      <c r="AH197">
        <f t="shared" si="73"/>
        <v>27.076342270222028</v>
      </c>
      <c r="AI197">
        <f t="shared" si="76"/>
        <v>192.54287836602333</v>
      </c>
    </row>
    <row r="198" spans="1:35" x14ac:dyDescent="0.3">
      <c r="A198">
        <v>2021</v>
      </c>
      <c r="B198" t="s">
        <v>249</v>
      </c>
      <c r="C198" t="s">
        <v>298</v>
      </c>
      <c r="D198" t="s">
        <v>299</v>
      </c>
      <c r="E198" t="s">
        <v>300</v>
      </c>
      <c r="F198">
        <v>21.3</v>
      </c>
      <c r="G198" t="s">
        <v>28</v>
      </c>
      <c r="H198" t="s">
        <v>29</v>
      </c>
      <c r="I198" t="s">
        <v>279</v>
      </c>
      <c r="J198" t="s">
        <v>280</v>
      </c>
      <c r="K198" t="s">
        <v>304</v>
      </c>
      <c r="L198">
        <v>217706</v>
      </c>
      <c r="M198">
        <v>124913</v>
      </c>
      <c r="N198">
        <v>3</v>
      </c>
      <c r="O198">
        <f t="shared" si="66"/>
        <v>5.7251908396946565E-3</v>
      </c>
      <c r="P198">
        <v>30</v>
      </c>
      <c r="Q198">
        <f t="shared" si="67"/>
        <v>5.7251908396946565E-3</v>
      </c>
      <c r="R198">
        <v>0.2</v>
      </c>
      <c r="S198">
        <f t="shared" si="74"/>
        <v>2</v>
      </c>
      <c r="T198">
        <f t="shared" si="68"/>
        <v>2.8188865398167739E-2</v>
      </c>
      <c r="U198">
        <f t="shared" si="69"/>
        <v>-2.9558469822440456E-2</v>
      </c>
      <c r="V198">
        <f t="shared" si="70"/>
        <v>1.5599999999999999E-2</v>
      </c>
      <c r="W198">
        <v>0.1</v>
      </c>
      <c r="X198">
        <f t="shared" si="71"/>
        <v>0.15599999999999997</v>
      </c>
      <c r="Y198">
        <v>2</v>
      </c>
      <c r="Z198">
        <v>2</v>
      </c>
      <c r="AA198" t="s">
        <v>50</v>
      </c>
      <c r="AB198">
        <f t="shared" si="72"/>
        <v>30.983866769659333</v>
      </c>
      <c r="AC198">
        <f t="shared" si="75"/>
        <v>123.93546707863733</v>
      </c>
      <c r="AE198">
        <v>1</v>
      </c>
      <c r="AF198">
        <v>3</v>
      </c>
      <c r="AG198">
        <v>1</v>
      </c>
      <c r="AH198">
        <f t="shared" si="73"/>
        <v>11.807938027592584</v>
      </c>
      <c r="AI198">
        <f t="shared" si="76"/>
        <v>251.90267792197511</v>
      </c>
    </row>
    <row r="199" spans="1:35" x14ac:dyDescent="0.3">
      <c r="A199">
        <v>2021</v>
      </c>
      <c r="B199" t="s">
        <v>249</v>
      </c>
      <c r="C199" t="s">
        <v>298</v>
      </c>
      <c r="D199" t="s">
        <v>299</v>
      </c>
      <c r="E199" t="s">
        <v>300</v>
      </c>
      <c r="F199">
        <v>21.3</v>
      </c>
      <c r="G199" t="s">
        <v>45</v>
      </c>
      <c r="H199" t="s">
        <v>71</v>
      </c>
      <c r="I199" t="s">
        <v>72</v>
      </c>
      <c r="J199" t="s">
        <v>73</v>
      </c>
      <c r="K199" t="s">
        <v>74</v>
      </c>
      <c r="L199">
        <v>217978</v>
      </c>
      <c r="M199">
        <v>140129</v>
      </c>
      <c r="N199">
        <v>39</v>
      </c>
      <c r="O199">
        <f t="shared" si="66"/>
        <v>7.4427480916030533E-2</v>
      </c>
      <c r="P199">
        <v>390</v>
      </c>
      <c r="Q199">
        <f t="shared" si="67"/>
        <v>7.4427480916030533E-2</v>
      </c>
      <c r="R199">
        <v>0.08</v>
      </c>
      <c r="S199">
        <f t="shared" si="74"/>
        <v>0.8</v>
      </c>
      <c r="T199">
        <f t="shared" si="68"/>
        <v>1.1275546159267097E-2</v>
      </c>
      <c r="U199">
        <f t="shared" si="69"/>
        <v>-0.19335738833867258</v>
      </c>
      <c r="V199">
        <f t="shared" si="70"/>
        <v>1.5599999999999999E-2</v>
      </c>
      <c r="W199">
        <v>0.1</v>
      </c>
      <c r="X199">
        <f t="shared" si="71"/>
        <v>0.15599999999999997</v>
      </c>
      <c r="Y199">
        <v>2</v>
      </c>
      <c r="Z199">
        <v>3</v>
      </c>
      <c r="AA199" t="s">
        <v>50</v>
      </c>
      <c r="AB199">
        <f t="shared" si="72"/>
        <v>105.98113039593417</v>
      </c>
      <c r="AC199">
        <f t="shared" si="75"/>
        <v>282.61634772249113</v>
      </c>
      <c r="AE199">
        <v>1</v>
      </c>
      <c r="AF199">
        <v>3</v>
      </c>
      <c r="AG199">
        <v>1</v>
      </c>
      <c r="AH199">
        <f t="shared" si="73"/>
        <v>11.277293845383342</v>
      </c>
      <c r="AI199">
        <f t="shared" si="76"/>
        <v>240.58226870151131</v>
      </c>
    </row>
    <row r="200" spans="1:35" x14ac:dyDescent="0.3">
      <c r="A200">
        <v>2021</v>
      </c>
      <c r="B200" t="s">
        <v>249</v>
      </c>
      <c r="C200" t="s">
        <v>298</v>
      </c>
      <c r="D200" t="s">
        <v>299</v>
      </c>
      <c r="E200" t="s">
        <v>300</v>
      </c>
      <c r="F200">
        <v>21.3</v>
      </c>
      <c r="G200" t="s">
        <v>45</v>
      </c>
      <c r="H200" t="s">
        <v>46</v>
      </c>
      <c r="I200" t="s">
        <v>47</v>
      </c>
      <c r="J200" t="s">
        <v>48</v>
      </c>
      <c r="K200" t="s">
        <v>49</v>
      </c>
      <c r="L200">
        <v>218099</v>
      </c>
      <c r="M200">
        <v>139476</v>
      </c>
      <c r="N200">
        <v>2</v>
      </c>
      <c r="O200">
        <f t="shared" si="66"/>
        <v>3.8167938931297708E-3</v>
      </c>
      <c r="P200">
        <v>20</v>
      </c>
      <c r="Q200">
        <f t="shared" si="67"/>
        <v>3.8167938931297708E-3</v>
      </c>
      <c r="R200">
        <v>0.02</v>
      </c>
      <c r="S200">
        <f t="shared" si="74"/>
        <v>0.2</v>
      </c>
      <c r="T200">
        <f t="shared" si="68"/>
        <v>2.8188865398167742E-3</v>
      </c>
      <c r="U200">
        <f t="shared" si="69"/>
        <v>-2.1253223296798077E-2</v>
      </c>
      <c r="V200">
        <f t="shared" si="70"/>
        <v>1.5599999999999999E-2</v>
      </c>
      <c r="W200">
        <v>0.1</v>
      </c>
      <c r="X200">
        <f t="shared" si="71"/>
        <v>0.15599999999999997</v>
      </c>
      <c r="Y200">
        <v>2</v>
      </c>
      <c r="Z200">
        <v>3</v>
      </c>
      <c r="AA200" t="s">
        <v>50</v>
      </c>
      <c r="AB200">
        <f t="shared" si="72"/>
        <v>12</v>
      </c>
      <c r="AC200">
        <f t="shared" si="75"/>
        <v>32</v>
      </c>
      <c r="AE200">
        <v>3</v>
      </c>
      <c r="AF200">
        <v>2</v>
      </c>
      <c r="AG200">
        <v>2</v>
      </c>
      <c r="AH200">
        <f t="shared" si="73"/>
        <v>7.5894663844041119</v>
      </c>
      <c r="AI200">
        <f t="shared" si="76"/>
        <v>40.477154050155264</v>
      </c>
    </row>
    <row r="201" spans="1:35" x14ac:dyDescent="0.3">
      <c r="A201">
        <v>2021</v>
      </c>
      <c r="B201" t="s">
        <v>249</v>
      </c>
      <c r="C201" t="s">
        <v>298</v>
      </c>
      <c r="D201" t="s">
        <v>299</v>
      </c>
      <c r="E201" t="s">
        <v>300</v>
      </c>
      <c r="F201">
        <v>21.3</v>
      </c>
      <c r="G201" t="s">
        <v>22</v>
      </c>
      <c r="I201" t="s">
        <v>221</v>
      </c>
      <c r="J201" t="s">
        <v>222</v>
      </c>
      <c r="K201" t="s">
        <v>223</v>
      </c>
      <c r="L201">
        <v>227385</v>
      </c>
      <c r="M201">
        <v>130270</v>
      </c>
      <c r="N201">
        <v>1</v>
      </c>
      <c r="O201">
        <f t="shared" si="66"/>
        <v>1.9083969465648854E-3</v>
      </c>
      <c r="P201">
        <v>10</v>
      </c>
      <c r="Q201">
        <f t="shared" si="67"/>
        <v>1.9083969465648854E-3</v>
      </c>
      <c r="R201">
        <v>5.0000000000000001E-3</v>
      </c>
      <c r="S201">
        <f t="shared" si="74"/>
        <v>0.05</v>
      </c>
      <c r="T201">
        <f t="shared" si="68"/>
        <v>7.0472163495419356E-4</v>
      </c>
      <c r="U201">
        <f t="shared" si="69"/>
        <v>-1.1949411611299698E-2</v>
      </c>
      <c r="V201">
        <f t="shared" si="70"/>
        <v>1.5599999999999999E-2</v>
      </c>
      <c r="W201">
        <v>0.1</v>
      </c>
      <c r="X201">
        <f t="shared" si="71"/>
        <v>0.15599999999999997</v>
      </c>
      <c r="Y201">
        <v>2</v>
      </c>
      <c r="Z201">
        <v>2</v>
      </c>
      <c r="AA201" t="s">
        <v>50</v>
      </c>
      <c r="AB201">
        <f t="shared" si="72"/>
        <v>2.8284271247461898</v>
      </c>
      <c r="AC201">
        <f t="shared" si="75"/>
        <v>11.313708498984759</v>
      </c>
      <c r="AE201">
        <v>3</v>
      </c>
      <c r="AF201">
        <v>3</v>
      </c>
      <c r="AG201">
        <v>4</v>
      </c>
      <c r="AH201">
        <f t="shared" si="73"/>
        <v>6.7690855675555124</v>
      </c>
      <c r="AI201">
        <f t="shared" si="76"/>
        <v>12.033929897876465</v>
      </c>
    </row>
    <row r="202" spans="1:35" x14ac:dyDescent="0.3">
      <c r="A202">
        <v>2021</v>
      </c>
      <c r="B202" t="s">
        <v>249</v>
      </c>
      <c r="C202" t="s">
        <v>298</v>
      </c>
      <c r="D202" t="s">
        <v>299</v>
      </c>
      <c r="E202" t="s">
        <v>300</v>
      </c>
      <c r="F202">
        <v>21.3</v>
      </c>
      <c r="G202" t="s">
        <v>51</v>
      </c>
      <c r="H202" t="s">
        <v>52</v>
      </c>
      <c r="I202" t="s">
        <v>193</v>
      </c>
      <c r="J202" t="s">
        <v>219</v>
      </c>
      <c r="K202" t="s">
        <v>220</v>
      </c>
      <c r="L202">
        <v>233479</v>
      </c>
      <c r="M202">
        <v>110535</v>
      </c>
      <c r="N202">
        <v>5</v>
      </c>
      <c r="O202">
        <f t="shared" si="66"/>
        <v>9.5419847328244278E-3</v>
      </c>
      <c r="P202">
        <v>50</v>
      </c>
      <c r="Q202">
        <f t="shared" si="67"/>
        <v>9.5419847328244278E-3</v>
      </c>
      <c r="R202">
        <v>0.01</v>
      </c>
      <c r="S202">
        <f t="shared" si="74"/>
        <v>0.1</v>
      </c>
      <c r="T202">
        <f t="shared" si="68"/>
        <v>1.4094432699083871E-3</v>
      </c>
      <c r="U202">
        <f t="shared" si="69"/>
        <v>-4.438982606762349E-2</v>
      </c>
      <c r="V202">
        <f t="shared" si="70"/>
        <v>1.5599999999999999E-2</v>
      </c>
      <c r="W202">
        <v>0.1</v>
      </c>
      <c r="X202">
        <f t="shared" si="71"/>
        <v>0.15599999999999997</v>
      </c>
      <c r="Y202">
        <v>2</v>
      </c>
      <c r="Z202">
        <v>3</v>
      </c>
      <c r="AA202" t="s">
        <v>50</v>
      </c>
      <c r="AB202">
        <f t="shared" si="72"/>
        <v>13.416407864998739</v>
      </c>
      <c r="AC202">
        <f t="shared" si="75"/>
        <v>35.777087639996637</v>
      </c>
      <c r="AE202">
        <v>1</v>
      </c>
      <c r="AF202">
        <v>3.14</v>
      </c>
      <c r="AG202">
        <v>1.5</v>
      </c>
      <c r="AH202">
        <f t="shared" si="73"/>
        <v>2.2272214892024786</v>
      </c>
      <c r="AI202">
        <f t="shared" si="76"/>
        <v>30.26373148810162</v>
      </c>
    </row>
    <row r="203" spans="1:35" x14ac:dyDescent="0.3">
      <c r="A203">
        <v>2021</v>
      </c>
      <c r="B203" t="s">
        <v>249</v>
      </c>
      <c r="C203" t="s">
        <v>298</v>
      </c>
      <c r="D203" t="s">
        <v>299</v>
      </c>
      <c r="E203" t="s">
        <v>300</v>
      </c>
      <c r="F203">
        <v>21.3</v>
      </c>
      <c r="G203" t="s">
        <v>79</v>
      </c>
      <c r="H203" t="s">
        <v>305</v>
      </c>
      <c r="I203" t="s">
        <v>306</v>
      </c>
      <c r="J203" t="s">
        <v>307</v>
      </c>
      <c r="K203" t="s">
        <v>308</v>
      </c>
      <c r="L203">
        <v>218300</v>
      </c>
      <c r="M203">
        <v>140737</v>
      </c>
      <c r="N203">
        <v>3</v>
      </c>
      <c r="O203">
        <f t="shared" si="66"/>
        <v>5.7251908396946565E-3</v>
      </c>
      <c r="P203">
        <v>30</v>
      </c>
      <c r="Q203">
        <f t="shared" si="67"/>
        <v>5.7251908396946565E-3</v>
      </c>
      <c r="R203">
        <v>0.01</v>
      </c>
      <c r="S203">
        <f t="shared" si="74"/>
        <v>0.1</v>
      </c>
      <c r="T203">
        <f t="shared" si="68"/>
        <v>1.4094432699083871E-3</v>
      </c>
      <c r="U203">
        <f t="shared" si="69"/>
        <v>-2.9558469822440456E-2</v>
      </c>
      <c r="V203">
        <f t="shared" si="70"/>
        <v>1.5599999999999999E-2</v>
      </c>
      <c r="W203">
        <v>0.1</v>
      </c>
      <c r="X203">
        <f t="shared" si="71"/>
        <v>0.15599999999999997</v>
      </c>
      <c r="Y203">
        <v>2</v>
      </c>
      <c r="Z203">
        <v>2</v>
      </c>
      <c r="AA203" t="s">
        <v>50</v>
      </c>
      <c r="AB203">
        <f t="shared" si="72"/>
        <v>6.9282032302755097</v>
      </c>
      <c r="AC203">
        <f t="shared" si="75"/>
        <v>27.712812921102039</v>
      </c>
      <c r="AE203">
        <v>3</v>
      </c>
      <c r="AF203">
        <v>1</v>
      </c>
      <c r="AG203">
        <v>1</v>
      </c>
      <c r="AH203">
        <f t="shared" si="73"/>
        <v>1.2485374350863452</v>
      </c>
      <c r="AI203">
        <f t="shared" si="76"/>
        <v>26.635465281842031</v>
      </c>
    </row>
    <row r="204" spans="1:35" x14ac:dyDescent="0.3">
      <c r="A204">
        <v>2021</v>
      </c>
      <c r="B204" t="s">
        <v>249</v>
      </c>
      <c r="C204" t="s">
        <v>298</v>
      </c>
      <c r="D204" t="s">
        <v>299</v>
      </c>
      <c r="E204" t="s">
        <v>300</v>
      </c>
      <c r="F204">
        <v>21.3</v>
      </c>
      <c r="G204" t="s">
        <v>51</v>
      </c>
      <c r="H204" t="s">
        <v>52</v>
      </c>
      <c r="I204" t="s">
        <v>53</v>
      </c>
      <c r="J204" t="s">
        <v>54</v>
      </c>
      <c r="K204" t="s">
        <v>303</v>
      </c>
      <c r="L204">
        <v>233419</v>
      </c>
      <c r="M204">
        <v>110483</v>
      </c>
      <c r="N204">
        <v>1</v>
      </c>
      <c r="O204">
        <f t="shared" si="66"/>
        <v>1.9083969465648854E-3</v>
      </c>
      <c r="P204">
        <v>10</v>
      </c>
      <c r="Q204">
        <f t="shared" si="67"/>
        <v>1.9083969465648854E-3</v>
      </c>
      <c r="R204">
        <v>5.0000000000000001E-3</v>
      </c>
      <c r="S204">
        <f t="shared" si="74"/>
        <v>0.05</v>
      </c>
      <c r="T204">
        <f t="shared" si="68"/>
        <v>7.0472163495419356E-4</v>
      </c>
      <c r="U204">
        <f t="shared" si="69"/>
        <v>-1.1949411611299698E-2</v>
      </c>
      <c r="V204">
        <f t="shared" si="70"/>
        <v>1.5599999999999999E-2</v>
      </c>
      <c r="W204">
        <v>0.1</v>
      </c>
      <c r="X204">
        <f t="shared" si="71"/>
        <v>0.15599999999999997</v>
      </c>
      <c r="Y204">
        <v>2</v>
      </c>
      <c r="Z204">
        <v>3</v>
      </c>
      <c r="AA204" t="s">
        <v>50</v>
      </c>
      <c r="AB204">
        <f t="shared" si="72"/>
        <v>4.2426406871192848</v>
      </c>
      <c r="AC204">
        <f t="shared" si="75"/>
        <v>11.313708498984759</v>
      </c>
      <c r="AE204">
        <v>3</v>
      </c>
      <c r="AF204">
        <v>2</v>
      </c>
      <c r="AG204">
        <v>1</v>
      </c>
      <c r="AH204">
        <f t="shared" si="73"/>
        <v>1.1281809279259187</v>
      </c>
      <c r="AI204">
        <f t="shared" si="76"/>
        <v>12.033929897876465</v>
      </c>
    </row>
    <row r="205" spans="1:35" x14ac:dyDescent="0.3">
      <c r="A205">
        <v>2021</v>
      </c>
      <c r="B205" t="s">
        <v>249</v>
      </c>
      <c r="C205" t="s">
        <v>298</v>
      </c>
      <c r="D205" t="s">
        <v>299</v>
      </c>
      <c r="E205" t="s">
        <v>300</v>
      </c>
      <c r="F205">
        <v>21.3</v>
      </c>
      <c r="G205" t="s">
        <v>22</v>
      </c>
      <c r="H205" t="s">
        <v>67</v>
      </c>
      <c r="I205" t="s">
        <v>84</v>
      </c>
      <c r="J205" t="s">
        <v>85</v>
      </c>
      <c r="K205" t="s">
        <v>199</v>
      </c>
      <c r="L205">
        <v>227130</v>
      </c>
      <c r="M205">
        <v>130599</v>
      </c>
      <c r="N205">
        <v>2</v>
      </c>
      <c r="O205">
        <f t="shared" si="66"/>
        <v>3.8167938931297708E-3</v>
      </c>
      <c r="P205">
        <v>20</v>
      </c>
      <c r="Q205">
        <f t="shared" si="67"/>
        <v>3.8167938931297708E-3</v>
      </c>
      <c r="R205">
        <v>5.0000000000000001E-3</v>
      </c>
      <c r="S205">
        <f t="shared" si="74"/>
        <v>0.05</v>
      </c>
      <c r="T205">
        <f t="shared" si="68"/>
        <v>7.0472163495419356E-4</v>
      </c>
      <c r="U205">
        <f t="shared" si="69"/>
        <v>-2.1253223296798077E-2</v>
      </c>
      <c r="V205">
        <f t="shared" si="70"/>
        <v>1.5599999999999999E-2</v>
      </c>
      <c r="W205">
        <v>0.1</v>
      </c>
      <c r="X205">
        <f t="shared" si="71"/>
        <v>0.15599999999999997</v>
      </c>
      <c r="Y205">
        <v>2</v>
      </c>
      <c r="Z205">
        <v>2</v>
      </c>
      <c r="AA205" t="s">
        <v>50</v>
      </c>
      <c r="AB205">
        <f t="shared" si="72"/>
        <v>4</v>
      </c>
      <c r="AC205">
        <f t="shared" si="75"/>
        <v>16</v>
      </c>
      <c r="AE205">
        <v>1</v>
      </c>
      <c r="AF205">
        <v>2</v>
      </c>
      <c r="AG205">
        <v>1</v>
      </c>
      <c r="AH205">
        <f t="shared" si="73"/>
        <v>0.44721359549995793</v>
      </c>
      <c r="AI205">
        <f t="shared" si="76"/>
        <v>14.310835055998654</v>
      </c>
    </row>
    <row r="206" spans="1:35" x14ac:dyDescent="0.3">
      <c r="A206">
        <v>2021</v>
      </c>
      <c r="B206" t="s">
        <v>249</v>
      </c>
      <c r="C206" t="s">
        <v>298</v>
      </c>
      <c r="D206" t="s">
        <v>299</v>
      </c>
      <c r="E206" t="s">
        <v>300</v>
      </c>
      <c r="F206">
        <v>21.3</v>
      </c>
      <c r="G206" t="s">
        <v>51</v>
      </c>
      <c r="H206" t="s">
        <v>126</v>
      </c>
      <c r="I206" t="s">
        <v>207</v>
      </c>
      <c r="J206" t="s">
        <v>208</v>
      </c>
      <c r="K206" t="s">
        <v>210</v>
      </c>
      <c r="L206">
        <v>233384</v>
      </c>
      <c r="M206">
        <v>101930</v>
      </c>
      <c r="N206">
        <v>2</v>
      </c>
      <c r="O206">
        <f t="shared" si="66"/>
        <v>3.8167938931297708E-3</v>
      </c>
      <c r="P206">
        <v>20</v>
      </c>
      <c r="Q206">
        <f t="shared" si="67"/>
        <v>3.8167938931297708E-3</v>
      </c>
      <c r="R206">
        <v>5.0000000000000001E-3</v>
      </c>
      <c r="S206">
        <f t="shared" si="74"/>
        <v>0.05</v>
      </c>
      <c r="T206">
        <f t="shared" si="68"/>
        <v>7.0472163495419356E-4</v>
      </c>
      <c r="U206">
        <f t="shared" si="69"/>
        <v>-2.1253223296798077E-2</v>
      </c>
      <c r="V206">
        <f t="shared" si="70"/>
        <v>1.5599999999999999E-2</v>
      </c>
      <c r="W206">
        <v>0.1</v>
      </c>
      <c r="X206">
        <f t="shared" si="71"/>
        <v>0.15599999999999997</v>
      </c>
      <c r="Y206">
        <v>2</v>
      </c>
      <c r="Z206">
        <v>1</v>
      </c>
      <c r="AA206" t="s">
        <v>50</v>
      </c>
      <c r="AB206">
        <f t="shared" si="72"/>
        <v>2</v>
      </c>
      <c r="AC206">
        <f t="shared" si="75"/>
        <v>16</v>
      </c>
      <c r="AE206">
        <v>1</v>
      </c>
      <c r="AF206">
        <v>1</v>
      </c>
      <c r="AG206">
        <v>1</v>
      </c>
      <c r="AH206">
        <f t="shared" si="73"/>
        <v>0.22360679774997896</v>
      </c>
      <c r="AI206">
        <f t="shared" si="76"/>
        <v>14.310835055998654</v>
      </c>
    </row>
    <row r="207" spans="1:35" x14ac:dyDescent="0.3">
      <c r="A207">
        <v>2021</v>
      </c>
      <c r="B207" t="s">
        <v>249</v>
      </c>
      <c r="C207" t="s">
        <v>298</v>
      </c>
      <c r="D207" t="s">
        <v>299</v>
      </c>
      <c r="E207" t="s">
        <v>300</v>
      </c>
      <c r="F207">
        <v>21.3</v>
      </c>
      <c r="G207" t="s">
        <v>22</v>
      </c>
      <c r="H207" t="s">
        <v>56</v>
      </c>
      <c r="I207" t="s">
        <v>57</v>
      </c>
      <c r="J207" t="s">
        <v>58</v>
      </c>
      <c r="K207" t="s">
        <v>59</v>
      </c>
      <c r="L207">
        <v>227394</v>
      </c>
      <c r="M207">
        <v>130100</v>
      </c>
      <c r="N207">
        <v>1</v>
      </c>
      <c r="O207">
        <f t="shared" si="66"/>
        <v>1.9083969465648854E-3</v>
      </c>
      <c r="P207">
        <v>10</v>
      </c>
      <c r="Q207">
        <f t="shared" si="67"/>
        <v>1.9083969465648854E-3</v>
      </c>
      <c r="R207">
        <v>5.0000000000000001E-3</v>
      </c>
      <c r="S207">
        <f>R207*10</f>
        <v>0.05</v>
      </c>
      <c r="T207">
        <f t="shared" si="68"/>
        <v>7.0472163495419356E-4</v>
      </c>
      <c r="U207">
        <f t="shared" si="69"/>
        <v>-1.1949411611299698E-2</v>
      </c>
      <c r="V207">
        <f t="shared" si="70"/>
        <v>1.5599999999999999E-2</v>
      </c>
      <c r="W207">
        <v>0.1</v>
      </c>
      <c r="X207">
        <f t="shared" si="71"/>
        <v>0.15599999999999997</v>
      </c>
      <c r="Y207">
        <v>3</v>
      </c>
      <c r="Z207">
        <v>2</v>
      </c>
      <c r="AA207" t="s">
        <v>60</v>
      </c>
      <c r="AB207">
        <f t="shared" si="72"/>
        <v>4.2426406871192848</v>
      </c>
      <c r="AC207">
        <f t="shared" si="75"/>
        <v>11.313708498984759</v>
      </c>
      <c r="AE207">
        <v>1</v>
      </c>
      <c r="AF207">
        <v>3</v>
      </c>
      <c r="AG207">
        <v>2</v>
      </c>
      <c r="AH207">
        <f t="shared" si="73"/>
        <v>1.1281809279259187</v>
      </c>
      <c r="AI207">
        <f t="shared" si="76"/>
        <v>12.033929897876465</v>
      </c>
    </row>
    <row r="208" spans="1:35" x14ac:dyDescent="0.3">
      <c r="A208">
        <v>2021</v>
      </c>
      <c r="B208" t="s">
        <v>249</v>
      </c>
      <c r="C208" t="s">
        <v>298</v>
      </c>
      <c r="D208" t="s">
        <v>299</v>
      </c>
      <c r="E208" t="s">
        <v>300</v>
      </c>
      <c r="F208">
        <v>21.3</v>
      </c>
      <c r="G208" t="s">
        <v>22</v>
      </c>
      <c r="H208" t="s">
        <v>56</v>
      </c>
      <c r="I208" t="s">
        <v>153</v>
      </c>
      <c r="J208" t="s">
        <v>154</v>
      </c>
      <c r="K208" t="s">
        <v>272</v>
      </c>
      <c r="L208">
        <v>227488</v>
      </c>
      <c r="M208">
        <v>129802</v>
      </c>
      <c r="N208">
        <v>7</v>
      </c>
      <c r="O208">
        <f t="shared" si="66"/>
        <v>1.3358778625954198E-2</v>
      </c>
      <c r="P208">
        <v>70</v>
      </c>
      <c r="Q208">
        <f t="shared" si="67"/>
        <v>1.3358778625954198E-2</v>
      </c>
      <c r="R208">
        <v>0.03</v>
      </c>
      <c r="S208">
        <f t="shared" si="74"/>
        <v>0.3</v>
      </c>
      <c r="T208">
        <f t="shared" si="68"/>
        <v>4.2283298097251605E-3</v>
      </c>
      <c r="U208">
        <f t="shared" si="69"/>
        <v>-5.7650898371870415E-2</v>
      </c>
      <c r="V208">
        <f t="shared" si="70"/>
        <v>1.5599999999999999E-2</v>
      </c>
      <c r="W208">
        <v>0.1</v>
      </c>
      <c r="X208">
        <f t="shared" si="71"/>
        <v>0.15599999999999997</v>
      </c>
      <c r="Y208">
        <v>3</v>
      </c>
      <c r="Z208">
        <v>1</v>
      </c>
      <c r="AA208" t="s">
        <v>100</v>
      </c>
      <c r="AB208">
        <f t="shared" si="72"/>
        <v>13.74772708486752</v>
      </c>
      <c r="AC208">
        <f t="shared" si="75"/>
        <v>73.321211119293437</v>
      </c>
      <c r="AE208">
        <v>3</v>
      </c>
      <c r="AF208">
        <v>3</v>
      </c>
      <c r="AG208">
        <v>2</v>
      </c>
      <c r="AH208">
        <f t="shared" si="73"/>
        <v>21.105126333422106</v>
      </c>
      <c r="AI208">
        <f t="shared" si="76"/>
        <v>75.040449185500833</v>
      </c>
    </row>
    <row r="209" spans="1:36" x14ac:dyDescent="0.3">
      <c r="A209">
        <v>2021</v>
      </c>
      <c r="B209" t="s">
        <v>249</v>
      </c>
      <c r="C209" t="s">
        <v>298</v>
      </c>
      <c r="D209" t="s">
        <v>299</v>
      </c>
      <c r="E209" t="s">
        <v>300</v>
      </c>
      <c r="F209">
        <v>21.3</v>
      </c>
      <c r="G209" t="s">
        <v>22</v>
      </c>
      <c r="H209" t="s">
        <v>56</v>
      </c>
      <c r="I209" t="s">
        <v>153</v>
      </c>
      <c r="J209" t="s">
        <v>301</v>
      </c>
      <c r="K209" t="s">
        <v>302</v>
      </c>
      <c r="L209">
        <v>227468</v>
      </c>
      <c r="M209">
        <v>129789</v>
      </c>
      <c r="N209">
        <v>1</v>
      </c>
      <c r="O209">
        <f t="shared" si="66"/>
        <v>1.9083969465648854E-3</v>
      </c>
      <c r="P209">
        <v>10</v>
      </c>
      <c r="Q209">
        <f t="shared" si="67"/>
        <v>1.9083969465648854E-3</v>
      </c>
      <c r="R209">
        <v>5.0000000000000001E-3</v>
      </c>
      <c r="S209">
        <f t="shared" si="74"/>
        <v>0.05</v>
      </c>
      <c r="T209">
        <f t="shared" si="68"/>
        <v>7.0472163495419356E-4</v>
      </c>
      <c r="U209">
        <f t="shared" si="69"/>
        <v>-1.1949411611299698E-2</v>
      </c>
      <c r="V209">
        <f t="shared" si="70"/>
        <v>1.5599999999999999E-2</v>
      </c>
      <c r="W209">
        <v>0.1</v>
      </c>
      <c r="X209">
        <f t="shared" si="71"/>
        <v>0.15599999999999997</v>
      </c>
      <c r="Y209">
        <v>3</v>
      </c>
      <c r="Z209">
        <v>1</v>
      </c>
      <c r="AA209" t="s">
        <v>100</v>
      </c>
      <c r="AB209">
        <f t="shared" si="72"/>
        <v>2.1213203435596424</v>
      </c>
      <c r="AC209">
        <f t="shared" si="75"/>
        <v>11.313708498984759</v>
      </c>
      <c r="AE209">
        <v>3</v>
      </c>
      <c r="AF209">
        <v>3</v>
      </c>
      <c r="AG209">
        <v>2.5</v>
      </c>
      <c r="AH209">
        <f t="shared" si="73"/>
        <v>4.2306784797221955</v>
      </c>
      <c r="AI209">
        <f t="shared" si="76"/>
        <v>12.033929897876465</v>
      </c>
    </row>
    <row r="210" spans="1:36" x14ac:dyDescent="0.3">
      <c r="A210">
        <v>2021</v>
      </c>
      <c r="B210" t="s">
        <v>249</v>
      </c>
      <c r="C210" t="s">
        <v>298</v>
      </c>
      <c r="D210" t="s">
        <v>299</v>
      </c>
      <c r="E210" t="s">
        <v>300</v>
      </c>
      <c r="F210">
        <v>21.3</v>
      </c>
      <c r="G210" t="s">
        <v>22</v>
      </c>
      <c r="H210" t="s">
        <v>96</v>
      </c>
      <c r="I210" t="s">
        <v>97</v>
      </c>
      <c r="J210" t="s">
        <v>98</v>
      </c>
      <c r="K210" t="s">
        <v>101</v>
      </c>
      <c r="L210">
        <v>227337</v>
      </c>
      <c r="M210">
        <v>131157</v>
      </c>
      <c r="N210">
        <v>1</v>
      </c>
      <c r="O210">
        <f t="shared" si="66"/>
        <v>1.9083969465648854E-3</v>
      </c>
      <c r="P210">
        <v>10</v>
      </c>
      <c r="Q210">
        <f t="shared" si="67"/>
        <v>1.9083969465648854E-3</v>
      </c>
      <c r="R210">
        <v>5.0000000000000001E-3</v>
      </c>
      <c r="S210">
        <f t="shared" si="74"/>
        <v>0.05</v>
      </c>
      <c r="T210">
        <f t="shared" si="68"/>
        <v>7.0472163495419356E-4</v>
      </c>
      <c r="U210">
        <f t="shared" si="69"/>
        <v>-1.1949411611299698E-2</v>
      </c>
      <c r="V210">
        <f t="shared" si="70"/>
        <v>1.5599999999999999E-2</v>
      </c>
      <c r="W210">
        <v>0.1</v>
      </c>
      <c r="X210">
        <f t="shared" si="71"/>
        <v>0.15599999999999997</v>
      </c>
      <c r="Y210">
        <v>3</v>
      </c>
      <c r="Z210">
        <v>2</v>
      </c>
      <c r="AA210" t="s">
        <v>100</v>
      </c>
      <c r="AB210">
        <f t="shared" si="72"/>
        <v>4.2426406871192848</v>
      </c>
      <c r="AC210">
        <f t="shared" si="75"/>
        <v>11.313708498984759</v>
      </c>
      <c r="AE210">
        <v>2.5</v>
      </c>
      <c r="AF210">
        <v>3</v>
      </c>
      <c r="AG210">
        <v>2</v>
      </c>
      <c r="AH210">
        <f t="shared" si="73"/>
        <v>2.8204523198147964</v>
      </c>
      <c r="AI210">
        <f t="shared" si="76"/>
        <v>12.033929897876465</v>
      </c>
    </row>
    <row r="211" spans="1:36" x14ac:dyDescent="0.3">
      <c r="A211">
        <v>2021</v>
      </c>
      <c r="B211" t="s">
        <v>249</v>
      </c>
      <c r="C211" t="s">
        <v>298</v>
      </c>
      <c r="D211" t="s">
        <v>299</v>
      </c>
      <c r="E211" t="s">
        <v>300</v>
      </c>
      <c r="F211">
        <v>21.3</v>
      </c>
      <c r="G211" t="s">
        <v>22</v>
      </c>
      <c r="H211" t="s">
        <v>56</v>
      </c>
      <c r="I211" t="s">
        <v>153</v>
      </c>
      <c r="K211" t="s">
        <v>153</v>
      </c>
      <c r="L211">
        <v>2000533</v>
      </c>
      <c r="M211">
        <v>981</v>
      </c>
      <c r="N211">
        <v>1</v>
      </c>
      <c r="O211">
        <f t="shared" si="66"/>
        <v>1.9083969465648854E-3</v>
      </c>
      <c r="P211">
        <v>10</v>
      </c>
      <c r="Q211">
        <f t="shared" si="67"/>
        <v>1.9083969465648854E-3</v>
      </c>
      <c r="R211">
        <v>5.0000000000000001E-3</v>
      </c>
      <c r="S211">
        <f t="shared" si="74"/>
        <v>0.05</v>
      </c>
      <c r="T211">
        <f t="shared" si="68"/>
        <v>7.0472163495419356E-4</v>
      </c>
      <c r="U211">
        <f t="shared" si="69"/>
        <v>-1.1949411611299698E-2</v>
      </c>
      <c r="V211">
        <f t="shared" si="70"/>
        <v>1.5599999999999999E-2</v>
      </c>
      <c r="W211">
        <v>0.1</v>
      </c>
      <c r="X211">
        <f t="shared" si="71"/>
        <v>0.15599999999999997</v>
      </c>
      <c r="Y211">
        <v>3</v>
      </c>
      <c r="Z211">
        <v>1.6875</v>
      </c>
      <c r="AA211" t="s">
        <v>100</v>
      </c>
      <c r="AB211">
        <f t="shared" si="72"/>
        <v>3.5797280797568964</v>
      </c>
      <c r="AC211">
        <f t="shared" si="75"/>
        <v>11.313708498984759</v>
      </c>
      <c r="AE211">
        <v>3</v>
      </c>
      <c r="AF211">
        <v>2.3333333333333299</v>
      </c>
      <c r="AG211">
        <v>1.8049999999999999</v>
      </c>
      <c r="AH211">
        <f t="shared" si="73"/>
        <v>2.3757610040573272</v>
      </c>
      <c r="AI211">
        <f t="shared" si="76"/>
        <v>12.033929897876465</v>
      </c>
    </row>
    <row r="212" spans="1:36" s="4" customFormat="1" x14ac:dyDescent="0.3">
      <c r="N212" s="4">
        <f>SUM(N184:N211)</f>
        <v>524</v>
      </c>
      <c r="O212" s="4">
        <f>SUM(O184:O211)</f>
        <v>0.99999999999999978</v>
      </c>
      <c r="P212" s="4">
        <f t="shared" ref="P212:AI212" si="77">SUM(P184:P211)</f>
        <v>5240</v>
      </c>
      <c r="Q212" s="4">
        <f t="shared" si="77"/>
        <v>0.99999999999999978</v>
      </c>
      <c r="R212" s="4">
        <f t="shared" si="77"/>
        <v>7.094999999999998</v>
      </c>
      <c r="S212" s="4">
        <f t="shared" si="77"/>
        <v>70.94999999999996</v>
      </c>
      <c r="T212" s="4">
        <f t="shared" si="77"/>
        <v>1.0000000000000004</v>
      </c>
      <c r="U212" s="4">
        <f>-SUM(U184:U211)</f>
        <v>2.4235123363282263</v>
      </c>
      <c r="Y212" s="4">
        <v>4</v>
      </c>
      <c r="Z212" s="4">
        <v>4</v>
      </c>
      <c r="AB212" s="4">
        <f t="shared" si="77"/>
        <v>3866.070116770381</v>
      </c>
      <c r="AC212" s="4">
        <f t="shared" si="77"/>
        <v>8323.4227530154076</v>
      </c>
      <c r="AD212" s="4">
        <f>AB212/AC212</f>
        <v>0.4644808069336358</v>
      </c>
      <c r="AE212" s="4">
        <v>4</v>
      </c>
      <c r="AF212" s="4">
        <v>4</v>
      </c>
      <c r="AG212" s="4">
        <v>4</v>
      </c>
      <c r="AH212" s="4">
        <f t="shared" si="77"/>
        <v>2433.6498794520166</v>
      </c>
      <c r="AI212" s="4">
        <f t="shared" si="77"/>
        <v>11835.448119375709</v>
      </c>
      <c r="AJ212" s="4">
        <f>AH212/AI212</f>
        <v>0.20562380527594132</v>
      </c>
    </row>
    <row r="213" spans="1:36" x14ac:dyDescent="0.3">
      <c r="A213">
        <v>2021</v>
      </c>
      <c r="B213" t="s">
        <v>249</v>
      </c>
      <c r="C213" t="s">
        <v>315</v>
      </c>
      <c r="D213" t="s">
        <v>316</v>
      </c>
      <c r="E213" t="s">
        <v>317</v>
      </c>
      <c r="F213">
        <v>21.4</v>
      </c>
      <c r="G213" t="s">
        <v>28</v>
      </c>
      <c r="H213" t="s">
        <v>29</v>
      </c>
      <c r="I213" t="s">
        <v>30</v>
      </c>
      <c r="J213" t="s">
        <v>31</v>
      </c>
      <c r="K213" t="s">
        <v>185</v>
      </c>
      <c r="L213">
        <v>217698</v>
      </c>
      <c r="M213">
        <v>125073</v>
      </c>
      <c r="N213">
        <v>63</v>
      </c>
      <c r="O213">
        <f t="shared" ref="O213:O244" si="78">N213/$N$245</f>
        <v>0.14482758620689656</v>
      </c>
      <c r="P213">
        <v>620</v>
      </c>
      <c r="Q213">
        <f t="shared" ref="Q213:Q244" si="79">P213/$P$245</f>
        <v>0.14285714285714285</v>
      </c>
      <c r="R213">
        <v>2.82</v>
      </c>
      <c r="S213">
        <f>R213*10</f>
        <v>28.2</v>
      </c>
      <c r="T213">
        <f t="shared" ref="T213:T244" si="80">S213/$S$245</f>
        <v>0.46267432321575075</v>
      </c>
      <c r="U213">
        <f t="shared" ref="U213:U244" si="81">O213*LN(O213)</f>
        <v>-0.2798374993009668</v>
      </c>
      <c r="V213">
        <f t="shared" ref="V213:V244" si="82">13.4/1000</f>
        <v>1.34E-2</v>
      </c>
      <c r="W213">
        <v>0.1</v>
      </c>
      <c r="X213">
        <f t="shared" ref="X213:X244" si="83">V213/W213</f>
        <v>0.13400000000000001</v>
      </c>
      <c r="Y213">
        <v>4</v>
      </c>
      <c r="Z213">
        <v>3</v>
      </c>
      <c r="AA213" t="s">
        <v>27</v>
      </c>
      <c r="AB213">
        <f t="shared" ref="AB213:AB244" si="84">(SQRT(S213/P213))*P213*Z213*Y213</f>
        <v>1586.7249289022971</v>
      </c>
      <c r="AC213">
        <f t="shared" si="75"/>
        <v>2115.6332385363962</v>
      </c>
      <c r="AE213">
        <v>2</v>
      </c>
      <c r="AF213">
        <v>4</v>
      </c>
      <c r="AG213">
        <v>3</v>
      </c>
      <c r="AH213">
        <f t="shared" ref="AH213:AH244" si="85">((S213/P213)^0.75)*P213*AE213*AF213*AG213</f>
        <v>1465.5343270500857</v>
      </c>
      <c r="AI213">
        <f t="shared" si="76"/>
        <v>3908.0915388002286</v>
      </c>
    </row>
    <row r="214" spans="1:36" x14ac:dyDescent="0.3">
      <c r="A214">
        <v>2021</v>
      </c>
      <c r="B214" t="s">
        <v>249</v>
      </c>
      <c r="C214" t="s">
        <v>315</v>
      </c>
      <c r="D214" t="s">
        <v>316</v>
      </c>
      <c r="E214" t="s">
        <v>317</v>
      </c>
      <c r="F214">
        <v>21.4</v>
      </c>
      <c r="G214" t="s">
        <v>22</v>
      </c>
      <c r="I214" t="s">
        <v>105</v>
      </c>
      <c r="J214" t="s">
        <v>106</v>
      </c>
      <c r="K214" t="s">
        <v>107</v>
      </c>
      <c r="L214">
        <v>227839</v>
      </c>
      <c r="M214">
        <v>130980</v>
      </c>
      <c r="N214">
        <v>119</v>
      </c>
      <c r="O214">
        <f t="shared" si="78"/>
        <v>0.27356321839080461</v>
      </c>
      <c r="P214">
        <v>1190</v>
      </c>
      <c r="Q214">
        <f t="shared" si="79"/>
        <v>0.27419354838709675</v>
      </c>
      <c r="R214">
        <v>0.36</v>
      </c>
      <c r="S214">
        <f t="shared" ref="S214:S244" si="86">R214*10</f>
        <v>3.5999999999999996</v>
      </c>
      <c r="T214">
        <f t="shared" si="80"/>
        <v>5.9064807219032005E-2</v>
      </c>
      <c r="U214">
        <f t="shared" si="81"/>
        <v>-0.35459880923972736</v>
      </c>
      <c r="V214">
        <f t="shared" si="82"/>
        <v>1.34E-2</v>
      </c>
      <c r="W214">
        <v>0.1</v>
      </c>
      <c r="X214">
        <f t="shared" si="83"/>
        <v>0.13400000000000001</v>
      </c>
      <c r="Y214">
        <v>4</v>
      </c>
      <c r="Z214">
        <v>4</v>
      </c>
      <c r="AA214" t="s">
        <v>27</v>
      </c>
      <c r="AB214">
        <f t="shared" si="84"/>
        <v>1047.2363630050286</v>
      </c>
      <c r="AC214">
        <f t="shared" si="75"/>
        <v>1047.2363630050286</v>
      </c>
      <c r="AE214">
        <v>2</v>
      </c>
      <c r="AF214">
        <v>3</v>
      </c>
      <c r="AG214">
        <v>3</v>
      </c>
      <c r="AH214">
        <f t="shared" si="85"/>
        <v>276.30333125582587</v>
      </c>
      <c r="AI214">
        <f t="shared" si="76"/>
        <v>982.41184446515865</v>
      </c>
    </row>
    <row r="215" spans="1:36" x14ac:dyDescent="0.3">
      <c r="A215">
        <v>2021</v>
      </c>
      <c r="B215" t="s">
        <v>249</v>
      </c>
      <c r="C215" t="s">
        <v>315</v>
      </c>
      <c r="D215" t="s">
        <v>316</v>
      </c>
      <c r="E215" t="s">
        <v>317</v>
      </c>
      <c r="F215">
        <v>21.4</v>
      </c>
      <c r="K215" t="s">
        <v>75</v>
      </c>
      <c r="L215">
        <v>5000018</v>
      </c>
      <c r="M215">
        <v>152391</v>
      </c>
      <c r="N215">
        <v>6</v>
      </c>
      <c r="O215">
        <f t="shared" si="78"/>
        <v>1.3793103448275862E-2</v>
      </c>
      <c r="P215">
        <v>60</v>
      </c>
      <c r="Q215">
        <f t="shared" si="79"/>
        <v>1.3824884792626729E-2</v>
      </c>
      <c r="R215">
        <v>0.16</v>
      </c>
      <c r="S215">
        <f t="shared" si="86"/>
        <v>1.6</v>
      </c>
      <c r="T215">
        <f t="shared" si="80"/>
        <v>2.6251025430680894E-2</v>
      </c>
      <c r="U215">
        <f t="shared" si="81"/>
        <v>-5.908395257738798E-2</v>
      </c>
      <c r="V215">
        <f t="shared" si="82"/>
        <v>1.34E-2</v>
      </c>
      <c r="W215">
        <v>0.1</v>
      </c>
      <c r="X215">
        <f t="shared" si="83"/>
        <v>0.13400000000000001</v>
      </c>
      <c r="Y215">
        <v>4</v>
      </c>
      <c r="Z215">
        <v>3</v>
      </c>
      <c r="AA215" t="s">
        <v>27</v>
      </c>
      <c r="AB215">
        <f t="shared" si="84"/>
        <v>117.57550765359255</v>
      </c>
      <c r="AC215">
        <f t="shared" si="75"/>
        <v>156.76734353812341</v>
      </c>
      <c r="AE215">
        <v>2</v>
      </c>
      <c r="AF215">
        <v>2</v>
      </c>
      <c r="AG215">
        <v>2</v>
      </c>
      <c r="AH215">
        <f t="shared" si="85"/>
        <v>31.675084824574494</v>
      </c>
      <c r="AI215">
        <f t="shared" si="76"/>
        <v>253.40067859659595</v>
      </c>
    </row>
    <row r="216" spans="1:36" x14ac:dyDescent="0.3">
      <c r="A216">
        <v>2021</v>
      </c>
      <c r="B216" t="s">
        <v>249</v>
      </c>
      <c r="C216" t="s">
        <v>315</v>
      </c>
      <c r="D216" t="s">
        <v>316</v>
      </c>
      <c r="E216" t="s">
        <v>317</v>
      </c>
      <c r="F216">
        <v>21.4</v>
      </c>
      <c r="G216" t="s">
        <v>22</v>
      </c>
      <c r="H216" t="s">
        <v>67</v>
      </c>
      <c r="I216" t="s">
        <v>224</v>
      </c>
      <c r="J216" t="s">
        <v>225</v>
      </c>
      <c r="K216" t="s">
        <v>226</v>
      </c>
      <c r="L216">
        <v>227033</v>
      </c>
      <c r="M216">
        <v>130362</v>
      </c>
      <c r="N216">
        <v>2</v>
      </c>
      <c r="O216">
        <f t="shared" si="78"/>
        <v>4.5977011494252873E-3</v>
      </c>
      <c r="P216">
        <v>20</v>
      </c>
      <c r="Q216">
        <f t="shared" si="79"/>
        <v>4.608294930875576E-3</v>
      </c>
      <c r="R216">
        <v>0.05</v>
      </c>
      <c r="S216">
        <f t="shared" si="86"/>
        <v>0.5</v>
      </c>
      <c r="T216">
        <f t="shared" si="80"/>
        <v>8.2034454470877802E-3</v>
      </c>
      <c r="U216">
        <f t="shared" si="81"/>
        <v>-2.4745741841511442E-2</v>
      </c>
      <c r="V216">
        <f t="shared" si="82"/>
        <v>1.34E-2</v>
      </c>
      <c r="W216">
        <v>0.1</v>
      </c>
      <c r="X216">
        <f t="shared" si="83"/>
        <v>0.13400000000000001</v>
      </c>
      <c r="Y216">
        <v>4</v>
      </c>
      <c r="Z216">
        <v>3</v>
      </c>
      <c r="AA216" t="s">
        <v>27</v>
      </c>
      <c r="AB216">
        <f t="shared" si="84"/>
        <v>37.947331922020552</v>
      </c>
      <c r="AC216">
        <f t="shared" si="75"/>
        <v>50.596442562694072</v>
      </c>
      <c r="AE216">
        <v>3</v>
      </c>
      <c r="AF216">
        <v>2</v>
      </c>
      <c r="AG216">
        <v>1</v>
      </c>
      <c r="AH216">
        <f t="shared" si="85"/>
        <v>7.5446005780976115</v>
      </c>
      <c r="AI216">
        <f t="shared" si="76"/>
        <v>80.475739499707856</v>
      </c>
    </row>
    <row r="217" spans="1:36" x14ac:dyDescent="0.3">
      <c r="A217">
        <v>2021</v>
      </c>
      <c r="B217" t="s">
        <v>249</v>
      </c>
      <c r="C217" t="s">
        <v>315</v>
      </c>
      <c r="D217" t="s">
        <v>316</v>
      </c>
      <c r="E217" t="s">
        <v>317</v>
      </c>
      <c r="F217">
        <v>21.4</v>
      </c>
      <c r="G217" t="s">
        <v>22</v>
      </c>
      <c r="H217" t="s">
        <v>23</v>
      </c>
      <c r="I217" t="s">
        <v>24</v>
      </c>
      <c r="J217" t="s">
        <v>324</v>
      </c>
      <c r="K217" t="s">
        <v>325</v>
      </c>
      <c r="L217">
        <v>227213</v>
      </c>
      <c r="M217">
        <v>130238</v>
      </c>
      <c r="N217">
        <v>1</v>
      </c>
      <c r="O217">
        <f t="shared" si="78"/>
        <v>2.2988505747126436E-3</v>
      </c>
      <c r="P217">
        <v>10</v>
      </c>
      <c r="Q217">
        <f t="shared" si="79"/>
        <v>2.304147465437788E-3</v>
      </c>
      <c r="R217">
        <v>5.0000000000000001E-3</v>
      </c>
      <c r="S217">
        <f t="shared" si="86"/>
        <v>0.05</v>
      </c>
      <c r="T217">
        <f t="shared" si="80"/>
        <v>8.2034454470877795E-4</v>
      </c>
      <c r="U217">
        <f t="shared" si="81"/>
        <v>-1.39663127151464E-2</v>
      </c>
      <c r="V217">
        <f t="shared" si="82"/>
        <v>1.34E-2</v>
      </c>
      <c r="W217">
        <v>0.1</v>
      </c>
      <c r="X217">
        <f t="shared" si="83"/>
        <v>0.13400000000000001</v>
      </c>
      <c r="Y217">
        <v>4</v>
      </c>
      <c r="Z217">
        <v>3</v>
      </c>
      <c r="AA217" t="s">
        <v>27</v>
      </c>
      <c r="AB217">
        <f t="shared" si="84"/>
        <v>8.4852813742385695</v>
      </c>
      <c r="AC217">
        <f t="shared" si="75"/>
        <v>11.313708498984759</v>
      </c>
      <c r="AE217">
        <v>1.1499999999999999</v>
      </c>
      <c r="AF217">
        <v>2.5</v>
      </c>
      <c r="AG217">
        <v>2.75</v>
      </c>
      <c r="AH217">
        <f t="shared" si="85"/>
        <v>1.4866134102357154</v>
      </c>
      <c r="AI217">
        <f t="shared" si="76"/>
        <v>12.033929897876465</v>
      </c>
    </row>
    <row r="218" spans="1:36" x14ac:dyDescent="0.3">
      <c r="A218">
        <v>2021</v>
      </c>
      <c r="B218" t="s">
        <v>249</v>
      </c>
      <c r="C218" t="s">
        <v>315</v>
      </c>
      <c r="D218" t="s">
        <v>316</v>
      </c>
      <c r="E218" t="s">
        <v>317</v>
      </c>
      <c r="F218">
        <v>21.4</v>
      </c>
      <c r="G218" t="s">
        <v>79</v>
      </c>
      <c r="H218" t="s">
        <v>80</v>
      </c>
      <c r="I218" t="s">
        <v>81</v>
      </c>
      <c r="J218" t="s">
        <v>177</v>
      </c>
      <c r="K218" t="s">
        <v>178</v>
      </c>
      <c r="L218">
        <v>218350</v>
      </c>
      <c r="M218">
        <v>141662</v>
      </c>
      <c r="N218">
        <v>29</v>
      </c>
      <c r="O218">
        <f t="shared" si="78"/>
        <v>6.6666666666666666E-2</v>
      </c>
      <c r="P218">
        <v>290</v>
      </c>
      <c r="Q218">
        <f t="shared" si="79"/>
        <v>6.6820276497695855E-2</v>
      </c>
      <c r="R218">
        <v>0.14000000000000001</v>
      </c>
      <c r="S218">
        <f t="shared" si="86"/>
        <v>1.4000000000000001</v>
      </c>
      <c r="T218">
        <f t="shared" si="80"/>
        <v>2.2969647251845783E-2</v>
      </c>
      <c r="U218">
        <f t="shared" si="81"/>
        <v>-0.18053668007348067</v>
      </c>
      <c r="V218">
        <f t="shared" si="82"/>
        <v>1.34E-2</v>
      </c>
      <c r="W218">
        <v>0.1</v>
      </c>
      <c r="X218">
        <f t="shared" si="83"/>
        <v>0.13400000000000001</v>
      </c>
      <c r="Y218">
        <v>3</v>
      </c>
      <c r="Z218">
        <v>2</v>
      </c>
      <c r="AA218" t="s">
        <v>93</v>
      </c>
      <c r="AB218">
        <f t="shared" si="84"/>
        <v>120.89665007765932</v>
      </c>
      <c r="AC218">
        <f t="shared" si="75"/>
        <v>322.39106687375818</v>
      </c>
      <c r="AE218">
        <v>3</v>
      </c>
      <c r="AF218">
        <v>3</v>
      </c>
      <c r="AG218">
        <v>3</v>
      </c>
      <c r="AH218">
        <f t="shared" si="85"/>
        <v>143.40334786262781</v>
      </c>
      <c r="AI218">
        <f t="shared" si="76"/>
        <v>339.91904678548815</v>
      </c>
    </row>
    <row r="219" spans="1:36" x14ac:dyDescent="0.3">
      <c r="A219">
        <v>2021</v>
      </c>
      <c r="B219" t="s">
        <v>249</v>
      </c>
      <c r="C219" t="s">
        <v>315</v>
      </c>
      <c r="D219" t="s">
        <v>316</v>
      </c>
      <c r="E219" t="s">
        <v>317</v>
      </c>
      <c r="F219">
        <v>21.4</v>
      </c>
      <c r="G219" t="s">
        <v>22</v>
      </c>
      <c r="H219" t="s">
        <v>56</v>
      </c>
      <c r="I219" t="s">
        <v>90</v>
      </c>
      <c r="J219" t="s">
        <v>117</v>
      </c>
      <c r="K219" t="s">
        <v>118</v>
      </c>
      <c r="L219">
        <v>227496</v>
      </c>
      <c r="M219">
        <v>131573</v>
      </c>
      <c r="N219">
        <v>19</v>
      </c>
      <c r="O219">
        <f t="shared" si="78"/>
        <v>4.3678160919540229E-2</v>
      </c>
      <c r="P219">
        <v>190</v>
      </c>
      <c r="Q219">
        <f t="shared" si="79"/>
        <v>4.377880184331797E-2</v>
      </c>
      <c r="R219">
        <v>0.54</v>
      </c>
      <c r="S219">
        <f t="shared" si="86"/>
        <v>5.4</v>
      </c>
      <c r="T219">
        <f t="shared" si="80"/>
        <v>8.8597210828548018E-2</v>
      </c>
      <c r="U219">
        <f t="shared" si="81"/>
        <v>-0.13675226203798305</v>
      </c>
      <c r="V219">
        <f t="shared" si="82"/>
        <v>1.34E-2</v>
      </c>
      <c r="W219">
        <v>0.1</v>
      </c>
      <c r="X219">
        <f t="shared" si="83"/>
        <v>0.13400000000000001</v>
      </c>
      <c r="Y219">
        <v>3</v>
      </c>
      <c r="Z219">
        <v>1</v>
      </c>
      <c r="AA219" t="s">
        <v>93</v>
      </c>
      <c r="AB219">
        <f t="shared" si="84"/>
        <v>96.093704268281783</v>
      </c>
      <c r="AC219">
        <f t="shared" si="75"/>
        <v>512.49975609750288</v>
      </c>
      <c r="AE219">
        <v>3</v>
      </c>
      <c r="AF219">
        <v>3</v>
      </c>
      <c r="AG219">
        <v>1</v>
      </c>
      <c r="AH219">
        <f t="shared" si="85"/>
        <v>118.3657977724794</v>
      </c>
      <c r="AI219">
        <f t="shared" si="76"/>
        <v>841.71233971540903</v>
      </c>
    </row>
    <row r="220" spans="1:36" x14ac:dyDescent="0.3">
      <c r="A220">
        <v>2021</v>
      </c>
      <c r="B220" t="s">
        <v>249</v>
      </c>
      <c r="C220" t="s">
        <v>315</v>
      </c>
      <c r="D220" t="s">
        <v>316</v>
      </c>
      <c r="E220" t="s">
        <v>317</v>
      </c>
      <c r="F220">
        <v>21.4</v>
      </c>
      <c r="G220" t="s">
        <v>22</v>
      </c>
      <c r="H220" t="s">
        <v>56</v>
      </c>
      <c r="I220" t="s">
        <v>90</v>
      </c>
      <c r="J220" t="s">
        <v>282</v>
      </c>
      <c r="K220" t="s">
        <v>283</v>
      </c>
      <c r="L220">
        <v>227527</v>
      </c>
      <c r="M220">
        <v>154972</v>
      </c>
      <c r="N220">
        <v>1</v>
      </c>
      <c r="O220">
        <f t="shared" si="78"/>
        <v>2.2988505747126436E-3</v>
      </c>
      <c r="P220">
        <v>10</v>
      </c>
      <c r="Q220">
        <f t="shared" si="79"/>
        <v>2.304147465437788E-3</v>
      </c>
      <c r="R220">
        <v>0.01</v>
      </c>
      <c r="S220">
        <f t="shared" si="86"/>
        <v>0.1</v>
      </c>
      <c r="T220">
        <f t="shared" si="80"/>
        <v>1.6406890894175559E-3</v>
      </c>
      <c r="U220">
        <f t="shared" si="81"/>
        <v>-1.39663127151464E-2</v>
      </c>
      <c r="V220">
        <f t="shared" si="82"/>
        <v>1.34E-2</v>
      </c>
      <c r="W220">
        <v>0.1</v>
      </c>
      <c r="X220">
        <f t="shared" si="83"/>
        <v>0.13400000000000001</v>
      </c>
      <c r="Y220">
        <v>3</v>
      </c>
      <c r="Z220">
        <v>1</v>
      </c>
      <c r="AA220" t="s">
        <v>93</v>
      </c>
      <c r="AB220">
        <f t="shared" si="84"/>
        <v>3</v>
      </c>
      <c r="AC220">
        <f t="shared" si="75"/>
        <v>16</v>
      </c>
      <c r="AE220">
        <v>1.5</v>
      </c>
      <c r="AF220">
        <v>2.5</v>
      </c>
      <c r="AG220">
        <v>2.5</v>
      </c>
      <c r="AH220">
        <f t="shared" si="85"/>
        <v>2.9646353064078563</v>
      </c>
      <c r="AI220">
        <f t="shared" si="76"/>
        <v>20.238577025077632</v>
      </c>
    </row>
    <row r="221" spans="1:36" x14ac:dyDescent="0.3">
      <c r="A221">
        <v>2021</v>
      </c>
      <c r="B221" t="s">
        <v>249</v>
      </c>
      <c r="C221" t="s">
        <v>315</v>
      </c>
      <c r="D221" t="s">
        <v>316</v>
      </c>
      <c r="E221" t="s">
        <v>317</v>
      </c>
      <c r="F221">
        <v>21.4</v>
      </c>
      <c r="G221" t="s">
        <v>22</v>
      </c>
      <c r="H221" t="s">
        <v>135</v>
      </c>
      <c r="I221" t="s">
        <v>142</v>
      </c>
      <c r="J221" t="s">
        <v>143</v>
      </c>
      <c r="K221" t="s">
        <v>144</v>
      </c>
      <c r="L221">
        <v>227556</v>
      </c>
      <c r="M221">
        <v>146950</v>
      </c>
      <c r="N221">
        <v>2</v>
      </c>
      <c r="O221">
        <f t="shared" si="78"/>
        <v>4.5977011494252873E-3</v>
      </c>
      <c r="P221">
        <v>20</v>
      </c>
      <c r="Q221">
        <f t="shared" si="79"/>
        <v>4.608294930875576E-3</v>
      </c>
      <c r="R221">
        <v>5.0000000000000001E-3</v>
      </c>
      <c r="S221">
        <f t="shared" si="86"/>
        <v>0.05</v>
      </c>
      <c r="T221">
        <f t="shared" si="80"/>
        <v>8.2034454470877795E-4</v>
      </c>
      <c r="U221">
        <f t="shared" si="81"/>
        <v>-2.4745741841511442E-2</v>
      </c>
      <c r="V221">
        <f t="shared" si="82"/>
        <v>1.34E-2</v>
      </c>
      <c r="W221">
        <v>0.1</v>
      </c>
      <c r="X221">
        <f t="shared" si="83"/>
        <v>0.13400000000000001</v>
      </c>
      <c r="Y221">
        <v>3</v>
      </c>
      <c r="Z221">
        <v>1</v>
      </c>
      <c r="AA221" t="s">
        <v>93</v>
      </c>
      <c r="AB221">
        <f t="shared" si="84"/>
        <v>3</v>
      </c>
      <c r="AC221">
        <f t="shared" si="75"/>
        <v>16</v>
      </c>
      <c r="AE221">
        <v>3</v>
      </c>
      <c r="AF221">
        <v>3</v>
      </c>
      <c r="AG221">
        <v>1</v>
      </c>
      <c r="AH221">
        <f t="shared" si="85"/>
        <v>2.0124611797498106</v>
      </c>
      <c r="AI221">
        <f t="shared" si="76"/>
        <v>14.310835055998654</v>
      </c>
    </row>
    <row r="222" spans="1:36" x14ac:dyDescent="0.3">
      <c r="A222">
        <v>2021</v>
      </c>
      <c r="B222" t="s">
        <v>249</v>
      </c>
      <c r="C222" t="s">
        <v>315</v>
      </c>
      <c r="D222" t="s">
        <v>316</v>
      </c>
      <c r="E222" t="s">
        <v>317</v>
      </c>
      <c r="F222">
        <v>21.4</v>
      </c>
      <c r="G222" t="s">
        <v>79</v>
      </c>
      <c r="H222" t="s">
        <v>113</v>
      </c>
      <c r="I222" t="s">
        <v>114</v>
      </c>
      <c r="J222" t="s">
        <v>191</v>
      </c>
      <c r="K222" t="s">
        <v>192</v>
      </c>
      <c r="L222">
        <v>218286</v>
      </c>
      <c r="M222">
        <v>345281</v>
      </c>
      <c r="N222">
        <v>49</v>
      </c>
      <c r="O222">
        <f t="shared" si="78"/>
        <v>0.11264367816091954</v>
      </c>
      <c r="P222">
        <v>490</v>
      </c>
      <c r="Q222">
        <f t="shared" si="79"/>
        <v>0.11290322580645161</v>
      </c>
      <c r="R222">
        <v>0.1</v>
      </c>
      <c r="S222">
        <f t="shared" si="86"/>
        <v>1</v>
      </c>
      <c r="T222">
        <f t="shared" si="80"/>
        <v>1.640689089417556E-2</v>
      </c>
      <c r="U222">
        <f t="shared" si="81"/>
        <v>-0.24596036992166623</v>
      </c>
      <c r="V222">
        <f t="shared" si="82"/>
        <v>1.34E-2</v>
      </c>
      <c r="W222">
        <v>0.1</v>
      </c>
      <c r="X222">
        <f t="shared" si="83"/>
        <v>0.13400000000000001</v>
      </c>
      <c r="Y222">
        <v>2</v>
      </c>
      <c r="Z222">
        <v>2</v>
      </c>
      <c r="AA222" t="s">
        <v>50</v>
      </c>
      <c r="AB222">
        <f t="shared" si="84"/>
        <v>88.543774484714632</v>
      </c>
      <c r="AC222">
        <f t="shared" si="75"/>
        <v>354.17509793885853</v>
      </c>
      <c r="AE222">
        <v>2</v>
      </c>
      <c r="AF222">
        <v>4</v>
      </c>
      <c r="AG222">
        <v>3</v>
      </c>
      <c r="AH222">
        <f t="shared" si="85"/>
        <v>112.9172419331916</v>
      </c>
      <c r="AI222">
        <f t="shared" si="76"/>
        <v>301.11264515517763</v>
      </c>
    </row>
    <row r="223" spans="1:36" x14ac:dyDescent="0.3">
      <c r="A223">
        <v>2021</v>
      </c>
      <c r="B223" t="s">
        <v>249</v>
      </c>
      <c r="C223" t="s">
        <v>315</v>
      </c>
      <c r="D223" t="s">
        <v>316</v>
      </c>
      <c r="E223" t="s">
        <v>317</v>
      </c>
      <c r="F223">
        <v>21.4</v>
      </c>
      <c r="G223" t="s">
        <v>79</v>
      </c>
      <c r="H223" t="s">
        <v>245</v>
      </c>
      <c r="I223" t="s">
        <v>246</v>
      </c>
      <c r="J223" t="s">
        <v>247</v>
      </c>
      <c r="K223" t="s">
        <v>248</v>
      </c>
      <c r="L223">
        <v>218231</v>
      </c>
      <c r="M223">
        <v>140589</v>
      </c>
      <c r="N223">
        <v>20</v>
      </c>
      <c r="O223">
        <f t="shared" si="78"/>
        <v>4.5977011494252873E-2</v>
      </c>
      <c r="P223">
        <v>200</v>
      </c>
      <c r="Q223">
        <f t="shared" si="79"/>
        <v>4.6082949308755762E-2</v>
      </c>
      <c r="R223">
        <v>0.18</v>
      </c>
      <c r="S223">
        <f t="shared" si="86"/>
        <v>1.7999999999999998</v>
      </c>
      <c r="T223">
        <f t="shared" si="80"/>
        <v>2.9532403609516002E-2</v>
      </c>
      <c r="U223">
        <f t="shared" si="81"/>
        <v>-0.14159143712803185</v>
      </c>
      <c r="V223">
        <f t="shared" si="82"/>
        <v>1.34E-2</v>
      </c>
      <c r="W223">
        <v>0.1</v>
      </c>
      <c r="X223">
        <f t="shared" si="83"/>
        <v>0.13400000000000001</v>
      </c>
      <c r="Y223">
        <v>2</v>
      </c>
      <c r="Z223">
        <v>3</v>
      </c>
      <c r="AA223" t="s">
        <v>50</v>
      </c>
      <c r="AB223">
        <f t="shared" si="84"/>
        <v>113.84199576606166</v>
      </c>
      <c r="AC223">
        <f t="shared" si="75"/>
        <v>303.57865537616442</v>
      </c>
      <c r="AE223">
        <v>3</v>
      </c>
      <c r="AF223">
        <v>3</v>
      </c>
      <c r="AG223">
        <v>1</v>
      </c>
      <c r="AH223">
        <f t="shared" si="85"/>
        <v>52.596202306966035</v>
      </c>
      <c r="AI223">
        <f t="shared" si="76"/>
        <v>374.01743862731405</v>
      </c>
    </row>
    <row r="224" spans="1:36" x14ac:dyDescent="0.3">
      <c r="A224">
        <v>2021</v>
      </c>
      <c r="B224" t="s">
        <v>249</v>
      </c>
      <c r="C224" t="s">
        <v>315</v>
      </c>
      <c r="D224" t="s">
        <v>316</v>
      </c>
      <c r="E224" t="s">
        <v>317</v>
      </c>
      <c r="F224">
        <v>21.4</v>
      </c>
      <c r="I224" t="s">
        <v>230</v>
      </c>
      <c r="J224" t="s">
        <v>231</v>
      </c>
      <c r="K224" t="s">
        <v>232</v>
      </c>
      <c r="L224">
        <v>233581</v>
      </c>
      <c r="M224">
        <v>128549</v>
      </c>
      <c r="N224">
        <v>13</v>
      </c>
      <c r="O224">
        <f t="shared" si="78"/>
        <v>2.9885057471264367E-2</v>
      </c>
      <c r="P224">
        <v>130</v>
      </c>
      <c r="Q224">
        <f t="shared" si="79"/>
        <v>2.9953917050691243E-2</v>
      </c>
      <c r="R224">
        <v>0.34</v>
      </c>
      <c r="S224">
        <f t="shared" si="86"/>
        <v>3.4000000000000004</v>
      </c>
      <c r="T224">
        <f t="shared" si="80"/>
        <v>5.5783429040196904E-2</v>
      </c>
      <c r="U224">
        <f t="shared" si="81"/>
        <v>-0.10490840633828256</v>
      </c>
      <c r="V224">
        <f t="shared" si="82"/>
        <v>1.34E-2</v>
      </c>
      <c r="W224">
        <v>0.1</v>
      </c>
      <c r="X224">
        <f t="shared" si="83"/>
        <v>0.13400000000000001</v>
      </c>
      <c r="Y224">
        <v>2</v>
      </c>
      <c r="Z224">
        <v>1</v>
      </c>
      <c r="AA224" t="s">
        <v>50</v>
      </c>
      <c r="AB224">
        <f t="shared" si="84"/>
        <v>42.047592083257278</v>
      </c>
      <c r="AC224">
        <f t="shared" si="75"/>
        <v>336.38073666605823</v>
      </c>
      <c r="AE224">
        <v>3</v>
      </c>
      <c r="AF224">
        <v>2</v>
      </c>
      <c r="AG224">
        <v>1</v>
      </c>
      <c r="AH224">
        <f t="shared" si="85"/>
        <v>50.727829004357631</v>
      </c>
      <c r="AI224">
        <f t="shared" si="76"/>
        <v>541.09684271314802</v>
      </c>
    </row>
    <row r="225" spans="1:35" x14ac:dyDescent="0.3">
      <c r="A225">
        <v>2021</v>
      </c>
      <c r="B225" t="s">
        <v>249</v>
      </c>
      <c r="C225" t="s">
        <v>315</v>
      </c>
      <c r="D225" t="s">
        <v>316</v>
      </c>
      <c r="E225" t="s">
        <v>317</v>
      </c>
      <c r="F225">
        <v>21.4</v>
      </c>
      <c r="G225" t="s">
        <v>79</v>
      </c>
      <c r="H225" t="s">
        <v>215</v>
      </c>
      <c r="I225" t="s">
        <v>216</v>
      </c>
      <c r="J225" t="s">
        <v>217</v>
      </c>
      <c r="K225" t="s">
        <v>218</v>
      </c>
      <c r="L225">
        <v>218266</v>
      </c>
      <c r="M225">
        <v>139410</v>
      </c>
      <c r="N225">
        <v>14</v>
      </c>
      <c r="O225">
        <f t="shared" si="78"/>
        <v>3.2183908045977011E-2</v>
      </c>
      <c r="P225">
        <v>140</v>
      </c>
      <c r="Q225">
        <f t="shared" si="79"/>
        <v>3.2258064516129031E-2</v>
      </c>
      <c r="R225">
        <v>0.16</v>
      </c>
      <c r="S225">
        <f t="shared" si="86"/>
        <v>1.6</v>
      </c>
      <c r="T225">
        <f t="shared" si="80"/>
        <v>2.6251025430680894E-2</v>
      </c>
      <c r="U225">
        <f t="shared" si="81"/>
        <v>-0.11059319958765047</v>
      </c>
      <c r="V225">
        <f t="shared" si="82"/>
        <v>1.34E-2</v>
      </c>
      <c r="W225">
        <v>0.1</v>
      </c>
      <c r="X225">
        <f t="shared" si="83"/>
        <v>0.13400000000000001</v>
      </c>
      <c r="Y225">
        <v>2</v>
      </c>
      <c r="Z225">
        <v>2</v>
      </c>
      <c r="AA225" t="s">
        <v>50</v>
      </c>
      <c r="AB225">
        <f t="shared" si="84"/>
        <v>59.866518188383061</v>
      </c>
      <c r="AC225">
        <f t="shared" si="75"/>
        <v>239.46607275353225</v>
      </c>
      <c r="AE225">
        <v>2.5</v>
      </c>
      <c r="AF225">
        <v>1</v>
      </c>
      <c r="AG225">
        <v>2</v>
      </c>
      <c r="AH225">
        <f t="shared" si="85"/>
        <v>24.467635396250088</v>
      </c>
      <c r="AI225">
        <f t="shared" si="76"/>
        <v>313.18573307200114</v>
      </c>
    </row>
    <row r="226" spans="1:35" x14ac:dyDescent="0.3">
      <c r="A226">
        <v>2021</v>
      </c>
      <c r="B226" t="s">
        <v>249</v>
      </c>
      <c r="C226" t="s">
        <v>315</v>
      </c>
      <c r="D226" t="s">
        <v>316</v>
      </c>
      <c r="E226" t="s">
        <v>317</v>
      </c>
      <c r="F226">
        <v>21.4</v>
      </c>
      <c r="G226" t="s">
        <v>79</v>
      </c>
      <c r="H226" t="s">
        <v>113</v>
      </c>
      <c r="I226" t="s">
        <v>123</v>
      </c>
      <c r="J226" t="s">
        <v>124</v>
      </c>
      <c r="K226" t="s">
        <v>125</v>
      </c>
      <c r="L226">
        <v>218310</v>
      </c>
      <c r="M226">
        <v>141435</v>
      </c>
      <c r="N226">
        <v>51</v>
      </c>
      <c r="O226">
        <f t="shared" si="78"/>
        <v>0.11724137931034483</v>
      </c>
      <c r="P226">
        <v>510</v>
      </c>
      <c r="Q226">
        <f t="shared" si="79"/>
        <v>0.11751152073732719</v>
      </c>
      <c r="R226">
        <v>0.34</v>
      </c>
      <c r="S226">
        <f t="shared" si="86"/>
        <v>3.4000000000000004</v>
      </c>
      <c r="T226">
        <f t="shared" si="80"/>
        <v>5.5783429040196904E-2</v>
      </c>
      <c r="U226">
        <f t="shared" si="81"/>
        <v>-0.25130928808409719</v>
      </c>
      <c r="V226">
        <f t="shared" si="82"/>
        <v>1.34E-2</v>
      </c>
      <c r="W226">
        <v>0.1</v>
      </c>
      <c r="X226">
        <f t="shared" si="83"/>
        <v>0.13400000000000001</v>
      </c>
      <c r="Y226">
        <v>2</v>
      </c>
      <c r="Z226">
        <v>2</v>
      </c>
      <c r="AA226" t="s">
        <v>50</v>
      </c>
      <c r="AB226">
        <f t="shared" si="84"/>
        <v>166.56530250925613</v>
      </c>
      <c r="AC226">
        <f t="shared" si="75"/>
        <v>666.26121003702451</v>
      </c>
      <c r="AE226">
        <v>1</v>
      </c>
      <c r="AF226">
        <v>1</v>
      </c>
      <c r="AG226">
        <v>2</v>
      </c>
      <c r="AH226">
        <f t="shared" si="85"/>
        <v>23.797521478747971</v>
      </c>
      <c r="AI226">
        <f t="shared" si="76"/>
        <v>761.52068731993506</v>
      </c>
    </row>
    <row r="227" spans="1:35" x14ac:dyDescent="0.3">
      <c r="A227">
        <v>2021</v>
      </c>
      <c r="B227" t="s">
        <v>249</v>
      </c>
      <c r="C227" t="s">
        <v>315</v>
      </c>
      <c r="D227" t="s">
        <v>316</v>
      </c>
      <c r="E227" t="s">
        <v>317</v>
      </c>
      <c r="F227">
        <v>21.4</v>
      </c>
      <c r="K227" t="s">
        <v>330</v>
      </c>
      <c r="L227">
        <v>5000007</v>
      </c>
      <c r="M227">
        <v>793</v>
      </c>
      <c r="N227">
        <v>2</v>
      </c>
      <c r="O227">
        <f t="shared" si="78"/>
        <v>4.5977011494252873E-3</v>
      </c>
      <c r="P227">
        <v>20</v>
      </c>
      <c r="Q227">
        <f t="shared" si="79"/>
        <v>4.608294930875576E-3</v>
      </c>
      <c r="R227">
        <v>0.16</v>
      </c>
      <c r="S227">
        <f t="shared" si="86"/>
        <v>1.6</v>
      </c>
      <c r="T227">
        <f t="shared" si="80"/>
        <v>2.6251025430680894E-2</v>
      </c>
      <c r="U227">
        <f t="shared" si="81"/>
        <v>-2.4745741841511442E-2</v>
      </c>
      <c r="V227">
        <f t="shared" si="82"/>
        <v>1.34E-2</v>
      </c>
      <c r="W227">
        <v>0.1</v>
      </c>
      <c r="X227">
        <f t="shared" si="83"/>
        <v>0.13400000000000001</v>
      </c>
      <c r="Y227">
        <v>2</v>
      </c>
      <c r="Z227">
        <v>2</v>
      </c>
      <c r="AA227" t="s">
        <v>50</v>
      </c>
      <c r="AB227">
        <f t="shared" si="84"/>
        <v>22.627416997969519</v>
      </c>
      <c r="AC227">
        <f t="shared" si="75"/>
        <v>90.509667991878075</v>
      </c>
      <c r="AE227">
        <v>1.58</v>
      </c>
      <c r="AF227">
        <v>2</v>
      </c>
      <c r="AG227">
        <v>2.5</v>
      </c>
      <c r="AH227">
        <f t="shared" si="85"/>
        <v>23.767011548306005</v>
      </c>
      <c r="AI227">
        <f t="shared" si="76"/>
        <v>192.54287836602333</v>
      </c>
    </row>
    <row r="228" spans="1:35" x14ac:dyDescent="0.3">
      <c r="A228">
        <v>2021</v>
      </c>
      <c r="B228" t="s">
        <v>249</v>
      </c>
      <c r="C228" t="s">
        <v>315</v>
      </c>
      <c r="D228" t="s">
        <v>316</v>
      </c>
      <c r="E228" t="s">
        <v>317</v>
      </c>
      <c r="F228">
        <v>21.4</v>
      </c>
      <c r="G228" t="s">
        <v>45</v>
      </c>
      <c r="H228" t="s">
        <v>46</v>
      </c>
      <c r="I228" t="s">
        <v>47</v>
      </c>
      <c r="J228" t="s">
        <v>48</v>
      </c>
      <c r="K228" t="s">
        <v>49</v>
      </c>
      <c r="L228">
        <v>218099</v>
      </c>
      <c r="M228">
        <v>139476</v>
      </c>
      <c r="N228">
        <v>5</v>
      </c>
      <c r="O228">
        <f t="shared" si="78"/>
        <v>1.1494252873563218E-2</v>
      </c>
      <c r="P228">
        <v>50</v>
      </c>
      <c r="Q228">
        <f t="shared" si="79"/>
        <v>1.1520737327188941E-2</v>
      </c>
      <c r="R228">
        <v>0.03</v>
      </c>
      <c r="S228">
        <f t="shared" si="86"/>
        <v>0.3</v>
      </c>
      <c r="T228">
        <f t="shared" si="80"/>
        <v>4.9220672682526671E-3</v>
      </c>
      <c r="U228">
        <f t="shared" si="81"/>
        <v>-5.1332277225914755E-2</v>
      </c>
      <c r="V228">
        <f t="shared" si="82"/>
        <v>1.34E-2</v>
      </c>
      <c r="W228">
        <v>0.1</v>
      </c>
      <c r="X228">
        <f t="shared" si="83"/>
        <v>0.13400000000000001</v>
      </c>
      <c r="Y228">
        <v>2</v>
      </c>
      <c r="Z228">
        <v>3</v>
      </c>
      <c r="AA228" t="s">
        <v>50</v>
      </c>
      <c r="AB228">
        <f t="shared" si="84"/>
        <v>23.237900077244504</v>
      </c>
      <c r="AC228">
        <f t="shared" si="75"/>
        <v>61.967733539318672</v>
      </c>
      <c r="AE228">
        <v>3</v>
      </c>
      <c r="AF228">
        <v>2</v>
      </c>
      <c r="AG228">
        <v>2</v>
      </c>
      <c r="AH228">
        <f t="shared" si="85"/>
        <v>12.934948030671029</v>
      </c>
      <c r="AI228">
        <f t="shared" si="76"/>
        <v>68.986389496912153</v>
      </c>
    </row>
    <row r="229" spans="1:35" x14ac:dyDescent="0.3">
      <c r="A229">
        <v>2021</v>
      </c>
      <c r="B229" t="s">
        <v>249</v>
      </c>
      <c r="C229" t="s">
        <v>315</v>
      </c>
      <c r="D229" t="s">
        <v>316</v>
      </c>
      <c r="E229" t="s">
        <v>317</v>
      </c>
      <c r="F229">
        <v>21.4</v>
      </c>
      <c r="G229" t="s">
        <v>22</v>
      </c>
      <c r="H229" t="s">
        <v>56</v>
      </c>
      <c r="I229" t="s">
        <v>132</v>
      </c>
      <c r="J229" t="s">
        <v>133</v>
      </c>
      <c r="K229" t="s">
        <v>134</v>
      </c>
      <c r="L229">
        <v>227416</v>
      </c>
      <c r="M229">
        <v>129955</v>
      </c>
      <c r="N229">
        <v>2</v>
      </c>
      <c r="O229">
        <f t="shared" si="78"/>
        <v>4.5977011494252873E-3</v>
      </c>
      <c r="P229">
        <v>20</v>
      </c>
      <c r="Q229">
        <f t="shared" si="79"/>
        <v>4.608294930875576E-3</v>
      </c>
      <c r="R229">
        <v>0.01</v>
      </c>
      <c r="S229">
        <f t="shared" si="86"/>
        <v>0.1</v>
      </c>
      <c r="T229">
        <f t="shared" si="80"/>
        <v>1.6406890894175559E-3</v>
      </c>
      <c r="U229">
        <f t="shared" si="81"/>
        <v>-2.4745741841511442E-2</v>
      </c>
      <c r="V229">
        <f t="shared" si="82"/>
        <v>1.34E-2</v>
      </c>
      <c r="W229">
        <v>0.1</v>
      </c>
      <c r="X229">
        <f t="shared" si="83"/>
        <v>0.13400000000000001</v>
      </c>
      <c r="Y229">
        <v>2</v>
      </c>
      <c r="Z229">
        <v>2</v>
      </c>
      <c r="AA229" t="s">
        <v>50</v>
      </c>
      <c r="AB229">
        <f t="shared" si="84"/>
        <v>5.6568542494923797</v>
      </c>
      <c r="AC229">
        <f t="shared" si="75"/>
        <v>22.627416997969519</v>
      </c>
      <c r="AE229">
        <v>3</v>
      </c>
      <c r="AF229">
        <v>3</v>
      </c>
      <c r="AG229">
        <v>2</v>
      </c>
      <c r="AH229">
        <f t="shared" si="85"/>
        <v>6.7690855675555124</v>
      </c>
      <c r="AI229">
        <f t="shared" si="76"/>
        <v>24.067859795752931</v>
      </c>
    </row>
    <row r="230" spans="1:35" x14ac:dyDescent="0.3">
      <c r="A230">
        <v>2021</v>
      </c>
      <c r="B230" t="s">
        <v>249</v>
      </c>
      <c r="C230" t="s">
        <v>315</v>
      </c>
      <c r="D230" t="s">
        <v>316</v>
      </c>
      <c r="E230" t="s">
        <v>317</v>
      </c>
      <c r="F230">
        <v>21.4</v>
      </c>
      <c r="G230" t="s">
        <v>28</v>
      </c>
      <c r="H230" t="s">
        <v>29</v>
      </c>
      <c r="I230" t="s">
        <v>279</v>
      </c>
      <c r="J230" t="s">
        <v>280</v>
      </c>
      <c r="K230" t="s">
        <v>304</v>
      </c>
      <c r="L230">
        <v>217706</v>
      </c>
      <c r="M230">
        <v>124913</v>
      </c>
      <c r="N230">
        <v>1</v>
      </c>
      <c r="O230">
        <f t="shared" si="78"/>
        <v>2.2988505747126436E-3</v>
      </c>
      <c r="P230">
        <v>10</v>
      </c>
      <c r="Q230">
        <f t="shared" si="79"/>
        <v>2.304147465437788E-3</v>
      </c>
      <c r="R230">
        <v>0.13</v>
      </c>
      <c r="S230">
        <f t="shared" si="86"/>
        <v>1.3</v>
      </c>
      <c r="T230">
        <f t="shared" si="80"/>
        <v>2.1328958162428226E-2</v>
      </c>
      <c r="U230">
        <f t="shared" si="81"/>
        <v>-1.39663127151464E-2</v>
      </c>
      <c r="V230">
        <f t="shared" si="82"/>
        <v>1.34E-2</v>
      </c>
      <c r="W230">
        <v>0.1</v>
      </c>
      <c r="X230">
        <f t="shared" si="83"/>
        <v>0.13400000000000001</v>
      </c>
      <c r="Y230">
        <v>2</v>
      </c>
      <c r="Z230">
        <v>2</v>
      </c>
      <c r="AA230" t="s">
        <v>50</v>
      </c>
      <c r="AB230">
        <f t="shared" si="84"/>
        <v>14.422205101855958</v>
      </c>
      <c r="AC230">
        <f t="shared" si="75"/>
        <v>57.688820407423833</v>
      </c>
      <c r="AE230">
        <v>1</v>
      </c>
      <c r="AF230">
        <v>3</v>
      </c>
      <c r="AG230">
        <v>1</v>
      </c>
      <c r="AH230">
        <f t="shared" si="85"/>
        <v>6.4949942203922468</v>
      </c>
      <c r="AI230">
        <f t="shared" si="76"/>
        <v>138.55987670170126</v>
      </c>
    </row>
    <row r="231" spans="1:35" x14ac:dyDescent="0.3">
      <c r="A231">
        <v>2021</v>
      </c>
      <c r="B231" t="s">
        <v>249</v>
      </c>
      <c r="C231" t="s">
        <v>315</v>
      </c>
      <c r="D231" t="s">
        <v>316</v>
      </c>
      <c r="E231" t="s">
        <v>317</v>
      </c>
      <c r="F231">
        <v>21.4</v>
      </c>
      <c r="G231" t="s">
        <v>319</v>
      </c>
      <c r="H231" t="s">
        <v>320</v>
      </c>
      <c r="I231" t="s">
        <v>321</v>
      </c>
      <c r="J231" t="s">
        <v>322</v>
      </c>
      <c r="K231" t="s">
        <v>323</v>
      </c>
      <c r="L231">
        <v>217738</v>
      </c>
      <c r="M231">
        <v>124635</v>
      </c>
      <c r="N231">
        <v>2</v>
      </c>
      <c r="O231">
        <f t="shared" si="78"/>
        <v>4.5977011494252873E-3</v>
      </c>
      <c r="P231">
        <v>20</v>
      </c>
      <c r="Q231">
        <f t="shared" si="79"/>
        <v>4.608294930875576E-3</v>
      </c>
      <c r="R231">
        <v>0.3</v>
      </c>
      <c r="S231">
        <f t="shared" si="86"/>
        <v>3</v>
      </c>
      <c r="T231">
        <f t="shared" si="80"/>
        <v>4.9220672682526674E-2</v>
      </c>
      <c r="U231">
        <f t="shared" si="81"/>
        <v>-2.4745741841511442E-2</v>
      </c>
      <c r="V231">
        <f t="shared" si="82"/>
        <v>1.34E-2</v>
      </c>
      <c r="W231">
        <v>0.1</v>
      </c>
      <c r="X231">
        <f t="shared" si="83"/>
        <v>0.13400000000000001</v>
      </c>
      <c r="Y231">
        <v>2</v>
      </c>
      <c r="Z231">
        <v>3</v>
      </c>
      <c r="AA231" t="s">
        <v>50</v>
      </c>
      <c r="AB231">
        <f t="shared" si="84"/>
        <v>46.475800154489008</v>
      </c>
      <c r="AC231">
        <f t="shared" si="75"/>
        <v>123.93546707863734</v>
      </c>
      <c r="AE231">
        <v>1</v>
      </c>
      <c r="AF231">
        <v>1</v>
      </c>
      <c r="AG231">
        <v>1</v>
      </c>
      <c r="AH231">
        <f t="shared" si="85"/>
        <v>4.8205705136679109</v>
      </c>
      <c r="AI231">
        <f t="shared" si="76"/>
        <v>308.5165128747463</v>
      </c>
    </row>
    <row r="232" spans="1:35" x14ac:dyDescent="0.3">
      <c r="A232">
        <v>2021</v>
      </c>
      <c r="B232" t="s">
        <v>249</v>
      </c>
      <c r="C232" t="s">
        <v>315</v>
      </c>
      <c r="D232" t="s">
        <v>316</v>
      </c>
      <c r="E232" t="s">
        <v>317</v>
      </c>
      <c r="F232">
        <v>21.4</v>
      </c>
      <c r="I232" t="s">
        <v>233</v>
      </c>
      <c r="J232" t="s">
        <v>234</v>
      </c>
      <c r="K232" t="s">
        <v>235</v>
      </c>
      <c r="L232">
        <v>233593</v>
      </c>
      <c r="M232">
        <v>101160</v>
      </c>
      <c r="N232">
        <v>2</v>
      </c>
      <c r="O232">
        <f t="shared" si="78"/>
        <v>4.5977011494252873E-3</v>
      </c>
      <c r="P232">
        <v>20</v>
      </c>
      <c r="Q232">
        <f t="shared" si="79"/>
        <v>4.608294930875576E-3</v>
      </c>
      <c r="R232">
        <v>0.03</v>
      </c>
      <c r="S232">
        <f t="shared" si="86"/>
        <v>0.3</v>
      </c>
      <c r="T232">
        <f t="shared" si="80"/>
        <v>4.9220672682526671E-3</v>
      </c>
      <c r="U232">
        <f t="shared" si="81"/>
        <v>-2.4745741841511442E-2</v>
      </c>
      <c r="V232">
        <f t="shared" si="82"/>
        <v>1.34E-2</v>
      </c>
      <c r="W232">
        <v>0.1</v>
      </c>
      <c r="X232">
        <f t="shared" si="83"/>
        <v>0.13400000000000001</v>
      </c>
      <c r="Y232">
        <v>3</v>
      </c>
      <c r="Z232">
        <v>2</v>
      </c>
      <c r="AA232" t="s">
        <v>50</v>
      </c>
      <c r="AB232">
        <f t="shared" si="84"/>
        <v>14.696938456699067</v>
      </c>
      <c r="AC232">
        <f t="shared" si="75"/>
        <v>39.191835884530846</v>
      </c>
      <c r="AE232">
        <v>2.5</v>
      </c>
      <c r="AF232">
        <v>2</v>
      </c>
      <c r="AG232">
        <v>1</v>
      </c>
      <c r="AH232">
        <f t="shared" si="85"/>
        <v>4.2861606445481977</v>
      </c>
      <c r="AI232">
        <f t="shared" si="76"/>
        <v>54.862856250216929</v>
      </c>
    </row>
    <row r="233" spans="1:35" x14ac:dyDescent="0.3">
      <c r="A233">
        <v>2021</v>
      </c>
      <c r="B233" t="s">
        <v>249</v>
      </c>
      <c r="C233" t="s">
        <v>315</v>
      </c>
      <c r="D233" t="s">
        <v>316</v>
      </c>
      <c r="E233" t="s">
        <v>317</v>
      </c>
      <c r="F233">
        <v>21.4</v>
      </c>
      <c r="G233" t="s">
        <v>45</v>
      </c>
      <c r="H233" t="s">
        <v>46</v>
      </c>
      <c r="I233" t="s">
        <v>327</v>
      </c>
      <c r="J233" t="s">
        <v>328</v>
      </c>
      <c r="K233" t="s">
        <v>329</v>
      </c>
      <c r="L233">
        <v>218107</v>
      </c>
      <c r="M233">
        <v>574582</v>
      </c>
      <c r="N233">
        <v>1</v>
      </c>
      <c r="O233">
        <f t="shared" si="78"/>
        <v>2.2988505747126436E-3</v>
      </c>
      <c r="P233">
        <v>10</v>
      </c>
      <c r="Q233">
        <f t="shared" si="79"/>
        <v>2.304147465437788E-3</v>
      </c>
      <c r="R233">
        <v>0.05</v>
      </c>
      <c r="S233">
        <f t="shared" si="86"/>
        <v>0.5</v>
      </c>
      <c r="T233">
        <f t="shared" si="80"/>
        <v>8.2034454470877802E-3</v>
      </c>
      <c r="U233">
        <f t="shared" si="81"/>
        <v>-1.39663127151464E-2</v>
      </c>
      <c r="V233">
        <f t="shared" si="82"/>
        <v>1.34E-2</v>
      </c>
      <c r="W233">
        <v>0.1</v>
      </c>
      <c r="X233">
        <f t="shared" si="83"/>
        <v>0.13400000000000001</v>
      </c>
      <c r="Y233">
        <v>2</v>
      </c>
      <c r="Z233">
        <v>3</v>
      </c>
      <c r="AA233" t="s">
        <v>50</v>
      </c>
      <c r="AB233">
        <f t="shared" si="84"/>
        <v>13.416407864998739</v>
      </c>
      <c r="AC233">
        <f t="shared" si="75"/>
        <v>35.777087639996637</v>
      </c>
      <c r="AE233">
        <v>1</v>
      </c>
      <c r="AF233">
        <v>2</v>
      </c>
      <c r="AG233">
        <v>1.5</v>
      </c>
      <c r="AH233">
        <f t="shared" si="85"/>
        <v>3.1721137903216921</v>
      </c>
      <c r="AI233">
        <f t="shared" si="76"/>
        <v>67.671760860196102</v>
      </c>
    </row>
    <row r="234" spans="1:35" x14ac:dyDescent="0.3">
      <c r="A234">
        <v>2021</v>
      </c>
      <c r="B234" t="s">
        <v>249</v>
      </c>
      <c r="C234" t="s">
        <v>315</v>
      </c>
      <c r="D234" t="s">
        <v>316</v>
      </c>
      <c r="E234" t="s">
        <v>317</v>
      </c>
      <c r="F234">
        <v>21.4</v>
      </c>
      <c r="G234" t="s">
        <v>51</v>
      </c>
      <c r="H234" t="s">
        <v>52</v>
      </c>
      <c r="I234" t="s">
        <v>53</v>
      </c>
      <c r="J234" t="s">
        <v>54</v>
      </c>
      <c r="K234" t="s">
        <v>318</v>
      </c>
      <c r="L234">
        <v>233414</v>
      </c>
      <c r="M234">
        <v>110481</v>
      </c>
      <c r="N234">
        <v>1</v>
      </c>
      <c r="O234">
        <f t="shared" si="78"/>
        <v>2.2988505747126436E-3</v>
      </c>
      <c r="P234">
        <v>10</v>
      </c>
      <c r="Q234">
        <f t="shared" si="79"/>
        <v>2.304147465437788E-3</v>
      </c>
      <c r="R234">
        <v>0.01</v>
      </c>
      <c r="S234">
        <f t="shared" si="86"/>
        <v>0.1</v>
      </c>
      <c r="T234">
        <f t="shared" si="80"/>
        <v>1.6406890894175559E-3</v>
      </c>
      <c r="U234">
        <f t="shared" si="81"/>
        <v>-1.39663127151464E-2</v>
      </c>
      <c r="V234">
        <f t="shared" si="82"/>
        <v>1.34E-2</v>
      </c>
      <c r="W234">
        <v>0.1</v>
      </c>
      <c r="X234">
        <f t="shared" si="83"/>
        <v>0.13400000000000001</v>
      </c>
      <c r="Y234">
        <v>2</v>
      </c>
      <c r="Z234">
        <v>3</v>
      </c>
      <c r="AA234" t="s">
        <v>50</v>
      </c>
      <c r="AB234">
        <f t="shared" si="84"/>
        <v>6</v>
      </c>
      <c r="AC234">
        <f t="shared" si="75"/>
        <v>16</v>
      </c>
      <c r="AE234">
        <v>3</v>
      </c>
      <c r="AF234">
        <v>2</v>
      </c>
      <c r="AG234">
        <v>1</v>
      </c>
      <c r="AH234">
        <f t="shared" si="85"/>
        <v>1.897366596101028</v>
      </c>
      <c r="AI234">
        <f t="shared" si="76"/>
        <v>20.238577025077632</v>
      </c>
    </row>
    <row r="235" spans="1:35" x14ac:dyDescent="0.3">
      <c r="A235">
        <v>2021</v>
      </c>
      <c r="B235" t="s">
        <v>249</v>
      </c>
      <c r="C235" t="s">
        <v>315</v>
      </c>
      <c r="D235" t="s">
        <v>316</v>
      </c>
      <c r="E235" t="s">
        <v>317</v>
      </c>
      <c r="F235">
        <v>21.4</v>
      </c>
      <c r="G235" t="s">
        <v>45</v>
      </c>
      <c r="H235" t="s">
        <v>326</v>
      </c>
      <c r="K235" t="s">
        <v>326</v>
      </c>
      <c r="L235">
        <v>3000118</v>
      </c>
      <c r="M235">
        <v>146</v>
      </c>
      <c r="N235">
        <v>1</v>
      </c>
      <c r="O235">
        <f t="shared" si="78"/>
        <v>2.2988505747126436E-3</v>
      </c>
      <c r="P235">
        <v>10</v>
      </c>
      <c r="Q235">
        <f t="shared" si="79"/>
        <v>2.304147465437788E-3</v>
      </c>
      <c r="R235">
        <v>0.04</v>
      </c>
      <c r="S235">
        <f t="shared" si="86"/>
        <v>0.4</v>
      </c>
      <c r="T235">
        <f t="shared" si="80"/>
        <v>6.5627563576702236E-3</v>
      </c>
      <c r="U235">
        <f t="shared" si="81"/>
        <v>-1.39663127151464E-2</v>
      </c>
      <c r="V235">
        <f t="shared" si="82"/>
        <v>1.34E-2</v>
      </c>
      <c r="W235">
        <v>0.1</v>
      </c>
      <c r="X235">
        <f t="shared" si="83"/>
        <v>0.13400000000000001</v>
      </c>
      <c r="Y235">
        <v>2</v>
      </c>
      <c r="Z235">
        <v>2</v>
      </c>
      <c r="AA235" t="s">
        <v>50</v>
      </c>
      <c r="AB235">
        <f t="shared" si="84"/>
        <v>8</v>
      </c>
      <c r="AC235">
        <f t="shared" si="75"/>
        <v>32</v>
      </c>
      <c r="AE235">
        <v>1</v>
      </c>
      <c r="AF235">
        <v>2</v>
      </c>
      <c r="AG235">
        <v>1</v>
      </c>
      <c r="AH235">
        <f t="shared" si="85"/>
        <v>1.7888543819998324</v>
      </c>
      <c r="AI235">
        <f t="shared" si="76"/>
        <v>57.243340223994636</v>
      </c>
    </row>
    <row r="236" spans="1:35" x14ac:dyDescent="0.3">
      <c r="A236">
        <v>2021</v>
      </c>
      <c r="B236" t="s">
        <v>249</v>
      </c>
      <c r="C236" t="s">
        <v>315</v>
      </c>
      <c r="D236" t="s">
        <v>316</v>
      </c>
      <c r="E236" t="s">
        <v>317</v>
      </c>
      <c r="F236">
        <v>21.4</v>
      </c>
      <c r="G236" t="s">
        <v>22</v>
      </c>
      <c r="H236" t="s">
        <v>67</v>
      </c>
      <c r="I236" t="s">
        <v>84</v>
      </c>
      <c r="J236" t="s">
        <v>85</v>
      </c>
      <c r="K236" t="s">
        <v>199</v>
      </c>
      <c r="L236">
        <v>227130</v>
      </c>
      <c r="M236">
        <v>130599</v>
      </c>
      <c r="N236">
        <v>6</v>
      </c>
      <c r="O236">
        <f t="shared" si="78"/>
        <v>1.3793103448275862E-2</v>
      </c>
      <c r="P236">
        <v>60</v>
      </c>
      <c r="Q236">
        <f t="shared" si="79"/>
        <v>1.3824884792626729E-2</v>
      </c>
      <c r="R236">
        <v>0.02</v>
      </c>
      <c r="S236">
        <f t="shared" si="86"/>
        <v>0.2</v>
      </c>
      <c r="T236">
        <f t="shared" si="80"/>
        <v>3.2813781788351118E-3</v>
      </c>
      <c r="U236">
        <f t="shared" si="81"/>
        <v>-5.908395257738798E-2</v>
      </c>
      <c r="V236">
        <f t="shared" si="82"/>
        <v>1.34E-2</v>
      </c>
      <c r="W236">
        <v>0.1</v>
      </c>
      <c r="X236">
        <f t="shared" si="83"/>
        <v>0.13400000000000001</v>
      </c>
      <c r="Y236">
        <v>2</v>
      </c>
      <c r="Z236">
        <v>2</v>
      </c>
      <c r="AA236" t="s">
        <v>50</v>
      </c>
      <c r="AB236">
        <f t="shared" si="84"/>
        <v>13.856406460551019</v>
      </c>
      <c r="AC236">
        <f t="shared" si="75"/>
        <v>55.425625842204077</v>
      </c>
      <c r="AE236">
        <v>1</v>
      </c>
      <c r="AF236">
        <v>2</v>
      </c>
      <c r="AG236">
        <v>1</v>
      </c>
      <c r="AH236">
        <f t="shared" si="85"/>
        <v>1.6647165801151269</v>
      </c>
      <c r="AI236">
        <f t="shared" si="76"/>
        <v>53.270930563684061</v>
      </c>
    </row>
    <row r="237" spans="1:35" x14ac:dyDescent="0.3">
      <c r="A237">
        <v>2021</v>
      </c>
      <c r="B237" t="s">
        <v>249</v>
      </c>
      <c r="C237" t="s">
        <v>315</v>
      </c>
      <c r="D237" t="s">
        <v>316</v>
      </c>
      <c r="E237" t="s">
        <v>317</v>
      </c>
      <c r="F237">
        <v>21.4</v>
      </c>
      <c r="G237" t="s">
        <v>45</v>
      </c>
      <c r="H237" t="s">
        <v>71</v>
      </c>
      <c r="I237" t="s">
        <v>72</v>
      </c>
      <c r="J237" t="s">
        <v>73</v>
      </c>
      <c r="K237" t="s">
        <v>74</v>
      </c>
      <c r="L237">
        <v>217978</v>
      </c>
      <c r="M237">
        <v>140129</v>
      </c>
      <c r="N237">
        <v>6</v>
      </c>
      <c r="O237">
        <f t="shared" si="78"/>
        <v>1.3793103448275862E-2</v>
      </c>
      <c r="P237">
        <v>60</v>
      </c>
      <c r="Q237">
        <f t="shared" si="79"/>
        <v>1.3824884792626729E-2</v>
      </c>
      <c r="R237">
        <v>0.01</v>
      </c>
      <c r="S237">
        <f t="shared" si="86"/>
        <v>0.1</v>
      </c>
      <c r="T237">
        <f t="shared" si="80"/>
        <v>1.6406890894175559E-3</v>
      </c>
      <c r="U237">
        <f t="shared" si="81"/>
        <v>-5.908395257738798E-2</v>
      </c>
      <c r="V237">
        <f t="shared" si="82"/>
        <v>1.34E-2</v>
      </c>
      <c r="W237">
        <v>0.1</v>
      </c>
      <c r="X237">
        <f t="shared" si="83"/>
        <v>0.13400000000000001</v>
      </c>
      <c r="Y237">
        <v>2</v>
      </c>
      <c r="Z237">
        <v>3</v>
      </c>
      <c r="AA237" t="s">
        <v>50</v>
      </c>
      <c r="AB237">
        <f t="shared" si="84"/>
        <v>14.696938456699069</v>
      </c>
      <c r="AC237">
        <f t="shared" si="75"/>
        <v>39.191835884530853</v>
      </c>
      <c r="AE237">
        <v>1</v>
      </c>
      <c r="AF237">
        <v>3</v>
      </c>
      <c r="AG237">
        <v>1</v>
      </c>
      <c r="AH237">
        <f t="shared" si="85"/>
        <v>1.4847696011519302</v>
      </c>
      <c r="AI237">
        <f t="shared" si="76"/>
        <v>31.675084824574512</v>
      </c>
    </row>
    <row r="238" spans="1:35" x14ac:dyDescent="0.3">
      <c r="A238">
        <v>2021</v>
      </c>
      <c r="B238" t="s">
        <v>249</v>
      </c>
      <c r="C238" t="s">
        <v>315</v>
      </c>
      <c r="D238" t="s">
        <v>316</v>
      </c>
      <c r="E238" t="s">
        <v>317</v>
      </c>
      <c r="F238">
        <v>21.4</v>
      </c>
      <c r="G238" t="s">
        <v>51</v>
      </c>
      <c r="H238" t="s">
        <v>52</v>
      </c>
      <c r="I238" t="s">
        <v>193</v>
      </c>
      <c r="J238" t="s">
        <v>219</v>
      </c>
      <c r="K238" t="s">
        <v>220</v>
      </c>
      <c r="L238">
        <v>233479</v>
      </c>
      <c r="M238">
        <v>110535</v>
      </c>
      <c r="N238">
        <v>1</v>
      </c>
      <c r="O238">
        <f t="shared" si="78"/>
        <v>2.2988505747126436E-3</v>
      </c>
      <c r="P238">
        <v>10</v>
      </c>
      <c r="Q238">
        <f t="shared" si="79"/>
        <v>2.304147465437788E-3</v>
      </c>
      <c r="R238">
        <v>5.0000000000000001E-3</v>
      </c>
      <c r="S238">
        <f t="shared" si="86"/>
        <v>0.05</v>
      </c>
      <c r="T238">
        <f t="shared" si="80"/>
        <v>8.2034454470877795E-4</v>
      </c>
      <c r="U238">
        <f t="shared" si="81"/>
        <v>-1.39663127151464E-2</v>
      </c>
      <c r="V238">
        <f t="shared" si="82"/>
        <v>1.34E-2</v>
      </c>
      <c r="W238">
        <v>0.1</v>
      </c>
      <c r="X238">
        <f t="shared" si="83"/>
        <v>0.13400000000000001</v>
      </c>
      <c r="Y238">
        <v>2</v>
      </c>
      <c r="Z238">
        <v>3</v>
      </c>
      <c r="AA238" t="s">
        <v>50</v>
      </c>
      <c r="AB238">
        <f t="shared" si="84"/>
        <v>4.2426406871192848</v>
      </c>
      <c r="AC238">
        <f t="shared" si="75"/>
        <v>11.313708498984759</v>
      </c>
      <c r="AE238">
        <v>1</v>
      </c>
      <c r="AF238">
        <v>3.14</v>
      </c>
      <c r="AG238">
        <v>1.5</v>
      </c>
      <c r="AH238">
        <f t="shared" si="85"/>
        <v>0.88562202842184612</v>
      </c>
      <c r="AI238">
        <f t="shared" si="76"/>
        <v>12.033929897876465</v>
      </c>
    </row>
    <row r="239" spans="1:35" x14ac:dyDescent="0.3">
      <c r="A239">
        <v>2021</v>
      </c>
      <c r="B239" t="s">
        <v>249</v>
      </c>
      <c r="C239" t="s">
        <v>315</v>
      </c>
      <c r="D239" t="s">
        <v>316</v>
      </c>
      <c r="E239" t="s">
        <v>317</v>
      </c>
      <c r="F239">
        <v>21.4</v>
      </c>
      <c r="G239" t="s">
        <v>51</v>
      </c>
      <c r="H239" t="s">
        <v>126</v>
      </c>
      <c r="I239" t="s">
        <v>207</v>
      </c>
      <c r="J239" t="s">
        <v>208</v>
      </c>
      <c r="K239" t="s">
        <v>210</v>
      </c>
      <c r="L239">
        <v>233384</v>
      </c>
      <c r="M239">
        <v>101930</v>
      </c>
      <c r="N239">
        <v>4</v>
      </c>
      <c r="O239">
        <f t="shared" si="78"/>
        <v>9.1954022988505746E-3</v>
      </c>
      <c r="P239">
        <v>40</v>
      </c>
      <c r="Q239">
        <f t="shared" si="79"/>
        <v>9.2165898617511521E-3</v>
      </c>
      <c r="R239">
        <v>0.01</v>
      </c>
      <c r="S239">
        <f t="shared" si="86"/>
        <v>0.1</v>
      </c>
      <c r="T239">
        <f t="shared" si="80"/>
        <v>1.6406890894175559E-3</v>
      </c>
      <c r="U239">
        <f t="shared" si="81"/>
        <v>-4.3117716505460167E-2</v>
      </c>
      <c r="V239">
        <f t="shared" si="82"/>
        <v>1.34E-2</v>
      </c>
      <c r="W239">
        <v>0.1</v>
      </c>
      <c r="X239">
        <f t="shared" si="83"/>
        <v>0.13400000000000001</v>
      </c>
      <c r="Y239">
        <v>2</v>
      </c>
      <c r="Z239">
        <v>1</v>
      </c>
      <c r="AA239" t="s">
        <v>50</v>
      </c>
      <c r="AB239">
        <f t="shared" si="84"/>
        <v>4</v>
      </c>
      <c r="AC239">
        <f t="shared" si="75"/>
        <v>32</v>
      </c>
      <c r="AE239">
        <v>1</v>
      </c>
      <c r="AF239">
        <v>1</v>
      </c>
      <c r="AG239">
        <v>1</v>
      </c>
      <c r="AH239">
        <f t="shared" si="85"/>
        <v>0.44721359549995793</v>
      </c>
      <c r="AI239">
        <f t="shared" si="76"/>
        <v>28.621670111997307</v>
      </c>
    </row>
    <row r="240" spans="1:35" x14ac:dyDescent="0.3">
      <c r="A240">
        <v>2021</v>
      </c>
      <c r="B240" t="s">
        <v>249</v>
      </c>
      <c r="C240" t="s">
        <v>315</v>
      </c>
      <c r="D240" t="s">
        <v>316</v>
      </c>
      <c r="E240" t="s">
        <v>317</v>
      </c>
      <c r="F240">
        <v>21.4</v>
      </c>
      <c r="G240" t="s">
        <v>79</v>
      </c>
      <c r="H240" t="s">
        <v>275</v>
      </c>
      <c r="I240" t="s">
        <v>276</v>
      </c>
      <c r="K240" t="s">
        <v>276</v>
      </c>
      <c r="L240">
        <v>2000701</v>
      </c>
      <c r="M240">
        <v>211</v>
      </c>
      <c r="N240">
        <v>2</v>
      </c>
      <c r="O240">
        <f t="shared" si="78"/>
        <v>4.5977011494252873E-3</v>
      </c>
      <c r="P240">
        <v>20</v>
      </c>
      <c r="Q240">
        <f t="shared" si="79"/>
        <v>4.608294930875576E-3</v>
      </c>
      <c r="R240">
        <v>0.01</v>
      </c>
      <c r="S240">
        <f t="shared" si="86"/>
        <v>0.1</v>
      </c>
      <c r="T240">
        <f t="shared" si="80"/>
        <v>1.6406890894175559E-3</v>
      </c>
      <c r="U240">
        <f t="shared" si="81"/>
        <v>-2.4745741841511442E-2</v>
      </c>
      <c r="V240">
        <f t="shared" si="82"/>
        <v>1.34E-2</v>
      </c>
      <c r="W240">
        <v>0.1</v>
      </c>
      <c r="X240">
        <f t="shared" si="83"/>
        <v>0.13400000000000001</v>
      </c>
      <c r="Y240">
        <v>1.6666666666666701</v>
      </c>
      <c r="Z240">
        <v>1.8333333333333299</v>
      </c>
      <c r="AA240" t="s">
        <v>50</v>
      </c>
      <c r="AB240">
        <f t="shared" si="84"/>
        <v>4.3212081072511239</v>
      </c>
      <c r="AC240">
        <f t="shared" si="75"/>
        <v>22.627416997969519</v>
      </c>
      <c r="AE240">
        <v>1</v>
      </c>
      <c r="AF240">
        <v>1</v>
      </c>
      <c r="AG240">
        <v>1</v>
      </c>
      <c r="AH240">
        <f t="shared" si="85"/>
        <v>0.37606030930863954</v>
      </c>
      <c r="AI240">
        <f t="shared" si="76"/>
        <v>24.067859795752931</v>
      </c>
    </row>
    <row r="241" spans="1:36" x14ac:dyDescent="0.3">
      <c r="A241">
        <v>2021</v>
      </c>
      <c r="B241" t="s">
        <v>249</v>
      </c>
      <c r="C241" t="s">
        <v>315</v>
      </c>
      <c r="D241" t="s">
        <v>316</v>
      </c>
      <c r="E241" t="s">
        <v>317</v>
      </c>
      <c r="F241">
        <v>21.4</v>
      </c>
      <c r="G241" t="s">
        <v>22</v>
      </c>
      <c r="H241" t="s">
        <v>56</v>
      </c>
      <c r="I241" t="s">
        <v>57</v>
      </c>
      <c r="J241" t="s">
        <v>58</v>
      </c>
      <c r="K241" t="s">
        <v>59</v>
      </c>
      <c r="L241">
        <v>227394</v>
      </c>
      <c r="M241">
        <v>130100</v>
      </c>
      <c r="N241">
        <v>4</v>
      </c>
      <c r="O241">
        <f t="shared" si="78"/>
        <v>9.1954022988505746E-3</v>
      </c>
      <c r="P241">
        <v>40</v>
      </c>
      <c r="Q241">
        <f t="shared" si="79"/>
        <v>9.2165898617511521E-3</v>
      </c>
      <c r="R241">
        <v>0.04</v>
      </c>
      <c r="S241">
        <f t="shared" si="86"/>
        <v>0.4</v>
      </c>
      <c r="T241">
        <f t="shared" si="80"/>
        <v>6.5627563576702236E-3</v>
      </c>
      <c r="U241">
        <f t="shared" si="81"/>
        <v>-4.3117716505460167E-2</v>
      </c>
      <c r="V241">
        <f t="shared" si="82"/>
        <v>1.34E-2</v>
      </c>
      <c r="W241">
        <v>0.1</v>
      </c>
      <c r="X241">
        <f t="shared" si="83"/>
        <v>0.13400000000000001</v>
      </c>
      <c r="Y241">
        <v>3</v>
      </c>
      <c r="Z241">
        <v>2</v>
      </c>
      <c r="AA241" t="s">
        <v>60</v>
      </c>
      <c r="AB241">
        <f t="shared" si="84"/>
        <v>24</v>
      </c>
      <c r="AC241">
        <f t="shared" si="75"/>
        <v>64</v>
      </c>
      <c r="AE241">
        <v>1</v>
      </c>
      <c r="AF241">
        <v>3</v>
      </c>
      <c r="AG241">
        <v>2</v>
      </c>
      <c r="AH241">
        <f t="shared" si="85"/>
        <v>7.5894663844041119</v>
      </c>
      <c r="AI241">
        <f t="shared" si="76"/>
        <v>80.954308100310527</v>
      </c>
    </row>
    <row r="242" spans="1:36" x14ac:dyDescent="0.3">
      <c r="A242">
        <v>2021</v>
      </c>
      <c r="B242" t="s">
        <v>249</v>
      </c>
      <c r="C242" t="s">
        <v>315</v>
      </c>
      <c r="D242" t="s">
        <v>316</v>
      </c>
      <c r="E242" t="s">
        <v>317</v>
      </c>
      <c r="F242">
        <v>21.4</v>
      </c>
      <c r="G242" t="s">
        <v>22</v>
      </c>
      <c r="I242" t="s">
        <v>102</v>
      </c>
      <c r="J242" t="s">
        <v>103</v>
      </c>
      <c r="K242" t="s">
        <v>284</v>
      </c>
      <c r="L242">
        <v>227805</v>
      </c>
      <c r="M242">
        <v>130330</v>
      </c>
      <c r="N242">
        <v>2</v>
      </c>
      <c r="O242">
        <f t="shared" si="78"/>
        <v>4.5977011494252873E-3</v>
      </c>
      <c r="P242">
        <v>20</v>
      </c>
      <c r="Q242">
        <f t="shared" si="79"/>
        <v>4.608294930875576E-3</v>
      </c>
      <c r="R242">
        <v>5.0000000000000001E-3</v>
      </c>
      <c r="S242">
        <f t="shared" si="86"/>
        <v>0.05</v>
      </c>
      <c r="T242">
        <f t="shared" si="80"/>
        <v>8.2034454470877795E-4</v>
      </c>
      <c r="U242">
        <f t="shared" si="81"/>
        <v>-2.4745741841511442E-2</v>
      </c>
      <c r="V242">
        <f t="shared" si="82"/>
        <v>1.34E-2</v>
      </c>
      <c r="W242">
        <v>0.1</v>
      </c>
      <c r="X242">
        <f t="shared" si="83"/>
        <v>0.13400000000000001</v>
      </c>
      <c r="Y242">
        <v>3</v>
      </c>
      <c r="Z242">
        <v>1</v>
      </c>
      <c r="AA242" t="s">
        <v>60</v>
      </c>
      <c r="AB242">
        <f t="shared" si="84"/>
        <v>3</v>
      </c>
      <c r="AC242">
        <f t="shared" si="75"/>
        <v>16</v>
      </c>
      <c r="AE242">
        <v>3</v>
      </c>
      <c r="AF242">
        <v>4</v>
      </c>
      <c r="AG242">
        <v>2.71</v>
      </c>
      <c r="AH242">
        <f t="shared" si="85"/>
        <v>7.2716930628293159</v>
      </c>
      <c r="AI242">
        <f t="shared" si="76"/>
        <v>14.310835055998654</v>
      </c>
    </row>
    <row r="243" spans="1:36" x14ac:dyDescent="0.3">
      <c r="A243">
        <v>2021</v>
      </c>
      <c r="B243" t="s">
        <v>249</v>
      </c>
      <c r="C243" t="s">
        <v>315</v>
      </c>
      <c r="D243" t="s">
        <v>316</v>
      </c>
      <c r="E243" t="s">
        <v>317</v>
      </c>
      <c r="F243">
        <v>21.4</v>
      </c>
      <c r="G243" t="s">
        <v>22</v>
      </c>
      <c r="I243" t="s">
        <v>145</v>
      </c>
      <c r="J243" t="s">
        <v>146</v>
      </c>
      <c r="K243" t="s">
        <v>147</v>
      </c>
      <c r="L243">
        <v>227757</v>
      </c>
      <c r="M243">
        <v>129884</v>
      </c>
      <c r="N243">
        <v>1</v>
      </c>
      <c r="O243">
        <f t="shared" si="78"/>
        <v>2.2988505747126436E-3</v>
      </c>
      <c r="P243">
        <v>10</v>
      </c>
      <c r="Q243">
        <f t="shared" si="79"/>
        <v>2.304147465437788E-3</v>
      </c>
      <c r="R243">
        <v>5.0000000000000001E-3</v>
      </c>
      <c r="S243">
        <f t="shared" si="86"/>
        <v>0.05</v>
      </c>
      <c r="T243">
        <f t="shared" si="80"/>
        <v>8.2034454470877795E-4</v>
      </c>
      <c r="U243">
        <f t="shared" si="81"/>
        <v>-1.39663127151464E-2</v>
      </c>
      <c r="V243">
        <f t="shared" si="82"/>
        <v>1.34E-2</v>
      </c>
      <c r="W243">
        <v>0.1</v>
      </c>
      <c r="X243">
        <f t="shared" si="83"/>
        <v>0.13400000000000001</v>
      </c>
      <c r="Y243">
        <v>3</v>
      </c>
      <c r="Z243">
        <v>2</v>
      </c>
      <c r="AA243" t="s">
        <v>60</v>
      </c>
      <c r="AB243">
        <f t="shared" si="84"/>
        <v>4.2426406871192848</v>
      </c>
      <c r="AC243">
        <f t="shared" si="75"/>
        <v>11.313708498984759</v>
      </c>
      <c r="AE243">
        <v>2.88</v>
      </c>
      <c r="AF243">
        <v>4</v>
      </c>
      <c r="AG243">
        <v>2</v>
      </c>
      <c r="AH243">
        <f t="shared" si="85"/>
        <v>4.3322147632355277</v>
      </c>
      <c r="AI243">
        <f t="shared" si="76"/>
        <v>12.033929897876465</v>
      </c>
    </row>
    <row r="244" spans="1:36" x14ac:dyDescent="0.3">
      <c r="A244">
        <v>2021</v>
      </c>
      <c r="B244" t="s">
        <v>249</v>
      </c>
      <c r="C244" t="s">
        <v>315</v>
      </c>
      <c r="D244" t="s">
        <v>316</v>
      </c>
      <c r="E244" t="s">
        <v>317</v>
      </c>
      <c r="F244">
        <v>21.4</v>
      </c>
      <c r="G244" t="s">
        <v>22</v>
      </c>
      <c r="H244" t="s">
        <v>56</v>
      </c>
      <c r="I244" t="s">
        <v>153</v>
      </c>
      <c r="J244" t="s">
        <v>183</v>
      </c>
      <c r="K244" t="s">
        <v>184</v>
      </c>
      <c r="L244">
        <v>227459</v>
      </c>
      <c r="M244">
        <v>129781</v>
      </c>
      <c r="N244">
        <v>3</v>
      </c>
      <c r="O244">
        <f t="shared" si="78"/>
        <v>6.8965517241379309E-3</v>
      </c>
      <c r="P244">
        <v>30</v>
      </c>
      <c r="Q244">
        <f t="shared" si="79"/>
        <v>6.9124423963133645E-3</v>
      </c>
      <c r="R244">
        <v>0.02</v>
      </c>
      <c r="S244">
        <f t="shared" si="86"/>
        <v>0.2</v>
      </c>
      <c r="T244">
        <f t="shared" si="80"/>
        <v>3.2813781788351118E-3</v>
      </c>
      <c r="U244">
        <f t="shared" si="81"/>
        <v>-3.4322301671866028E-2</v>
      </c>
      <c r="V244">
        <f t="shared" si="82"/>
        <v>1.34E-2</v>
      </c>
      <c r="W244">
        <v>0.1</v>
      </c>
      <c r="X244">
        <f t="shared" si="83"/>
        <v>0.13400000000000001</v>
      </c>
      <c r="Y244">
        <v>3</v>
      </c>
      <c r="Z244">
        <v>2</v>
      </c>
      <c r="AA244" t="s">
        <v>100</v>
      </c>
      <c r="AB244">
        <f t="shared" si="84"/>
        <v>14.696938456699069</v>
      </c>
      <c r="AC244">
        <f t="shared" si="75"/>
        <v>39.191835884530853</v>
      </c>
      <c r="AE244">
        <v>3</v>
      </c>
      <c r="AF244">
        <v>1</v>
      </c>
      <c r="AG244">
        <v>1</v>
      </c>
      <c r="AH244">
        <f t="shared" si="85"/>
        <v>2.0997813069483504</v>
      </c>
      <c r="AI244">
        <f t="shared" si="76"/>
        <v>44.795334548231473</v>
      </c>
    </row>
    <row r="245" spans="1:36" s="4" customFormat="1" x14ac:dyDescent="0.3">
      <c r="N245" s="4">
        <f>SUM(N213:N244)</f>
        <v>435</v>
      </c>
      <c r="O245" s="4">
        <f>SUM(O213:O244)</f>
        <v>1.0000000000000004</v>
      </c>
      <c r="P245" s="4">
        <f t="shared" ref="P245:AI245" si="87">SUM(P213:P244)</f>
        <v>4340</v>
      </c>
      <c r="Q245" s="4">
        <f t="shared" si="87"/>
        <v>1.0000000000000002</v>
      </c>
      <c r="R245" s="4">
        <f t="shared" si="87"/>
        <v>6.0949999999999962</v>
      </c>
      <c r="S245" s="4">
        <f t="shared" si="87"/>
        <v>60.949999999999982</v>
      </c>
      <c r="T245" s="4">
        <f t="shared" si="87"/>
        <v>1</v>
      </c>
      <c r="U245" s="4">
        <f>-SUM(U213:U244)</f>
        <v>2.4649262578060158</v>
      </c>
      <c r="Y245" s="4">
        <v>4</v>
      </c>
      <c r="Z245" s="4">
        <v>4</v>
      </c>
      <c r="AB245" s="4">
        <f t="shared" si="87"/>
        <v>3733.4152459929792</v>
      </c>
      <c r="AC245" s="4">
        <f t="shared" si="87"/>
        <v>6919.0618530310849</v>
      </c>
      <c r="AD245" s="4">
        <f>AB245/AC245</f>
        <v>0.53958402530502803</v>
      </c>
      <c r="AE245" s="4">
        <v>4</v>
      </c>
      <c r="AF245" s="4">
        <v>4</v>
      </c>
      <c r="AG245" s="4">
        <v>4</v>
      </c>
      <c r="AH245" s="4">
        <f t="shared" si="87"/>
        <v>2405.8792722850767</v>
      </c>
      <c r="AI245" s="4">
        <f t="shared" si="87"/>
        <v>9977.9818111200366</v>
      </c>
      <c r="AJ245" s="4">
        <f>AH245/AI245</f>
        <v>0.24111882721652453</v>
      </c>
    </row>
    <row r="246" spans="1:36" x14ac:dyDescent="0.3">
      <c r="A246">
        <v>2021</v>
      </c>
      <c r="B246" t="s">
        <v>249</v>
      </c>
      <c r="C246" t="s">
        <v>331</v>
      </c>
      <c r="D246" t="s">
        <v>332</v>
      </c>
      <c r="E246" t="s">
        <v>252</v>
      </c>
      <c r="F246">
        <v>21</v>
      </c>
      <c r="G246" t="s">
        <v>28</v>
      </c>
      <c r="H246" t="s">
        <v>29</v>
      </c>
      <c r="I246" t="s">
        <v>30</v>
      </c>
      <c r="J246" t="s">
        <v>31</v>
      </c>
      <c r="K246" t="s">
        <v>34</v>
      </c>
      <c r="L246">
        <v>217699</v>
      </c>
      <c r="M246">
        <v>125080</v>
      </c>
      <c r="N246">
        <v>43</v>
      </c>
      <c r="O246">
        <f t="shared" ref="O246:O287" si="88">N246/$N$288</f>
        <v>8.3984375E-2</v>
      </c>
      <c r="P246">
        <v>430</v>
      </c>
      <c r="Q246">
        <f t="shared" ref="Q246:Q287" si="89">P246/$P$288</f>
        <v>8.3984375E-2</v>
      </c>
      <c r="R246">
        <v>0.91</v>
      </c>
      <c r="S246">
        <f>R246*10</f>
        <v>9.1</v>
      </c>
      <c r="T246">
        <f t="shared" ref="T246:T287" si="90">S246/$S$288</f>
        <v>4.9122807017543832E-2</v>
      </c>
      <c r="U246">
        <f t="shared" ref="U246:U287" si="91">O246*LN(O246)</f>
        <v>-0.20803975371460087</v>
      </c>
      <c r="V246">
        <f t="shared" ref="V246:V287" si="92">15.6/1000</f>
        <v>1.5599999999999999E-2</v>
      </c>
      <c r="W246">
        <v>0.1</v>
      </c>
      <c r="X246">
        <f t="shared" ref="X246:X287" si="93">V246/W246</f>
        <v>0.15599999999999997</v>
      </c>
      <c r="Y246">
        <v>4</v>
      </c>
      <c r="Z246">
        <v>3</v>
      </c>
      <c r="AA246" t="s">
        <v>27</v>
      </c>
      <c r="AB246">
        <f t="shared" ref="AB246:AB287" si="94">(SQRT(S246/P246))*P246*Z246*Y246</f>
        <v>750.6477203056038</v>
      </c>
      <c r="AC246">
        <f t="shared" si="75"/>
        <v>1000.8636270741383</v>
      </c>
      <c r="AE246">
        <v>2</v>
      </c>
      <c r="AF246">
        <v>4</v>
      </c>
      <c r="AG246">
        <v>3</v>
      </c>
      <c r="AH246">
        <f t="shared" ref="AH246:AH287" si="95">((S246/P246)^0.75)*P246*AE246*AF246*AG246</f>
        <v>572.61062182733565</v>
      </c>
      <c r="AI246">
        <f t="shared" si="76"/>
        <v>1526.9616582062283</v>
      </c>
    </row>
    <row r="247" spans="1:36" x14ac:dyDescent="0.3">
      <c r="A247">
        <v>2021</v>
      </c>
      <c r="B247" t="s">
        <v>249</v>
      </c>
      <c r="C247" t="s">
        <v>331</v>
      </c>
      <c r="D247" t="s">
        <v>332</v>
      </c>
      <c r="E247" t="s">
        <v>252</v>
      </c>
      <c r="F247">
        <v>21</v>
      </c>
      <c r="G247" t="s">
        <v>22</v>
      </c>
      <c r="H247" t="s">
        <v>67</v>
      </c>
      <c r="I247" t="s">
        <v>224</v>
      </c>
      <c r="J247" t="s">
        <v>225</v>
      </c>
      <c r="K247" t="s">
        <v>226</v>
      </c>
      <c r="L247">
        <v>227033</v>
      </c>
      <c r="M247">
        <v>130362</v>
      </c>
      <c r="N247">
        <v>8</v>
      </c>
      <c r="O247">
        <f t="shared" si="88"/>
        <v>1.5625E-2</v>
      </c>
      <c r="P247">
        <v>80</v>
      </c>
      <c r="Q247">
        <f t="shared" si="89"/>
        <v>1.5625E-2</v>
      </c>
      <c r="R247">
        <v>0.66</v>
      </c>
      <c r="S247">
        <f t="shared" ref="S247:S287" si="96">R247*10</f>
        <v>6.6000000000000005</v>
      </c>
      <c r="T247">
        <f t="shared" si="90"/>
        <v>3.5627530364372453E-2</v>
      </c>
      <c r="U247">
        <f t="shared" si="91"/>
        <v>-6.4982548177494867E-2</v>
      </c>
      <c r="V247">
        <f t="shared" si="92"/>
        <v>1.5599999999999999E-2</v>
      </c>
      <c r="W247">
        <v>0.1</v>
      </c>
      <c r="X247">
        <f t="shared" si="93"/>
        <v>0.15599999999999997</v>
      </c>
      <c r="Y247">
        <v>4</v>
      </c>
      <c r="Z247">
        <v>3</v>
      </c>
      <c r="AA247" t="s">
        <v>27</v>
      </c>
      <c r="AB247">
        <f t="shared" si="94"/>
        <v>275.73900703382537</v>
      </c>
      <c r="AC247">
        <f t="shared" si="75"/>
        <v>367.65200937843383</v>
      </c>
      <c r="AE247">
        <v>3</v>
      </c>
      <c r="AF247">
        <v>2</v>
      </c>
      <c r="AG247">
        <v>1</v>
      </c>
      <c r="AH247">
        <f t="shared" si="95"/>
        <v>73.889324934456823</v>
      </c>
      <c r="AI247">
        <f t="shared" si="76"/>
        <v>788.15279930087274</v>
      </c>
    </row>
    <row r="248" spans="1:36" x14ac:dyDescent="0.3">
      <c r="A248">
        <v>2021</v>
      </c>
      <c r="B248" t="s">
        <v>249</v>
      </c>
      <c r="C248" t="s">
        <v>331</v>
      </c>
      <c r="D248" t="s">
        <v>332</v>
      </c>
      <c r="E248" t="s">
        <v>252</v>
      </c>
      <c r="F248">
        <v>21</v>
      </c>
      <c r="G248" t="s">
        <v>22</v>
      </c>
      <c r="I248" t="s">
        <v>105</v>
      </c>
      <c r="J248" t="s">
        <v>106</v>
      </c>
      <c r="K248" t="s">
        <v>107</v>
      </c>
      <c r="L248">
        <v>227839</v>
      </c>
      <c r="M248">
        <v>130980</v>
      </c>
      <c r="N248">
        <v>13</v>
      </c>
      <c r="O248">
        <f t="shared" si="88"/>
        <v>2.5390625E-2</v>
      </c>
      <c r="P248">
        <v>130</v>
      </c>
      <c r="Q248">
        <f t="shared" si="89"/>
        <v>2.5390625E-2</v>
      </c>
      <c r="R248">
        <v>0.08</v>
      </c>
      <c r="S248">
        <f t="shared" si="96"/>
        <v>0.8</v>
      </c>
      <c r="T248">
        <f t="shared" si="90"/>
        <v>4.3184885290148429E-3</v>
      </c>
      <c r="U248">
        <f t="shared" si="91"/>
        <v>-9.3269293903346914E-2</v>
      </c>
      <c r="V248">
        <f t="shared" si="92"/>
        <v>1.5599999999999999E-2</v>
      </c>
      <c r="W248">
        <v>0.1</v>
      </c>
      <c r="X248">
        <f t="shared" si="93"/>
        <v>0.15599999999999997</v>
      </c>
      <c r="Y248">
        <v>4</v>
      </c>
      <c r="Z248">
        <v>4</v>
      </c>
      <c r="AA248" t="s">
        <v>27</v>
      </c>
      <c r="AB248">
        <f t="shared" si="94"/>
        <v>163.16862443496913</v>
      </c>
      <c r="AC248">
        <f t="shared" si="75"/>
        <v>163.16862443496913</v>
      </c>
      <c r="AE248">
        <v>2</v>
      </c>
      <c r="AF248">
        <v>3</v>
      </c>
      <c r="AG248">
        <v>3</v>
      </c>
      <c r="AH248">
        <f t="shared" si="95"/>
        <v>51.413341807808024</v>
      </c>
      <c r="AI248">
        <f t="shared" si="76"/>
        <v>182.80299309442853</v>
      </c>
    </row>
    <row r="249" spans="1:36" x14ac:dyDescent="0.3">
      <c r="A249">
        <v>2021</v>
      </c>
      <c r="B249" t="s">
        <v>249</v>
      </c>
      <c r="C249" t="s">
        <v>331</v>
      </c>
      <c r="D249" t="s">
        <v>332</v>
      </c>
      <c r="E249" t="s">
        <v>252</v>
      </c>
      <c r="F249">
        <v>21</v>
      </c>
      <c r="G249" t="s">
        <v>45</v>
      </c>
      <c r="H249" t="s">
        <v>356</v>
      </c>
      <c r="I249" t="s">
        <v>295</v>
      </c>
      <c r="J249" t="s">
        <v>357</v>
      </c>
      <c r="K249" t="s">
        <v>297</v>
      </c>
      <c r="L249" t="s">
        <v>112</v>
      </c>
      <c r="M249">
        <v>141872</v>
      </c>
      <c r="N249">
        <v>3</v>
      </c>
      <c r="O249">
        <f t="shared" si="88"/>
        <v>5.859375E-3</v>
      </c>
      <c r="P249">
        <v>30</v>
      </c>
      <c r="Q249">
        <f t="shared" si="89"/>
        <v>5.859375E-3</v>
      </c>
      <c r="R249">
        <v>1.41</v>
      </c>
      <c r="S249">
        <f t="shared" si="96"/>
        <v>14.1</v>
      </c>
      <c r="T249">
        <f t="shared" si="90"/>
        <v>7.6113360323886603E-2</v>
      </c>
      <c r="U249">
        <f t="shared" si="91"/>
        <v>-3.0115501970926158E-2</v>
      </c>
      <c r="V249">
        <f t="shared" si="92"/>
        <v>1.5599999999999999E-2</v>
      </c>
      <c r="W249">
        <v>0.1</v>
      </c>
      <c r="X249">
        <f t="shared" si="93"/>
        <v>0.15599999999999997</v>
      </c>
      <c r="Y249">
        <v>4</v>
      </c>
      <c r="Z249">
        <v>3</v>
      </c>
      <c r="AA249" t="s">
        <v>27</v>
      </c>
      <c r="AB249">
        <f t="shared" si="94"/>
        <v>246.80356561443762</v>
      </c>
      <c r="AC249">
        <f t="shared" si="75"/>
        <v>329.07142081925014</v>
      </c>
      <c r="AE249">
        <v>1</v>
      </c>
      <c r="AF249">
        <v>1</v>
      </c>
      <c r="AG249">
        <v>1</v>
      </c>
      <c r="AH249">
        <f t="shared" si="95"/>
        <v>17.029215765764558</v>
      </c>
      <c r="AI249">
        <f t="shared" si="76"/>
        <v>1089.8698090089317</v>
      </c>
    </row>
    <row r="250" spans="1:36" x14ac:dyDescent="0.3">
      <c r="A250">
        <v>2021</v>
      </c>
      <c r="B250" t="s">
        <v>249</v>
      </c>
      <c r="C250" t="s">
        <v>331</v>
      </c>
      <c r="D250" t="s">
        <v>332</v>
      </c>
      <c r="E250" t="s">
        <v>252</v>
      </c>
      <c r="F250">
        <v>21</v>
      </c>
      <c r="K250" t="s">
        <v>75</v>
      </c>
      <c r="L250">
        <v>5000018</v>
      </c>
      <c r="M250">
        <v>152391</v>
      </c>
      <c r="N250">
        <v>4</v>
      </c>
      <c r="O250">
        <f t="shared" si="88"/>
        <v>7.8125E-3</v>
      </c>
      <c r="P250">
        <v>40</v>
      </c>
      <c r="Q250">
        <f t="shared" si="89"/>
        <v>7.8125E-3</v>
      </c>
      <c r="R250">
        <v>0.01</v>
      </c>
      <c r="S250">
        <f t="shared" si="96"/>
        <v>0.1</v>
      </c>
      <c r="T250">
        <f t="shared" si="90"/>
        <v>5.3981106612685536E-4</v>
      </c>
      <c r="U250">
        <f t="shared" si="91"/>
        <v>-3.7906486436872007E-2</v>
      </c>
      <c r="V250">
        <f t="shared" si="92"/>
        <v>1.5599999999999999E-2</v>
      </c>
      <c r="W250">
        <v>0.1</v>
      </c>
      <c r="X250">
        <f t="shared" si="93"/>
        <v>0.15599999999999997</v>
      </c>
      <c r="Y250">
        <v>4</v>
      </c>
      <c r="Z250">
        <v>3</v>
      </c>
      <c r="AA250" t="s">
        <v>27</v>
      </c>
      <c r="AB250">
        <f t="shared" si="94"/>
        <v>24</v>
      </c>
      <c r="AC250">
        <f t="shared" si="75"/>
        <v>32</v>
      </c>
      <c r="AE250">
        <v>2</v>
      </c>
      <c r="AF250">
        <v>2</v>
      </c>
      <c r="AG250">
        <v>2</v>
      </c>
      <c r="AH250">
        <f t="shared" si="95"/>
        <v>3.5777087639996634</v>
      </c>
      <c r="AI250">
        <f t="shared" si="76"/>
        <v>28.621670111997307</v>
      </c>
    </row>
    <row r="251" spans="1:36" x14ac:dyDescent="0.3">
      <c r="A251">
        <v>2021</v>
      </c>
      <c r="B251" t="s">
        <v>249</v>
      </c>
      <c r="C251" t="s">
        <v>331</v>
      </c>
      <c r="D251" t="s">
        <v>332</v>
      </c>
      <c r="E251" t="s">
        <v>252</v>
      </c>
      <c r="F251">
        <v>21</v>
      </c>
      <c r="G251" t="s">
        <v>22</v>
      </c>
      <c r="H251" t="s">
        <v>67</v>
      </c>
      <c r="I251" t="s">
        <v>196</v>
      </c>
      <c r="J251" t="s">
        <v>344</v>
      </c>
      <c r="K251" t="s">
        <v>344</v>
      </c>
      <c r="L251">
        <v>6038637</v>
      </c>
      <c r="M251">
        <v>129499</v>
      </c>
      <c r="N251">
        <v>1</v>
      </c>
      <c r="O251">
        <f t="shared" si="88"/>
        <v>1.953125E-3</v>
      </c>
      <c r="P251">
        <v>10</v>
      </c>
      <c r="Q251">
        <f t="shared" si="89"/>
        <v>1.953125E-3</v>
      </c>
      <c r="R251">
        <v>0.01</v>
      </c>
      <c r="S251">
        <f t="shared" si="96"/>
        <v>0.1</v>
      </c>
      <c r="T251">
        <f t="shared" si="90"/>
        <v>5.3981106612685536E-4</v>
      </c>
      <c r="U251">
        <f t="shared" si="91"/>
        <v>-1.2184227783280288E-2</v>
      </c>
      <c r="V251">
        <f t="shared" si="92"/>
        <v>1.5599999999999999E-2</v>
      </c>
      <c r="W251">
        <v>0.1</v>
      </c>
      <c r="X251">
        <f t="shared" si="93"/>
        <v>0.15599999999999997</v>
      </c>
      <c r="Y251">
        <v>4</v>
      </c>
      <c r="Z251">
        <v>3</v>
      </c>
      <c r="AA251" t="s">
        <v>27</v>
      </c>
      <c r="AB251">
        <f t="shared" si="94"/>
        <v>12</v>
      </c>
      <c r="AC251">
        <f t="shared" si="75"/>
        <v>16</v>
      </c>
      <c r="AE251">
        <v>1</v>
      </c>
      <c r="AF251">
        <v>2</v>
      </c>
      <c r="AG251">
        <v>4</v>
      </c>
      <c r="AH251">
        <f t="shared" si="95"/>
        <v>2.529822128134704</v>
      </c>
      <c r="AI251">
        <f t="shared" si="76"/>
        <v>20.238577025077632</v>
      </c>
    </row>
    <row r="252" spans="1:36" x14ac:dyDescent="0.3">
      <c r="A252">
        <v>2021</v>
      </c>
      <c r="B252" t="s">
        <v>249</v>
      </c>
      <c r="C252" t="s">
        <v>331</v>
      </c>
      <c r="D252" t="s">
        <v>332</v>
      </c>
      <c r="E252" t="s">
        <v>252</v>
      </c>
      <c r="F252">
        <v>21</v>
      </c>
      <c r="G252" t="s">
        <v>22</v>
      </c>
      <c r="H252" t="s">
        <v>67</v>
      </c>
      <c r="I252" t="s">
        <v>68</v>
      </c>
      <c r="J252" t="s">
        <v>69</v>
      </c>
      <c r="K252" t="s">
        <v>343</v>
      </c>
      <c r="L252">
        <v>226803</v>
      </c>
      <c r="M252">
        <v>130123</v>
      </c>
      <c r="N252">
        <v>1</v>
      </c>
      <c r="O252">
        <f t="shared" si="88"/>
        <v>1.953125E-3</v>
      </c>
      <c r="P252">
        <v>10</v>
      </c>
      <c r="Q252">
        <f t="shared" si="89"/>
        <v>1.953125E-3</v>
      </c>
      <c r="R252">
        <v>5.0000000000000001E-3</v>
      </c>
      <c r="S252">
        <f t="shared" si="96"/>
        <v>0.05</v>
      </c>
      <c r="T252">
        <f t="shared" si="90"/>
        <v>2.6990553306342768E-4</v>
      </c>
      <c r="U252">
        <f t="shared" si="91"/>
        <v>-1.2184227783280288E-2</v>
      </c>
      <c r="V252">
        <f t="shared" si="92"/>
        <v>1.5599999999999999E-2</v>
      </c>
      <c r="W252">
        <v>0.1</v>
      </c>
      <c r="X252">
        <f t="shared" si="93"/>
        <v>0.15599999999999997</v>
      </c>
      <c r="Y252">
        <v>4</v>
      </c>
      <c r="Z252">
        <v>3</v>
      </c>
      <c r="AA252" t="s">
        <v>27</v>
      </c>
      <c r="AB252">
        <f t="shared" si="94"/>
        <v>8.4852813742385695</v>
      </c>
      <c r="AC252">
        <f t="shared" si="75"/>
        <v>11.313708498984759</v>
      </c>
      <c r="AE252">
        <v>2</v>
      </c>
      <c r="AF252">
        <v>2</v>
      </c>
      <c r="AG252">
        <v>2</v>
      </c>
      <c r="AH252">
        <f t="shared" si="95"/>
        <v>1.5042412372345582</v>
      </c>
      <c r="AI252">
        <f t="shared" si="76"/>
        <v>12.033929897876465</v>
      </c>
    </row>
    <row r="253" spans="1:36" x14ac:dyDescent="0.3">
      <c r="A253">
        <v>2021</v>
      </c>
      <c r="B253" t="s">
        <v>249</v>
      </c>
      <c r="C253" t="s">
        <v>331</v>
      </c>
      <c r="D253" t="s">
        <v>332</v>
      </c>
      <c r="E253" t="s">
        <v>252</v>
      </c>
      <c r="F253">
        <v>21</v>
      </c>
      <c r="G253" t="s">
        <v>22</v>
      </c>
      <c r="H253" t="s">
        <v>56</v>
      </c>
      <c r="I253" t="s">
        <v>90</v>
      </c>
      <c r="J253" t="s">
        <v>117</v>
      </c>
      <c r="K253" t="s">
        <v>118</v>
      </c>
      <c r="L253">
        <v>227496</v>
      </c>
      <c r="M253">
        <v>131573</v>
      </c>
      <c r="N253">
        <v>10</v>
      </c>
      <c r="O253">
        <f t="shared" si="88"/>
        <v>1.953125E-2</v>
      </c>
      <c r="P253">
        <v>100</v>
      </c>
      <c r="Q253">
        <f t="shared" si="89"/>
        <v>1.953125E-2</v>
      </c>
      <c r="R253">
        <v>1.89</v>
      </c>
      <c r="S253">
        <f t="shared" si="96"/>
        <v>18.899999999999999</v>
      </c>
      <c r="T253">
        <f t="shared" si="90"/>
        <v>0.10202429149797565</v>
      </c>
      <c r="U253">
        <f t="shared" si="91"/>
        <v>-7.6869912735262932E-2</v>
      </c>
      <c r="V253">
        <f t="shared" si="92"/>
        <v>1.5599999999999999E-2</v>
      </c>
      <c r="W253">
        <v>0.1</v>
      </c>
      <c r="X253">
        <f t="shared" si="93"/>
        <v>0.15599999999999997</v>
      </c>
      <c r="Y253">
        <v>3</v>
      </c>
      <c r="Z253">
        <v>1</v>
      </c>
      <c r="AA253" t="s">
        <v>93</v>
      </c>
      <c r="AB253">
        <f t="shared" si="94"/>
        <v>130.42239071570495</v>
      </c>
      <c r="AC253">
        <f t="shared" si="75"/>
        <v>695.58608381709303</v>
      </c>
      <c r="AE253">
        <v>3</v>
      </c>
      <c r="AF253">
        <v>3</v>
      </c>
      <c r="AG253">
        <v>1</v>
      </c>
      <c r="AH253">
        <f t="shared" si="95"/>
        <v>257.98167760952367</v>
      </c>
      <c r="AI253">
        <f t="shared" si="76"/>
        <v>1834.5363741121685</v>
      </c>
    </row>
    <row r="254" spans="1:36" x14ac:dyDescent="0.3">
      <c r="A254">
        <v>2021</v>
      </c>
      <c r="B254" t="s">
        <v>249</v>
      </c>
      <c r="C254" t="s">
        <v>331</v>
      </c>
      <c r="D254" t="s">
        <v>332</v>
      </c>
      <c r="E254" t="s">
        <v>252</v>
      </c>
      <c r="F254">
        <v>21</v>
      </c>
      <c r="G254" t="s">
        <v>79</v>
      </c>
      <c r="H254" t="s">
        <v>80</v>
      </c>
      <c r="I254" t="s">
        <v>81</v>
      </c>
      <c r="J254" t="s">
        <v>177</v>
      </c>
      <c r="K254" t="s">
        <v>178</v>
      </c>
      <c r="L254">
        <v>218350</v>
      </c>
      <c r="M254">
        <v>141662</v>
      </c>
      <c r="N254">
        <v>30</v>
      </c>
      <c r="O254">
        <f t="shared" si="88"/>
        <v>5.859375E-2</v>
      </c>
      <c r="P254">
        <v>300</v>
      </c>
      <c r="Q254">
        <f t="shared" si="89"/>
        <v>5.859375E-2</v>
      </c>
      <c r="R254">
        <v>0.2</v>
      </c>
      <c r="S254">
        <f t="shared" si="96"/>
        <v>2</v>
      </c>
      <c r="T254">
        <f t="shared" si="90"/>
        <v>1.0796221322537106E-2</v>
      </c>
      <c r="U254">
        <f t="shared" si="91"/>
        <v>-0.16623792441664173</v>
      </c>
      <c r="V254">
        <f t="shared" si="92"/>
        <v>1.5599999999999999E-2</v>
      </c>
      <c r="W254">
        <v>0.1</v>
      </c>
      <c r="X254">
        <f t="shared" si="93"/>
        <v>0.15599999999999997</v>
      </c>
      <c r="Y254">
        <v>3</v>
      </c>
      <c r="Z254">
        <v>2</v>
      </c>
      <c r="AA254" t="s">
        <v>93</v>
      </c>
      <c r="AB254">
        <f t="shared" si="94"/>
        <v>146.9693845669907</v>
      </c>
      <c r="AC254">
        <f t="shared" si="75"/>
        <v>391.91835884530855</v>
      </c>
      <c r="AE254">
        <v>3</v>
      </c>
      <c r="AF254">
        <v>3</v>
      </c>
      <c r="AG254">
        <v>3</v>
      </c>
      <c r="AH254">
        <f t="shared" si="95"/>
        <v>188.98031762535152</v>
      </c>
      <c r="AI254">
        <f t="shared" si="76"/>
        <v>447.95334548231472</v>
      </c>
    </row>
    <row r="255" spans="1:36" x14ac:dyDescent="0.3">
      <c r="A255">
        <v>2021</v>
      </c>
      <c r="B255" t="s">
        <v>249</v>
      </c>
      <c r="C255" t="s">
        <v>331</v>
      </c>
      <c r="D255" t="s">
        <v>332</v>
      </c>
      <c r="E255" t="s">
        <v>252</v>
      </c>
      <c r="F255">
        <v>21</v>
      </c>
      <c r="G255" t="s">
        <v>22</v>
      </c>
      <c r="H255" t="s">
        <v>56</v>
      </c>
      <c r="I255" t="s">
        <v>90</v>
      </c>
      <c r="J255" t="s">
        <v>282</v>
      </c>
      <c r="K255" t="s">
        <v>283</v>
      </c>
      <c r="L255">
        <v>227527</v>
      </c>
      <c r="M255">
        <v>154972</v>
      </c>
      <c r="N255">
        <v>2</v>
      </c>
      <c r="O255">
        <f t="shared" si="88"/>
        <v>3.90625E-3</v>
      </c>
      <c r="P255">
        <v>20</v>
      </c>
      <c r="Q255">
        <f t="shared" si="89"/>
        <v>3.90625E-3</v>
      </c>
      <c r="R255">
        <v>0.08</v>
      </c>
      <c r="S255">
        <f t="shared" si="96"/>
        <v>0.8</v>
      </c>
      <c r="T255">
        <f t="shared" si="90"/>
        <v>4.3184885290148429E-3</v>
      </c>
      <c r="U255">
        <f t="shared" si="91"/>
        <v>-2.166084939249829E-2</v>
      </c>
      <c r="V255">
        <f t="shared" si="92"/>
        <v>1.5599999999999999E-2</v>
      </c>
      <c r="W255">
        <v>0.1</v>
      </c>
      <c r="X255">
        <f t="shared" si="93"/>
        <v>0.15599999999999997</v>
      </c>
      <c r="Y255">
        <v>3</v>
      </c>
      <c r="Z255">
        <v>1</v>
      </c>
      <c r="AA255" t="s">
        <v>93</v>
      </c>
      <c r="AB255">
        <f t="shared" si="94"/>
        <v>12</v>
      </c>
      <c r="AC255">
        <f t="shared" si="75"/>
        <v>64</v>
      </c>
      <c r="AE255">
        <v>1.5</v>
      </c>
      <c r="AF255">
        <v>2.5</v>
      </c>
      <c r="AG255">
        <v>2.5</v>
      </c>
      <c r="AH255">
        <f t="shared" si="95"/>
        <v>16.770509831248429</v>
      </c>
      <c r="AI255">
        <f t="shared" si="76"/>
        <v>114.48668044798927</v>
      </c>
    </row>
    <row r="256" spans="1:36" x14ac:dyDescent="0.3">
      <c r="A256">
        <v>2021</v>
      </c>
      <c r="B256" t="s">
        <v>249</v>
      </c>
      <c r="C256" t="s">
        <v>331</v>
      </c>
      <c r="D256" t="s">
        <v>332</v>
      </c>
      <c r="E256" t="s">
        <v>252</v>
      </c>
      <c r="F256">
        <v>21</v>
      </c>
      <c r="G256" t="s">
        <v>22</v>
      </c>
      <c r="H256" t="s">
        <v>135</v>
      </c>
      <c r="I256" t="s">
        <v>142</v>
      </c>
      <c r="J256" t="s">
        <v>143</v>
      </c>
      <c r="K256" t="s">
        <v>144</v>
      </c>
      <c r="L256">
        <v>227556</v>
      </c>
      <c r="M256">
        <v>146950</v>
      </c>
      <c r="N256">
        <v>8</v>
      </c>
      <c r="O256">
        <f t="shared" si="88"/>
        <v>1.5625E-2</v>
      </c>
      <c r="P256">
        <v>80</v>
      </c>
      <c r="Q256">
        <f t="shared" si="89"/>
        <v>1.5625E-2</v>
      </c>
      <c r="R256">
        <v>0.01</v>
      </c>
      <c r="S256">
        <f t="shared" si="96"/>
        <v>0.1</v>
      </c>
      <c r="T256">
        <f t="shared" si="90"/>
        <v>5.3981106612685536E-4</v>
      </c>
      <c r="U256">
        <f t="shared" si="91"/>
        <v>-6.4982548177494867E-2</v>
      </c>
      <c r="V256">
        <f t="shared" si="92"/>
        <v>1.5599999999999999E-2</v>
      </c>
      <c r="W256">
        <v>0.1</v>
      </c>
      <c r="X256">
        <f t="shared" si="93"/>
        <v>0.15599999999999997</v>
      </c>
      <c r="Y256">
        <v>3</v>
      </c>
      <c r="Z256">
        <v>1</v>
      </c>
      <c r="AA256" t="s">
        <v>93</v>
      </c>
      <c r="AB256">
        <f t="shared" si="94"/>
        <v>8.4852813742385695</v>
      </c>
      <c r="AC256">
        <f t="shared" si="75"/>
        <v>45.254833995939038</v>
      </c>
      <c r="AE256">
        <v>3</v>
      </c>
      <c r="AF256">
        <v>3</v>
      </c>
      <c r="AG256">
        <v>1</v>
      </c>
      <c r="AH256">
        <f t="shared" si="95"/>
        <v>4.7864663072504907</v>
      </c>
      <c r="AI256">
        <f t="shared" si="76"/>
        <v>34.037093740447936</v>
      </c>
    </row>
    <row r="257" spans="1:35" x14ac:dyDescent="0.3">
      <c r="A257">
        <v>2021</v>
      </c>
      <c r="B257" t="s">
        <v>249</v>
      </c>
      <c r="C257" t="s">
        <v>331</v>
      </c>
      <c r="D257" t="s">
        <v>332</v>
      </c>
      <c r="E257" t="s">
        <v>252</v>
      </c>
      <c r="F257">
        <v>21</v>
      </c>
      <c r="G257" t="s">
        <v>79</v>
      </c>
      <c r="H257" t="s">
        <v>309</v>
      </c>
      <c r="I257" t="s">
        <v>310</v>
      </c>
      <c r="J257" t="s">
        <v>311</v>
      </c>
      <c r="K257" t="s">
        <v>311</v>
      </c>
      <c r="L257">
        <v>1005092</v>
      </c>
      <c r="M257">
        <v>138549</v>
      </c>
      <c r="N257">
        <v>4</v>
      </c>
      <c r="O257">
        <f t="shared" si="88"/>
        <v>7.8125E-3</v>
      </c>
      <c r="P257">
        <v>40</v>
      </c>
      <c r="Q257">
        <f t="shared" si="89"/>
        <v>7.8125E-3</v>
      </c>
      <c r="R257">
        <v>0.06</v>
      </c>
      <c r="S257">
        <f t="shared" si="96"/>
        <v>0.6</v>
      </c>
      <c r="T257">
        <f t="shared" si="90"/>
        <v>3.2388663967611322E-3</v>
      </c>
      <c r="U257">
        <f t="shared" si="91"/>
        <v>-3.7906486436872007E-2</v>
      </c>
      <c r="V257">
        <f t="shared" si="92"/>
        <v>1.5599999999999999E-2</v>
      </c>
      <c r="W257">
        <v>0.1</v>
      </c>
      <c r="X257">
        <f t="shared" si="93"/>
        <v>0.15599999999999997</v>
      </c>
      <c r="Y257">
        <v>3</v>
      </c>
      <c r="Z257">
        <v>2</v>
      </c>
      <c r="AA257" t="s">
        <v>93</v>
      </c>
      <c r="AB257">
        <f t="shared" si="94"/>
        <v>29.393876913398135</v>
      </c>
      <c r="AC257">
        <f t="shared" si="75"/>
        <v>78.383671769061692</v>
      </c>
      <c r="AE257">
        <v>1</v>
      </c>
      <c r="AF257">
        <v>1</v>
      </c>
      <c r="AG257">
        <v>1</v>
      </c>
      <c r="AH257">
        <f t="shared" si="95"/>
        <v>1.714464257819279</v>
      </c>
      <c r="AI257">
        <f t="shared" si="76"/>
        <v>109.72571250043386</v>
      </c>
    </row>
    <row r="258" spans="1:35" x14ac:dyDescent="0.3">
      <c r="A258">
        <v>2021</v>
      </c>
      <c r="B258" t="s">
        <v>249</v>
      </c>
      <c r="C258" t="s">
        <v>331</v>
      </c>
      <c r="D258" t="s">
        <v>332</v>
      </c>
      <c r="E258" t="s">
        <v>252</v>
      </c>
      <c r="F258">
        <v>21</v>
      </c>
      <c r="G258" t="s">
        <v>79</v>
      </c>
      <c r="H258" t="s">
        <v>113</v>
      </c>
      <c r="I258" t="s">
        <v>123</v>
      </c>
      <c r="J258" t="s">
        <v>124</v>
      </c>
      <c r="K258" t="s">
        <v>125</v>
      </c>
      <c r="L258">
        <v>218310</v>
      </c>
      <c r="M258">
        <v>141435</v>
      </c>
      <c r="N258">
        <v>234</v>
      </c>
      <c r="O258">
        <f t="shared" si="88"/>
        <v>0.45703125</v>
      </c>
      <c r="P258">
        <v>2340</v>
      </c>
      <c r="Q258">
        <f t="shared" si="89"/>
        <v>0.45703125</v>
      </c>
      <c r="R258">
        <v>10.02</v>
      </c>
      <c r="S258">
        <f t="shared" si="96"/>
        <v>100.19999999999999</v>
      </c>
      <c r="T258">
        <f t="shared" si="90"/>
        <v>0.54089068825910902</v>
      </c>
      <c r="U258">
        <f t="shared" si="91"/>
        <v>-0.35785707278426304</v>
      </c>
      <c r="V258">
        <f t="shared" si="92"/>
        <v>1.5599999999999999E-2</v>
      </c>
      <c r="W258">
        <v>0.1</v>
      </c>
      <c r="X258">
        <f t="shared" si="93"/>
        <v>0.15599999999999997</v>
      </c>
      <c r="Y258">
        <v>2</v>
      </c>
      <c r="Z258">
        <v>2</v>
      </c>
      <c r="AA258" t="s">
        <v>50</v>
      </c>
      <c r="AB258">
        <f t="shared" si="94"/>
        <v>1936.8758349465768</v>
      </c>
      <c r="AC258">
        <f t="shared" si="75"/>
        <v>7747.5033397863072</v>
      </c>
      <c r="AE258">
        <v>1</v>
      </c>
      <c r="AF258">
        <v>1</v>
      </c>
      <c r="AG258">
        <v>2</v>
      </c>
      <c r="AH258">
        <f t="shared" si="95"/>
        <v>440.53939513015973</v>
      </c>
      <c r="AI258">
        <f t="shared" si="76"/>
        <v>14097.260644165111</v>
      </c>
    </row>
    <row r="259" spans="1:35" x14ac:dyDescent="0.3">
      <c r="A259">
        <v>2021</v>
      </c>
      <c r="B259" t="s">
        <v>249</v>
      </c>
      <c r="C259" t="s">
        <v>331</v>
      </c>
      <c r="D259" t="s">
        <v>332</v>
      </c>
      <c r="E259" t="s">
        <v>252</v>
      </c>
      <c r="F259">
        <v>21</v>
      </c>
      <c r="G259" t="s">
        <v>79</v>
      </c>
      <c r="H259" t="s">
        <v>245</v>
      </c>
      <c r="I259" t="s">
        <v>246</v>
      </c>
      <c r="J259" t="s">
        <v>247</v>
      </c>
      <c r="K259" t="s">
        <v>248</v>
      </c>
      <c r="L259">
        <v>218231</v>
      </c>
      <c r="M259">
        <v>140589</v>
      </c>
      <c r="N259">
        <v>25</v>
      </c>
      <c r="O259">
        <f t="shared" si="88"/>
        <v>4.8828125E-2</v>
      </c>
      <c r="P259">
        <v>250</v>
      </c>
      <c r="Q259">
        <f t="shared" si="89"/>
        <v>4.8828125E-2</v>
      </c>
      <c r="R259">
        <v>0.4</v>
      </c>
      <c r="S259">
        <f t="shared" si="96"/>
        <v>4</v>
      </c>
      <c r="T259">
        <f t="shared" si="90"/>
        <v>2.1592442645074213E-2</v>
      </c>
      <c r="U259">
        <f t="shared" si="91"/>
        <v>-0.14743402344586459</v>
      </c>
      <c r="V259">
        <f t="shared" si="92"/>
        <v>1.5599999999999999E-2</v>
      </c>
      <c r="W259">
        <v>0.1</v>
      </c>
      <c r="X259">
        <f t="shared" si="93"/>
        <v>0.15599999999999997</v>
      </c>
      <c r="Y259">
        <v>2</v>
      </c>
      <c r="Z259">
        <v>3</v>
      </c>
      <c r="AA259" t="s">
        <v>50</v>
      </c>
      <c r="AB259">
        <f t="shared" si="94"/>
        <v>189.73665961010275</v>
      </c>
      <c r="AC259">
        <f t="shared" ref="AC259:AC322" si="97">(SQRT(S259/P259))*P259*4*4</f>
        <v>505.96442562694068</v>
      </c>
      <c r="AE259">
        <v>3</v>
      </c>
      <c r="AF259">
        <v>3</v>
      </c>
      <c r="AG259">
        <v>1</v>
      </c>
      <c r="AH259">
        <f t="shared" si="95"/>
        <v>101.22143853426279</v>
      </c>
      <c r="AI259">
        <f t="shared" ref="AI259:AI322" si="98">((S259/P259)^0.75)*P259*4*4*4</f>
        <v>719.79689624364653</v>
      </c>
    </row>
    <row r="260" spans="1:35" x14ac:dyDescent="0.3">
      <c r="A260">
        <v>2021</v>
      </c>
      <c r="B260" t="s">
        <v>249</v>
      </c>
      <c r="C260" t="s">
        <v>331</v>
      </c>
      <c r="D260" t="s">
        <v>332</v>
      </c>
      <c r="E260" t="s">
        <v>252</v>
      </c>
      <c r="F260">
        <v>21</v>
      </c>
      <c r="G260" t="s">
        <v>79</v>
      </c>
      <c r="H260" t="s">
        <v>215</v>
      </c>
      <c r="I260" t="s">
        <v>216</v>
      </c>
      <c r="J260" t="s">
        <v>217</v>
      </c>
      <c r="K260" t="s">
        <v>218</v>
      </c>
      <c r="L260">
        <v>218266</v>
      </c>
      <c r="M260">
        <v>139410</v>
      </c>
      <c r="N260">
        <v>34</v>
      </c>
      <c r="O260">
        <f t="shared" si="88"/>
        <v>6.640625E-2</v>
      </c>
      <c r="P260">
        <v>340</v>
      </c>
      <c r="Q260">
        <f t="shared" si="89"/>
        <v>6.640625E-2</v>
      </c>
      <c r="R260">
        <v>0.51</v>
      </c>
      <c r="S260">
        <f t="shared" si="96"/>
        <v>5.0999999999999996</v>
      </c>
      <c r="T260">
        <f t="shared" si="90"/>
        <v>2.7530364372469623E-2</v>
      </c>
      <c r="U260">
        <f t="shared" si="91"/>
        <v>-0.18009136604373785</v>
      </c>
      <c r="V260">
        <f t="shared" si="92"/>
        <v>1.5599999999999999E-2</v>
      </c>
      <c r="W260">
        <v>0.1</v>
      </c>
      <c r="X260">
        <f t="shared" si="93"/>
        <v>0.15599999999999997</v>
      </c>
      <c r="Y260">
        <v>2</v>
      </c>
      <c r="Z260">
        <v>2</v>
      </c>
      <c r="AA260" t="s">
        <v>50</v>
      </c>
      <c r="AB260">
        <f t="shared" si="94"/>
        <v>166.5653025092561</v>
      </c>
      <c r="AC260">
        <f t="shared" si="97"/>
        <v>666.2612100370244</v>
      </c>
      <c r="AE260">
        <v>2.5</v>
      </c>
      <c r="AF260">
        <v>1</v>
      </c>
      <c r="AG260">
        <v>2</v>
      </c>
      <c r="AH260">
        <f t="shared" si="95"/>
        <v>72.864730957319352</v>
      </c>
      <c r="AI260">
        <f t="shared" si="98"/>
        <v>932.66855625368771</v>
      </c>
    </row>
    <row r="261" spans="1:35" x14ac:dyDescent="0.3">
      <c r="A261">
        <v>2021</v>
      </c>
      <c r="B261" t="s">
        <v>249</v>
      </c>
      <c r="C261" t="s">
        <v>331</v>
      </c>
      <c r="D261" t="s">
        <v>332</v>
      </c>
      <c r="E261" t="s">
        <v>252</v>
      </c>
      <c r="F261">
        <v>21</v>
      </c>
      <c r="I261" t="s">
        <v>230</v>
      </c>
      <c r="J261" t="s">
        <v>231</v>
      </c>
      <c r="K261" t="s">
        <v>232</v>
      </c>
      <c r="L261">
        <v>233581</v>
      </c>
      <c r="M261">
        <v>128549</v>
      </c>
      <c r="N261">
        <v>22</v>
      </c>
      <c r="O261">
        <f t="shared" si="88"/>
        <v>4.296875E-2</v>
      </c>
      <c r="P261">
        <v>220</v>
      </c>
      <c r="Q261">
        <f t="shared" si="89"/>
        <v>4.296875E-2</v>
      </c>
      <c r="R261">
        <v>0.32</v>
      </c>
      <c r="S261">
        <f t="shared" si="96"/>
        <v>3.2</v>
      </c>
      <c r="T261">
        <f t="shared" si="90"/>
        <v>1.7273954116059372E-2</v>
      </c>
      <c r="U261">
        <f t="shared" si="91"/>
        <v>-0.13523478081442622</v>
      </c>
      <c r="V261">
        <f t="shared" si="92"/>
        <v>1.5599999999999999E-2</v>
      </c>
      <c r="W261">
        <v>0.1</v>
      </c>
      <c r="X261">
        <f t="shared" si="93"/>
        <v>0.15599999999999997</v>
      </c>
      <c r="Y261">
        <v>2</v>
      </c>
      <c r="Z261">
        <v>1</v>
      </c>
      <c r="AA261" t="s">
        <v>50</v>
      </c>
      <c r="AB261">
        <f t="shared" si="94"/>
        <v>53.065996645686397</v>
      </c>
      <c r="AC261">
        <f t="shared" si="97"/>
        <v>424.52797316549118</v>
      </c>
      <c r="AE261">
        <v>3</v>
      </c>
      <c r="AF261">
        <v>2</v>
      </c>
      <c r="AG261">
        <v>1</v>
      </c>
      <c r="AH261">
        <f t="shared" si="95"/>
        <v>55.286539110271093</v>
      </c>
      <c r="AI261">
        <f t="shared" si="98"/>
        <v>589.7230838428917</v>
      </c>
    </row>
    <row r="262" spans="1:35" x14ac:dyDescent="0.3">
      <c r="A262">
        <v>2021</v>
      </c>
      <c r="B262" t="s">
        <v>249</v>
      </c>
      <c r="C262" t="s">
        <v>331</v>
      </c>
      <c r="D262" t="s">
        <v>332</v>
      </c>
      <c r="E262" t="s">
        <v>252</v>
      </c>
      <c r="F262">
        <v>21</v>
      </c>
      <c r="G262" t="s">
        <v>79</v>
      </c>
      <c r="H262" t="s">
        <v>113</v>
      </c>
      <c r="I262" t="s">
        <v>114</v>
      </c>
      <c r="J262" t="s">
        <v>191</v>
      </c>
      <c r="K262" t="s">
        <v>192</v>
      </c>
      <c r="L262">
        <v>218286</v>
      </c>
      <c r="M262">
        <v>345281</v>
      </c>
      <c r="N262">
        <v>15</v>
      </c>
      <c r="O262">
        <f t="shared" si="88"/>
        <v>2.9296875E-2</v>
      </c>
      <c r="P262">
        <v>150</v>
      </c>
      <c r="Q262">
        <f t="shared" si="89"/>
        <v>2.9296875E-2</v>
      </c>
      <c r="R262">
        <v>0.03</v>
      </c>
      <c r="S262">
        <f t="shared" si="96"/>
        <v>0.3</v>
      </c>
      <c r="T262">
        <f t="shared" si="90"/>
        <v>1.6194331983805661E-3</v>
      </c>
      <c r="U262">
        <f t="shared" si="91"/>
        <v>-0.10342600851378801</v>
      </c>
      <c r="V262">
        <f t="shared" si="92"/>
        <v>1.5599999999999999E-2</v>
      </c>
      <c r="W262">
        <v>0.1</v>
      </c>
      <c r="X262">
        <f t="shared" si="93"/>
        <v>0.15599999999999997</v>
      </c>
      <c r="Y262">
        <v>2</v>
      </c>
      <c r="Z262">
        <v>2</v>
      </c>
      <c r="AA262" t="s">
        <v>50</v>
      </c>
      <c r="AB262">
        <f t="shared" si="94"/>
        <v>26.832815729997478</v>
      </c>
      <c r="AC262">
        <f t="shared" si="97"/>
        <v>107.33126291998991</v>
      </c>
      <c r="AE262">
        <v>2</v>
      </c>
      <c r="AF262">
        <v>4</v>
      </c>
      <c r="AG262">
        <v>3</v>
      </c>
      <c r="AH262">
        <f t="shared" si="95"/>
        <v>34.046697924114319</v>
      </c>
      <c r="AI262">
        <f t="shared" si="98"/>
        <v>90.791194464304851</v>
      </c>
    </row>
    <row r="263" spans="1:35" x14ac:dyDescent="0.3">
      <c r="A263">
        <v>2021</v>
      </c>
      <c r="B263" t="s">
        <v>249</v>
      </c>
      <c r="C263" t="s">
        <v>331</v>
      </c>
      <c r="D263" t="s">
        <v>332</v>
      </c>
      <c r="E263" t="s">
        <v>252</v>
      </c>
      <c r="F263">
        <v>21</v>
      </c>
      <c r="G263" t="s">
        <v>28</v>
      </c>
      <c r="H263" t="s">
        <v>29</v>
      </c>
      <c r="I263" t="s">
        <v>279</v>
      </c>
      <c r="J263" t="s">
        <v>280</v>
      </c>
      <c r="K263" t="s">
        <v>304</v>
      </c>
      <c r="L263">
        <v>217706</v>
      </c>
      <c r="M263">
        <v>124913</v>
      </c>
      <c r="N263">
        <v>5</v>
      </c>
      <c r="O263">
        <f t="shared" si="88"/>
        <v>9.765625E-3</v>
      </c>
      <c r="P263">
        <v>50</v>
      </c>
      <c r="Q263">
        <f t="shared" si="89"/>
        <v>9.765625E-3</v>
      </c>
      <c r="R263">
        <v>0.66</v>
      </c>
      <c r="S263">
        <f t="shared" si="96"/>
        <v>6.6000000000000005</v>
      </c>
      <c r="T263">
        <f t="shared" si="90"/>
        <v>3.5627530364372453E-2</v>
      </c>
      <c r="U263">
        <f t="shared" si="91"/>
        <v>-4.520397180278718E-2</v>
      </c>
      <c r="V263">
        <f t="shared" si="92"/>
        <v>1.5599999999999999E-2</v>
      </c>
      <c r="W263">
        <v>0.1</v>
      </c>
      <c r="X263">
        <f t="shared" si="93"/>
        <v>0.15599999999999997</v>
      </c>
      <c r="Y263">
        <v>2</v>
      </c>
      <c r="Z263">
        <v>2</v>
      </c>
      <c r="AA263" t="s">
        <v>50</v>
      </c>
      <c r="AB263">
        <f t="shared" si="94"/>
        <v>72.663608498339798</v>
      </c>
      <c r="AC263">
        <f t="shared" si="97"/>
        <v>290.65443399335919</v>
      </c>
      <c r="AE263">
        <v>1</v>
      </c>
      <c r="AF263">
        <v>3</v>
      </c>
      <c r="AG263">
        <v>1</v>
      </c>
      <c r="AH263">
        <f t="shared" si="95"/>
        <v>32.84896628815504</v>
      </c>
      <c r="AI263">
        <f t="shared" si="98"/>
        <v>700.77794748064082</v>
      </c>
    </row>
    <row r="264" spans="1:35" x14ac:dyDescent="0.3">
      <c r="A264">
        <v>2021</v>
      </c>
      <c r="B264" t="s">
        <v>249</v>
      </c>
      <c r="C264" t="s">
        <v>331</v>
      </c>
      <c r="D264" t="s">
        <v>332</v>
      </c>
      <c r="E264" t="s">
        <v>252</v>
      </c>
      <c r="F264">
        <v>21</v>
      </c>
      <c r="G264" t="s">
        <v>28</v>
      </c>
      <c r="H264" t="s">
        <v>29</v>
      </c>
      <c r="I264" t="s">
        <v>279</v>
      </c>
      <c r="J264" t="s">
        <v>280</v>
      </c>
      <c r="K264" t="s">
        <v>281</v>
      </c>
      <c r="L264">
        <v>217707</v>
      </c>
      <c r="M264">
        <v>124929</v>
      </c>
      <c r="N264">
        <v>1</v>
      </c>
      <c r="O264">
        <f t="shared" si="88"/>
        <v>1.953125E-3</v>
      </c>
      <c r="P264">
        <v>10</v>
      </c>
      <c r="Q264">
        <f t="shared" si="89"/>
        <v>1.953125E-3</v>
      </c>
      <c r="R264">
        <v>0.53</v>
      </c>
      <c r="S264">
        <f t="shared" si="96"/>
        <v>5.3000000000000007</v>
      </c>
      <c r="T264">
        <f t="shared" si="90"/>
        <v>2.8609986504723336E-2</v>
      </c>
      <c r="U264">
        <f t="shared" si="91"/>
        <v>-1.2184227783280288E-2</v>
      </c>
      <c r="V264">
        <f t="shared" si="92"/>
        <v>1.5599999999999999E-2</v>
      </c>
      <c r="W264">
        <v>0.1</v>
      </c>
      <c r="X264">
        <f t="shared" si="93"/>
        <v>0.15599999999999997</v>
      </c>
      <c r="Y264">
        <v>2</v>
      </c>
      <c r="Z264">
        <v>2</v>
      </c>
      <c r="AA264" t="s">
        <v>50</v>
      </c>
      <c r="AB264">
        <f t="shared" si="94"/>
        <v>29.120439557122072</v>
      </c>
      <c r="AC264">
        <f t="shared" si="97"/>
        <v>116.48175822848829</v>
      </c>
      <c r="AE264">
        <v>1</v>
      </c>
      <c r="AF264">
        <v>3</v>
      </c>
      <c r="AG264">
        <v>1</v>
      </c>
      <c r="AH264">
        <f t="shared" si="95"/>
        <v>18.634946786043709</v>
      </c>
      <c r="AI264">
        <f t="shared" si="98"/>
        <v>397.54553143559912</v>
      </c>
    </row>
    <row r="265" spans="1:35" x14ac:dyDescent="0.3">
      <c r="A265">
        <v>2021</v>
      </c>
      <c r="B265" t="s">
        <v>249</v>
      </c>
      <c r="C265" t="s">
        <v>331</v>
      </c>
      <c r="D265" t="s">
        <v>332</v>
      </c>
      <c r="E265" t="s">
        <v>252</v>
      </c>
      <c r="F265">
        <v>21</v>
      </c>
      <c r="K265" t="s">
        <v>330</v>
      </c>
      <c r="L265">
        <v>5000007</v>
      </c>
      <c r="M265">
        <v>793</v>
      </c>
      <c r="N265">
        <v>1</v>
      </c>
      <c r="O265">
        <f t="shared" si="88"/>
        <v>1.953125E-3</v>
      </c>
      <c r="P265">
        <v>10</v>
      </c>
      <c r="Q265">
        <f t="shared" si="89"/>
        <v>1.953125E-3</v>
      </c>
      <c r="R265">
        <v>0.13</v>
      </c>
      <c r="S265">
        <f t="shared" si="96"/>
        <v>1.3</v>
      </c>
      <c r="T265">
        <f t="shared" si="90"/>
        <v>7.0175438596491195E-3</v>
      </c>
      <c r="U265">
        <f t="shared" si="91"/>
        <v>-1.2184227783280288E-2</v>
      </c>
      <c r="V265">
        <f t="shared" si="92"/>
        <v>1.5599999999999999E-2</v>
      </c>
      <c r="W265">
        <v>0.1</v>
      </c>
      <c r="X265">
        <f t="shared" si="93"/>
        <v>0.15599999999999997</v>
      </c>
      <c r="Y265">
        <v>2</v>
      </c>
      <c r="Z265">
        <v>2</v>
      </c>
      <c r="AA265" t="s">
        <v>50</v>
      </c>
      <c r="AB265">
        <f t="shared" si="94"/>
        <v>14.422205101855958</v>
      </c>
      <c r="AC265">
        <f t="shared" si="97"/>
        <v>57.688820407423833</v>
      </c>
      <c r="AE265">
        <v>1.58</v>
      </c>
      <c r="AF265">
        <v>2</v>
      </c>
      <c r="AG265">
        <v>2.5</v>
      </c>
      <c r="AH265">
        <f t="shared" si="95"/>
        <v>17.103484780366248</v>
      </c>
      <c r="AI265">
        <f t="shared" si="98"/>
        <v>138.55987670170126</v>
      </c>
    </row>
    <row r="266" spans="1:35" x14ac:dyDescent="0.3">
      <c r="A266">
        <v>2021</v>
      </c>
      <c r="B266" t="s">
        <v>249</v>
      </c>
      <c r="C266" t="s">
        <v>331</v>
      </c>
      <c r="D266" t="s">
        <v>332</v>
      </c>
      <c r="E266" t="s">
        <v>252</v>
      </c>
      <c r="F266">
        <v>21</v>
      </c>
      <c r="G266" t="s">
        <v>79</v>
      </c>
      <c r="H266" t="s">
        <v>305</v>
      </c>
      <c r="I266" t="s">
        <v>306</v>
      </c>
      <c r="J266" t="s">
        <v>307</v>
      </c>
      <c r="K266" t="s">
        <v>308</v>
      </c>
      <c r="L266">
        <v>218300</v>
      </c>
      <c r="M266">
        <v>140737</v>
      </c>
      <c r="N266">
        <v>5</v>
      </c>
      <c r="O266">
        <f t="shared" si="88"/>
        <v>9.765625E-3</v>
      </c>
      <c r="P266">
        <v>50</v>
      </c>
      <c r="Q266">
        <f t="shared" si="89"/>
        <v>9.765625E-3</v>
      </c>
      <c r="R266">
        <v>0.19</v>
      </c>
      <c r="S266">
        <f t="shared" si="96"/>
        <v>1.9</v>
      </c>
      <c r="T266">
        <f t="shared" si="90"/>
        <v>1.0256410256410251E-2</v>
      </c>
      <c r="U266">
        <f t="shared" si="91"/>
        <v>-4.520397180278718E-2</v>
      </c>
      <c r="V266">
        <f t="shared" si="92"/>
        <v>1.5599999999999999E-2</v>
      </c>
      <c r="W266">
        <v>0.1</v>
      </c>
      <c r="X266">
        <f t="shared" si="93"/>
        <v>0.15599999999999997</v>
      </c>
      <c r="Y266">
        <v>2</v>
      </c>
      <c r="Z266">
        <v>2</v>
      </c>
      <c r="AA266" t="s">
        <v>50</v>
      </c>
      <c r="AB266">
        <f t="shared" si="94"/>
        <v>38.987177379235852</v>
      </c>
      <c r="AC266">
        <f t="shared" si="97"/>
        <v>155.94870951694341</v>
      </c>
      <c r="AE266">
        <v>3</v>
      </c>
      <c r="AF266">
        <v>1</v>
      </c>
      <c r="AG266">
        <v>1</v>
      </c>
      <c r="AH266">
        <f t="shared" si="95"/>
        <v>12.910080685117087</v>
      </c>
      <c r="AI266">
        <f t="shared" si="98"/>
        <v>275.4150546158312</v>
      </c>
    </row>
    <row r="267" spans="1:35" x14ac:dyDescent="0.3">
      <c r="A267">
        <v>2021</v>
      </c>
      <c r="B267" t="s">
        <v>249</v>
      </c>
      <c r="C267" t="s">
        <v>331</v>
      </c>
      <c r="D267" t="s">
        <v>332</v>
      </c>
      <c r="E267" t="s">
        <v>252</v>
      </c>
      <c r="F267">
        <v>21</v>
      </c>
      <c r="G267" t="s">
        <v>79</v>
      </c>
      <c r="H267" t="s">
        <v>113</v>
      </c>
      <c r="I267" t="s">
        <v>339</v>
      </c>
      <c r="J267" t="s">
        <v>340</v>
      </c>
      <c r="K267" t="s">
        <v>341</v>
      </c>
      <c r="L267">
        <v>218354</v>
      </c>
      <c r="M267">
        <v>141908</v>
      </c>
      <c r="N267">
        <v>2</v>
      </c>
      <c r="O267">
        <f t="shared" si="88"/>
        <v>3.90625E-3</v>
      </c>
      <c r="P267">
        <v>20</v>
      </c>
      <c r="Q267">
        <f t="shared" si="89"/>
        <v>3.90625E-3</v>
      </c>
      <c r="R267">
        <v>0.05</v>
      </c>
      <c r="S267">
        <f t="shared" si="96"/>
        <v>0.5</v>
      </c>
      <c r="T267">
        <f t="shared" si="90"/>
        <v>2.6990553306342766E-3</v>
      </c>
      <c r="U267">
        <f t="shared" si="91"/>
        <v>-2.166084939249829E-2</v>
      </c>
      <c r="V267">
        <f t="shared" si="92"/>
        <v>1.5599999999999999E-2</v>
      </c>
      <c r="W267">
        <v>0.1</v>
      </c>
      <c r="X267">
        <f t="shared" si="93"/>
        <v>0.15599999999999997</v>
      </c>
      <c r="Y267">
        <v>2</v>
      </c>
      <c r="Z267">
        <v>2</v>
      </c>
      <c r="AA267" t="s">
        <v>50</v>
      </c>
      <c r="AB267">
        <f t="shared" si="94"/>
        <v>12.649110640673518</v>
      </c>
      <c r="AC267">
        <f t="shared" si="97"/>
        <v>50.596442562694072</v>
      </c>
      <c r="AE267">
        <v>1</v>
      </c>
      <c r="AF267">
        <v>1</v>
      </c>
      <c r="AG267">
        <v>2</v>
      </c>
      <c r="AH267">
        <f t="shared" si="95"/>
        <v>2.5148668593658705</v>
      </c>
      <c r="AI267">
        <f t="shared" si="98"/>
        <v>80.475739499707856</v>
      </c>
    </row>
    <row r="268" spans="1:35" x14ac:dyDescent="0.3">
      <c r="A268">
        <v>2021</v>
      </c>
      <c r="B268" t="s">
        <v>249</v>
      </c>
      <c r="C268" t="s">
        <v>331</v>
      </c>
      <c r="D268" t="s">
        <v>332</v>
      </c>
      <c r="E268" t="s">
        <v>252</v>
      </c>
      <c r="F268">
        <v>21</v>
      </c>
      <c r="G268" t="s">
        <v>45</v>
      </c>
      <c r="H268" t="s">
        <v>46</v>
      </c>
      <c r="I268" t="s">
        <v>47</v>
      </c>
      <c r="J268" t="s">
        <v>48</v>
      </c>
      <c r="K268" t="s">
        <v>49</v>
      </c>
      <c r="L268">
        <v>218099</v>
      </c>
      <c r="M268">
        <v>139476</v>
      </c>
      <c r="N268">
        <v>1</v>
      </c>
      <c r="O268">
        <f t="shared" si="88"/>
        <v>1.953125E-3</v>
      </c>
      <c r="P268">
        <v>10</v>
      </c>
      <c r="Q268">
        <f t="shared" si="89"/>
        <v>1.953125E-3</v>
      </c>
      <c r="R268">
        <v>5.0000000000000001E-3</v>
      </c>
      <c r="S268">
        <f t="shared" si="96"/>
        <v>0.05</v>
      </c>
      <c r="T268">
        <f t="shared" si="90"/>
        <v>2.6990553306342768E-4</v>
      </c>
      <c r="U268">
        <f t="shared" si="91"/>
        <v>-1.2184227783280288E-2</v>
      </c>
      <c r="V268">
        <f t="shared" si="92"/>
        <v>1.5599999999999999E-2</v>
      </c>
      <c r="W268">
        <v>0.1</v>
      </c>
      <c r="X268">
        <f t="shared" si="93"/>
        <v>0.15599999999999997</v>
      </c>
      <c r="Y268">
        <v>2</v>
      </c>
      <c r="Z268">
        <v>3</v>
      </c>
      <c r="AA268" t="s">
        <v>50</v>
      </c>
      <c r="AB268">
        <f t="shared" si="94"/>
        <v>4.2426406871192848</v>
      </c>
      <c r="AC268">
        <f t="shared" si="97"/>
        <v>11.313708498984759</v>
      </c>
      <c r="AE268">
        <v>3</v>
      </c>
      <c r="AF268">
        <v>2</v>
      </c>
      <c r="AG268">
        <v>2</v>
      </c>
      <c r="AH268">
        <f t="shared" si="95"/>
        <v>2.2563618558518375</v>
      </c>
      <c r="AI268">
        <f t="shared" si="98"/>
        <v>12.033929897876465</v>
      </c>
    </row>
    <row r="269" spans="1:35" x14ac:dyDescent="0.3">
      <c r="A269">
        <v>2021</v>
      </c>
      <c r="B269" t="s">
        <v>249</v>
      </c>
      <c r="C269" t="s">
        <v>331</v>
      </c>
      <c r="D269" t="s">
        <v>332</v>
      </c>
      <c r="E269" t="s">
        <v>252</v>
      </c>
      <c r="F269">
        <v>21</v>
      </c>
      <c r="G269" t="s">
        <v>79</v>
      </c>
      <c r="H269" t="s">
        <v>113</v>
      </c>
      <c r="I269" t="s">
        <v>336</v>
      </c>
      <c r="J269" t="s">
        <v>337</v>
      </c>
      <c r="K269" t="s">
        <v>338</v>
      </c>
      <c r="L269">
        <v>218252</v>
      </c>
      <c r="M269">
        <v>138802</v>
      </c>
      <c r="N269">
        <v>1</v>
      </c>
      <c r="O269">
        <f t="shared" si="88"/>
        <v>1.953125E-3</v>
      </c>
      <c r="P269">
        <v>10</v>
      </c>
      <c r="Q269">
        <f t="shared" si="89"/>
        <v>1.953125E-3</v>
      </c>
      <c r="R269">
        <v>0.02</v>
      </c>
      <c r="S269">
        <f t="shared" si="96"/>
        <v>0.2</v>
      </c>
      <c r="T269">
        <f t="shared" si="90"/>
        <v>1.0796221322537107E-3</v>
      </c>
      <c r="U269">
        <f t="shared" si="91"/>
        <v>-1.2184227783280288E-2</v>
      </c>
      <c r="V269">
        <f t="shared" si="92"/>
        <v>1.5599999999999999E-2</v>
      </c>
      <c r="W269">
        <v>0.1</v>
      </c>
      <c r="X269">
        <f t="shared" si="93"/>
        <v>0.15599999999999997</v>
      </c>
      <c r="Y269">
        <v>2.5</v>
      </c>
      <c r="Z269">
        <v>2</v>
      </c>
      <c r="AA269" t="s">
        <v>50</v>
      </c>
      <c r="AB269">
        <f t="shared" si="94"/>
        <v>7.0710678118654746</v>
      </c>
      <c r="AC269">
        <f t="shared" si="97"/>
        <v>22.627416997969519</v>
      </c>
      <c r="AE269">
        <v>1</v>
      </c>
      <c r="AF269">
        <v>1</v>
      </c>
      <c r="AG269">
        <v>3</v>
      </c>
      <c r="AH269">
        <f t="shared" si="95"/>
        <v>1.5954887690834969</v>
      </c>
      <c r="AI269">
        <f t="shared" si="98"/>
        <v>34.037093740447936</v>
      </c>
    </row>
    <row r="270" spans="1:35" x14ac:dyDescent="0.3">
      <c r="A270">
        <v>2021</v>
      </c>
      <c r="B270" t="s">
        <v>249</v>
      </c>
      <c r="C270" t="s">
        <v>331</v>
      </c>
      <c r="D270" t="s">
        <v>332</v>
      </c>
      <c r="E270" t="s">
        <v>252</v>
      </c>
      <c r="F270">
        <v>21</v>
      </c>
      <c r="G270" t="s">
        <v>45</v>
      </c>
      <c r="H270" t="s">
        <v>71</v>
      </c>
      <c r="I270" t="s">
        <v>72</v>
      </c>
      <c r="J270" t="s">
        <v>73</v>
      </c>
      <c r="K270" t="s">
        <v>74</v>
      </c>
      <c r="L270">
        <v>217978</v>
      </c>
      <c r="M270">
        <v>140129</v>
      </c>
      <c r="N270">
        <v>3</v>
      </c>
      <c r="O270">
        <f t="shared" si="88"/>
        <v>5.859375E-3</v>
      </c>
      <c r="P270">
        <v>30</v>
      </c>
      <c r="Q270">
        <f t="shared" si="89"/>
        <v>5.859375E-3</v>
      </c>
      <c r="R270">
        <v>0.01</v>
      </c>
      <c r="S270">
        <f t="shared" si="96"/>
        <v>0.1</v>
      </c>
      <c r="T270">
        <f t="shared" si="90"/>
        <v>5.3981106612685536E-4</v>
      </c>
      <c r="U270">
        <f t="shared" si="91"/>
        <v>-3.0115501970926158E-2</v>
      </c>
      <c r="V270">
        <f t="shared" si="92"/>
        <v>1.5599999999999999E-2</v>
      </c>
      <c r="W270">
        <v>0.1</v>
      </c>
      <c r="X270">
        <f t="shared" si="93"/>
        <v>0.15599999999999997</v>
      </c>
      <c r="Y270">
        <v>2</v>
      </c>
      <c r="Z270">
        <v>3</v>
      </c>
      <c r="AA270" t="s">
        <v>50</v>
      </c>
      <c r="AB270">
        <f t="shared" si="94"/>
        <v>10.392304845413264</v>
      </c>
      <c r="AC270">
        <f t="shared" si="97"/>
        <v>27.712812921102039</v>
      </c>
      <c r="AE270">
        <v>1</v>
      </c>
      <c r="AF270">
        <v>3</v>
      </c>
      <c r="AG270">
        <v>1</v>
      </c>
      <c r="AH270">
        <f t="shared" si="95"/>
        <v>1.2485374350863452</v>
      </c>
      <c r="AI270">
        <f t="shared" si="98"/>
        <v>26.635465281842031</v>
      </c>
    </row>
    <row r="271" spans="1:35" x14ac:dyDescent="0.3">
      <c r="A271">
        <v>2021</v>
      </c>
      <c r="B271" t="s">
        <v>249</v>
      </c>
      <c r="C271" t="s">
        <v>331</v>
      </c>
      <c r="D271" t="s">
        <v>332</v>
      </c>
      <c r="E271" t="s">
        <v>252</v>
      </c>
      <c r="F271">
        <v>21</v>
      </c>
      <c r="G271" t="s">
        <v>22</v>
      </c>
      <c r="I271" t="s">
        <v>148</v>
      </c>
      <c r="J271" t="s">
        <v>149</v>
      </c>
      <c r="K271" t="s">
        <v>150</v>
      </c>
      <c r="L271">
        <v>227872</v>
      </c>
      <c r="M271">
        <v>130578</v>
      </c>
      <c r="N271">
        <v>1</v>
      </c>
      <c r="O271">
        <f t="shared" si="88"/>
        <v>1.953125E-3</v>
      </c>
      <c r="P271">
        <v>10</v>
      </c>
      <c r="Q271">
        <f t="shared" si="89"/>
        <v>1.953125E-3</v>
      </c>
      <c r="R271">
        <v>5.0000000000000001E-3</v>
      </c>
      <c r="S271">
        <f t="shared" si="96"/>
        <v>0.05</v>
      </c>
      <c r="T271">
        <f t="shared" si="90"/>
        <v>2.6990553306342768E-4</v>
      </c>
      <c r="U271">
        <f t="shared" si="91"/>
        <v>-1.2184227783280288E-2</v>
      </c>
      <c r="V271">
        <f t="shared" si="92"/>
        <v>1.5599999999999999E-2</v>
      </c>
      <c r="W271">
        <v>0.1</v>
      </c>
      <c r="X271">
        <f t="shared" si="93"/>
        <v>0.15599999999999997</v>
      </c>
      <c r="Y271">
        <v>2</v>
      </c>
      <c r="Z271">
        <v>3</v>
      </c>
      <c r="AA271" t="s">
        <v>50</v>
      </c>
      <c r="AB271">
        <f t="shared" si="94"/>
        <v>4.2426406871192848</v>
      </c>
      <c r="AC271">
        <f t="shared" si="97"/>
        <v>11.313708498984759</v>
      </c>
      <c r="AE271">
        <v>1</v>
      </c>
      <c r="AF271">
        <v>3.25</v>
      </c>
      <c r="AG271">
        <v>2</v>
      </c>
      <c r="AH271">
        <f t="shared" si="95"/>
        <v>1.2221960052530785</v>
      </c>
      <c r="AI271">
        <f t="shared" si="98"/>
        <v>12.033929897876465</v>
      </c>
    </row>
    <row r="272" spans="1:35" x14ac:dyDescent="0.3">
      <c r="A272">
        <v>2021</v>
      </c>
      <c r="B272" t="s">
        <v>249</v>
      </c>
      <c r="C272" t="s">
        <v>331</v>
      </c>
      <c r="D272" t="s">
        <v>332</v>
      </c>
      <c r="E272" t="s">
        <v>252</v>
      </c>
      <c r="F272">
        <v>21</v>
      </c>
      <c r="G272" t="s">
        <v>51</v>
      </c>
      <c r="H272" t="s">
        <v>52</v>
      </c>
      <c r="I272" t="s">
        <v>53</v>
      </c>
      <c r="J272" t="s">
        <v>54</v>
      </c>
      <c r="K272" t="s">
        <v>342</v>
      </c>
      <c r="L272">
        <v>233412</v>
      </c>
      <c r="M272">
        <v>110472</v>
      </c>
      <c r="N272">
        <v>1</v>
      </c>
      <c r="O272">
        <f t="shared" si="88"/>
        <v>1.953125E-3</v>
      </c>
      <c r="P272">
        <v>10</v>
      </c>
      <c r="Q272">
        <f t="shared" si="89"/>
        <v>1.953125E-3</v>
      </c>
      <c r="R272">
        <v>5.0000000000000001E-3</v>
      </c>
      <c r="S272">
        <f t="shared" si="96"/>
        <v>0.05</v>
      </c>
      <c r="T272">
        <f t="shared" si="90"/>
        <v>2.6990553306342768E-4</v>
      </c>
      <c r="U272">
        <f t="shared" si="91"/>
        <v>-1.2184227783280288E-2</v>
      </c>
      <c r="V272">
        <f t="shared" si="92"/>
        <v>1.5599999999999999E-2</v>
      </c>
      <c r="W272">
        <v>0.1</v>
      </c>
      <c r="X272">
        <f t="shared" si="93"/>
        <v>0.15599999999999997</v>
      </c>
      <c r="Y272">
        <v>2</v>
      </c>
      <c r="Z272">
        <v>3</v>
      </c>
      <c r="AA272" t="s">
        <v>50</v>
      </c>
      <c r="AB272">
        <f t="shared" si="94"/>
        <v>4.2426406871192848</v>
      </c>
      <c r="AC272">
        <f t="shared" si="97"/>
        <v>11.313708498984759</v>
      </c>
      <c r="AE272">
        <v>3</v>
      </c>
      <c r="AF272">
        <v>2</v>
      </c>
      <c r="AG272">
        <v>1</v>
      </c>
      <c r="AH272">
        <f t="shared" si="95"/>
        <v>1.1281809279259187</v>
      </c>
      <c r="AI272">
        <f t="shared" si="98"/>
        <v>12.033929897876465</v>
      </c>
    </row>
    <row r="273" spans="1:36" x14ac:dyDescent="0.3">
      <c r="A273">
        <v>2021</v>
      </c>
      <c r="B273" t="s">
        <v>249</v>
      </c>
      <c r="C273" t="s">
        <v>331</v>
      </c>
      <c r="D273" t="s">
        <v>332</v>
      </c>
      <c r="E273" t="s">
        <v>252</v>
      </c>
      <c r="F273">
        <v>21</v>
      </c>
      <c r="G273" t="s">
        <v>51</v>
      </c>
      <c r="H273" t="s">
        <v>52</v>
      </c>
      <c r="I273" t="s">
        <v>53</v>
      </c>
      <c r="J273" t="s">
        <v>54</v>
      </c>
      <c r="K273" t="s">
        <v>318</v>
      </c>
      <c r="L273">
        <v>233414</v>
      </c>
      <c r="M273">
        <v>110481</v>
      </c>
      <c r="N273">
        <v>1</v>
      </c>
      <c r="O273">
        <f t="shared" si="88"/>
        <v>1.953125E-3</v>
      </c>
      <c r="P273">
        <v>10</v>
      </c>
      <c r="Q273">
        <f t="shared" si="89"/>
        <v>1.953125E-3</v>
      </c>
      <c r="R273">
        <v>5.0000000000000001E-3</v>
      </c>
      <c r="S273">
        <f t="shared" si="96"/>
        <v>0.05</v>
      </c>
      <c r="T273">
        <f t="shared" si="90"/>
        <v>2.6990553306342768E-4</v>
      </c>
      <c r="U273">
        <f t="shared" si="91"/>
        <v>-1.2184227783280288E-2</v>
      </c>
      <c r="V273">
        <f t="shared" si="92"/>
        <v>1.5599999999999999E-2</v>
      </c>
      <c r="W273">
        <v>0.1</v>
      </c>
      <c r="X273">
        <f t="shared" si="93"/>
        <v>0.15599999999999997</v>
      </c>
      <c r="Y273">
        <v>2</v>
      </c>
      <c r="Z273">
        <v>3</v>
      </c>
      <c r="AA273" t="s">
        <v>50</v>
      </c>
      <c r="AB273">
        <f t="shared" si="94"/>
        <v>4.2426406871192848</v>
      </c>
      <c r="AC273">
        <f t="shared" si="97"/>
        <v>11.313708498984759</v>
      </c>
      <c r="AE273">
        <v>3</v>
      </c>
      <c r="AF273">
        <v>2</v>
      </c>
      <c r="AG273">
        <v>1</v>
      </c>
      <c r="AH273">
        <f t="shared" si="95"/>
        <v>1.1281809279259187</v>
      </c>
      <c r="AI273">
        <f t="shared" si="98"/>
        <v>12.033929897876465</v>
      </c>
    </row>
    <row r="274" spans="1:36" x14ac:dyDescent="0.3">
      <c r="A274">
        <v>2021</v>
      </c>
      <c r="B274" t="s">
        <v>249</v>
      </c>
      <c r="C274" t="s">
        <v>331</v>
      </c>
      <c r="D274" t="s">
        <v>332</v>
      </c>
      <c r="E274" t="s">
        <v>252</v>
      </c>
      <c r="F274">
        <v>21</v>
      </c>
      <c r="G274" t="s">
        <v>79</v>
      </c>
      <c r="H274" t="s">
        <v>113</v>
      </c>
      <c r="I274" t="s">
        <v>353</v>
      </c>
      <c r="J274" t="s">
        <v>354</v>
      </c>
      <c r="K274" t="s">
        <v>354</v>
      </c>
      <c r="L274">
        <v>1005113</v>
      </c>
      <c r="M274">
        <v>138159</v>
      </c>
      <c r="N274">
        <v>1</v>
      </c>
      <c r="O274">
        <f t="shared" si="88"/>
        <v>1.953125E-3</v>
      </c>
      <c r="P274">
        <v>10</v>
      </c>
      <c r="Q274">
        <f t="shared" si="89"/>
        <v>1.953125E-3</v>
      </c>
      <c r="R274">
        <v>0.02</v>
      </c>
      <c r="S274">
        <f t="shared" si="96"/>
        <v>0.2</v>
      </c>
      <c r="T274">
        <f t="shared" si="90"/>
        <v>1.0796221322537107E-3</v>
      </c>
      <c r="U274">
        <f t="shared" si="91"/>
        <v>-1.2184227783280288E-2</v>
      </c>
      <c r="V274">
        <f t="shared" si="92"/>
        <v>1.5599999999999999E-2</v>
      </c>
      <c r="W274">
        <v>0.1</v>
      </c>
      <c r="X274">
        <f t="shared" si="93"/>
        <v>0.15599999999999997</v>
      </c>
      <c r="Y274">
        <v>2</v>
      </c>
      <c r="Z274">
        <v>2</v>
      </c>
      <c r="AA274" t="s">
        <v>50</v>
      </c>
      <c r="AB274">
        <f t="shared" si="94"/>
        <v>5.6568542494923797</v>
      </c>
      <c r="AC274">
        <f t="shared" si="97"/>
        <v>22.627416997969519</v>
      </c>
      <c r="AE274">
        <v>1</v>
      </c>
      <c r="AF274">
        <v>1</v>
      </c>
      <c r="AG274">
        <v>2</v>
      </c>
      <c r="AH274">
        <f t="shared" si="95"/>
        <v>1.063659179388998</v>
      </c>
      <c r="AI274">
        <f t="shared" si="98"/>
        <v>34.037093740447936</v>
      </c>
    </row>
    <row r="275" spans="1:36" x14ac:dyDescent="0.3">
      <c r="A275">
        <v>2021</v>
      </c>
      <c r="B275" t="s">
        <v>249</v>
      </c>
      <c r="C275" t="s">
        <v>331</v>
      </c>
      <c r="D275" t="s">
        <v>332</v>
      </c>
      <c r="E275" t="s">
        <v>252</v>
      </c>
      <c r="F275">
        <v>21</v>
      </c>
      <c r="G275" t="s">
        <v>51</v>
      </c>
      <c r="H275" t="s">
        <v>52</v>
      </c>
      <c r="I275" t="s">
        <v>193</v>
      </c>
      <c r="J275" t="s">
        <v>219</v>
      </c>
      <c r="K275" t="s">
        <v>220</v>
      </c>
      <c r="L275">
        <v>233479</v>
      </c>
      <c r="M275">
        <v>110535</v>
      </c>
      <c r="N275">
        <v>2</v>
      </c>
      <c r="O275">
        <f t="shared" si="88"/>
        <v>3.90625E-3</v>
      </c>
      <c r="P275">
        <v>20</v>
      </c>
      <c r="Q275">
        <f t="shared" si="89"/>
        <v>3.90625E-3</v>
      </c>
      <c r="R275">
        <v>5.0000000000000001E-3</v>
      </c>
      <c r="S275">
        <f t="shared" si="96"/>
        <v>0.05</v>
      </c>
      <c r="T275">
        <f t="shared" si="90"/>
        <v>2.6990553306342768E-4</v>
      </c>
      <c r="U275">
        <f t="shared" si="91"/>
        <v>-2.166084939249829E-2</v>
      </c>
      <c r="V275">
        <f t="shared" si="92"/>
        <v>1.5599999999999999E-2</v>
      </c>
      <c r="W275">
        <v>0.1</v>
      </c>
      <c r="X275">
        <f t="shared" si="93"/>
        <v>0.15599999999999997</v>
      </c>
      <c r="Y275">
        <v>2</v>
      </c>
      <c r="Z275">
        <v>3</v>
      </c>
      <c r="AA275" t="s">
        <v>50</v>
      </c>
      <c r="AB275">
        <f t="shared" si="94"/>
        <v>6</v>
      </c>
      <c r="AC275">
        <f t="shared" si="97"/>
        <v>16</v>
      </c>
      <c r="AE275">
        <v>1</v>
      </c>
      <c r="AF275">
        <v>3.14</v>
      </c>
      <c r="AG275">
        <v>1.5</v>
      </c>
      <c r="AH275">
        <f t="shared" si="95"/>
        <v>1.0531880174024009</v>
      </c>
      <c r="AI275">
        <f t="shared" si="98"/>
        <v>14.310835055998654</v>
      </c>
    </row>
    <row r="276" spans="1:36" x14ac:dyDescent="0.3">
      <c r="A276">
        <v>2021</v>
      </c>
      <c r="B276" t="s">
        <v>249</v>
      </c>
      <c r="C276" t="s">
        <v>331</v>
      </c>
      <c r="D276" t="s">
        <v>332</v>
      </c>
      <c r="E276" t="s">
        <v>252</v>
      </c>
      <c r="F276">
        <v>21</v>
      </c>
      <c r="G276" t="s">
        <v>45</v>
      </c>
      <c r="I276" t="s">
        <v>333</v>
      </c>
      <c r="J276" t="s">
        <v>334</v>
      </c>
      <c r="K276" t="s">
        <v>335</v>
      </c>
      <c r="L276">
        <v>218098</v>
      </c>
      <c r="M276">
        <v>138691</v>
      </c>
      <c r="N276">
        <v>1</v>
      </c>
      <c r="O276">
        <f t="shared" si="88"/>
        <v>1.953125E-3</v>
      </c>
      <c r="P276">
        <v>10</v>
      </c>
      <c r="Q276">
        <f t="shared" si="89"/>
        <v>1.953125E-3</v>
      </c>
      <c r="R276">
        <v>0.01</v>
      </c>
      <c r="S276">
        <f t="shared" si="96"/>
        <v>0.1</v>
      </c>
      <c r="T276">
        <f t="shared" si="90"/>
        <v>5.3981106612685536E-4</v>
      </c>
      <c r="U276">
        <f t="shared" si="91"/>
        <v>-1.2184227783280288E-2</v>
      </c>
      <c r="V276">
        <f t="shared" si="92"/>
        <v>1.5599999999999999E-2</v>
      </c>
      <c r="W276">
        <v>0.1</v>
      </c>
      <c r="X276">
        <f t="shared" si="93"/>
        <v>0.15599999999999997</v>
      </c>
      <c r="Y276">
        <v>2</v>
      </c>
      <c r="Z276">
        <v>3</v>
      </c>
      <c r="AA276" t="s">
        <v>50</v>
      </c>
      <c r="AB276">
        <f t="shared" si="94"/>
        <v>6</v>
      </c>
      <c r="AC276">
        <f t="shared" si="97"/>
        <v>16</v>
      </c>
      <c r="AE276">
        <v>1</v>
      </c>
      <c r="AF276">
        <v>2</v>
      </c>
      <c r="AG276">
        <v>1.5</v>
      </c>
      <c r="AH276">
        <f t="shared" si="95"/>
        <v>0.94868329805051399</v>
      </c>
      <c r="AI276">
        <f t="shared" si="98"/>
        <v>20.238577025077632</v>
      </c>
    </row>
    <row r="277" spans="1:36" x14ac:dyDescent="0.3">
      <c r="A277">
        <v>2021</v>
      </c>
      <c r="B277" t="s">
        <v>249</v>
      </c>
      <c r="C277" t="s">
        <v>331</v>
      </c>
      <c r="D277" t="s">
        <v>332</v>
      </c>
      <c r="E277" t="s">
        <v>252</v>
      </c>
      <c r="F277">
        <v>21</v>
      </c>
      <c r="G277" t="s">
        <v>51</v>
      </c>
      <c r="H277" t="s">
        <v>355</v>
      </c>
      <c r="K277" t="s">
        <v>355</v>
      </c>
      <c r="L277">
        <v>3000221</v>
      </c>
      <c r="M277">
        <v>1133</v>
      </c>
      <c r="N277">
        <v>1</v>
      </c>
      <c r="O277">
        <f t="shared" si="88"/>
        <v>1.953125E-3</v>
      </c>
      <c r="P277">
        <v>10</v>
      </c>
      <c r="Q277">
        <f t="shared" si="89"/>
        <v>1.953125E-3</v>
      </c>
      <c r="R277">
        <v>5.0000000000000001E-3</v>
      </c>
      <c r="S277">
        <f t="shared" si="96"/>
        <v>0.05</v>
      </c>
      <c r="T277">
        <f t="shared" si="90"/>
        <v>2.6990553306342768E-4</v>
      </c>
      <c r="U277">
        <f t="shared" si="91"/>
        <v>-1.2184227783280288E-2</v>
      </c>
      <c r="V277">
        <f t="shared" si="92"/>
        <v>1.5599999999999999E-2</v>
      </c>
      <c r="W277">
        <v>0.1</v>
      </c>
      <c r="X277">
        <f t="shared" si="93"/>
        <v>0.15599999999999997</v>
      </c>
      <c r="Y277">
        <v>2</v>
      </c>
      <c r="Z277">
        <v>2</v>
      </c>
      <c r="AA277" t="s">
        <v>50</v>
      </c>
      <c r="AB277">
        <f t="shared" si="94"/>
        <v>2.8284271247461898</v>
      </c>
      <c r="AC277">
        <f t="shared" si="97"/>
        <v>11.313708498984759</v>
      </c>
      <c r="AE277">
        <v>1</v>
      </c>
      <c r="AF277">
        <v>2.5</v>
      </c>
      <c r="AG277">
        <v>1</v>
      </c>
      <c r="AH277">
        <f t="shared" si="95"/>
        <v>0.4700753866357994</v>
      </c>
      <c r="AI277">
        <f t="shared" si="98"/>
        <v>12.033929897876465</v>
      </c>
    </row>
    <row r="278" spans="1:36" x14ac:dyDescent="0.3">
      <c r="A278">
        <v>2021</v>
      </c>
      <c r="B278" t="s">
        <v>249</v>
      </c>
      <c r="C278" t="s">
        <v>331</v>
      </c>
      <c r="D278" t="s">
        <v>332</v>
      </c>
      <c r="E278" t="s">
        <v>252</v>
      </c>
      <c r="F278">
        <v>21</v>
      </c>
      <c r="G278" t="s">
        <v>345</v>
      </c>
      <c r="H278" t="s">
        <v>346</v>
      </c>
      <c r="I278" t="s">
        <v>347</v>
      </c>
      <c r="J278" t="s">
        <v>348</v>
      </c>
      <c r="K278" t="s">
        <v>348</v>
      </c>
      <c r="L278">
        <v>1009370</v>
      </c>
      <c r="M278">
        <v>134591</v>
      </c>
      <c r="N278">
        <v>1</v>
      </c>
      <c r="O278">
        <f t="shared" si="88"/>
        <v>1.953125E-3</v>
      </c>
      <c r="P278">
        <v>10</v>
      </c>
      <c r="Q278">
        <f t="shared" si="89"/>
        <v>1.953125E-3</v>
      </c>
      <c r="R278">
        <v>5.0000000000000001E-3</v>
      </c>
      <c r="S278">
        <f t="shared" si="96"/>
        <v>0.05</v>
      </c>
      <c r="T278">
        <f t="shared" si="90"/>
        <v>2.6990553306342768E-4</v>
      </c>
      <c r="U278">
        <f t="shared" si="91"/>
        <v>-1.2184227783280288E-2</v>
      </c>
      <c r="V278">
        <f t="shared" si="92"/>
        <v>1.5599999999999999E-2</v>
      </c>
      <c r="W278">
        <v>0.1</v>
      </c>
      <c r="X278">
        <f t="shared" si="93"/>
        <v>0.15599999999999997</v>
      </c>
      <c r="Y278">
        <v>1</v>
      </c>
      <c r="Z278">
        <v>1</v>
      </c>
      <c r="AA278" t="s">
        <v>50</v>
      </c>
      <c r="AB278">
        <f t="shared" si="94"/>
        <v>0.70710678118654746</v>
      </c>
      <c r="AC278">
        <f t="shared" si="97"/>
        <v>11.313708498984759</v>
      </c>
      <c r="AE278">
        <v>1</v>
      </c>
      <c r="AF278">
        <v>2.17</v>
      </c>
      <c r="AG278">
        <v>1</v>
      </c>
      <c r="AH278">
        <f t="shared" si="95"/>
        <v>0.40802543559987386</v>
      </c>
      <c r="AI278">
        <f t="shared" si="98"/>
        <v>12.033929897876465</v>
      </c>
    </row>
    <row r="279" spans="1:36" x14ac:dyDescent="0.3">
      <c r="A279">
        <v>2021</v>
      </c>
      <c r="B279" t="s">
        <v>249</v>
      </c>
      <c r="C279" t="s">
        <v>331</v>
      </c>
      <c r="D279" t="s">
        <v>332</v>
      </c>
      <c r="E279" t="s">
        <v>252</v>
      </c>
      <c r="F279">
        <v>21</v>
      </c>
      <c r="G279" t="s">
        <v>51</v>
      </c>
      <c r="H279" t="s">
        <v>126</v>
      </c>
      <c r="I279" t="s">
        <v>207</v>
      </c>
      <c r="J279" t="s">
        <v>208</v>
      </c>
      <c r="K279" t="s">
        <v>210</v>
      </c>
      <c r="L279">
        <v>233384</v>
      </c>
      <c r="M279">
        <v>101930</v>
      </c>
      <c r="N279">
        <v>2</v>
      </c>
      <c r="O279">
        <f t="shared" si="88"/>
        <v>3.90625E-3</v>
      </c>
      <c r="P279">
        <v>20</v>
      </c>
      <c r="Q279">
        <f t="shared" si="89"/>
        <v>3.90625E-3</v>
      </c>
      <c r="R279">
        <v>0.01</v>
      </c>
      <c r="S279">
        <f t="shared" si="96"/>
        <v>0.1</v>
      </c>
      <c r="T279">
        <f t="shared" si="90"/>
        <v>5.3981106612685536E-4</v>
      </c>
      <c r="U279">
        <f t="shared" si="91"/>
        <v>-2.166084939249829E-2</v>
      </c>
      <c r="V279">
        <f t="shared" si="92"/>
        <v>1.5599999999999999E-2</v>
      </c>
      <c r="W279">
        <v>0.1</v>
      </c>
      <c r="X279">
        <f t="shared" si="93"/>
        <v>0.15599999999999997</v>
      </c>
      <c r="Y279">
        <v>2</v>
      </c>
      <c r="Z279">
        <v>1</v>
      </c>
      <c r="AA279" t="s">
        <v>50</v>
      </c>
      <c r="AB279">
        <f t="shared" si="94"/>
        <v>2.8284271247461898</v>
      </c>
      <c r="AC279">
        <f t="shared" si="97"/>
        <v>22.627416997969519</v>
      </c>
      <c r="AE279">
        <v>1</v>
      </c>
      <c r="AF279">
        <v>1</v>
      </c>
      <c r="AG279">
        <v>1</v>
      </c>
      <c r="AH279">
        <f t="shared" si="95"/>
        <v>0.37606030930863954</v>
      </c>
      <c r="AI279">
        <f t="shared" si="98"/>
        <v>24.067859795752931</v>
      </c>
    </row>
    <row r="280" spans="1:36" x14ac:dyDescent="0.3">
      <c r="A280">
        <v>2021</v>
      </c>
      <c r="B280" t="s">
        <v>249</v>
      </c>
      <c r="C280" t="s">
        <v>331</v>
      </c>
      <c r="D280" t="s">
        <v>332</v>
      </c>
      <c r="E280" t="s">
        <v>252</v>
      </c>
      <c r="F280">
        <v>21</v>
      </c>
      <c r="G280" t="s">
        <v>22</v>
      </c>
      <c r="H280" t="s">
        <v>67</v>
      </c>
      <c r="I280" t="s">
        <v>84</v>
      </c>
      <c r="J280" t="s">
        <v>85</v>
      </c>
      <c r="K280" t="s">
        <v>199</v>
      </c>
      <c r="L280">
        <v>227130</v>
      </c>
      <c r="M280">
        <v>130599</v>
      </c>
      <c r="N280">
        <v>1</v>
      </c>
      <c r="O280">
        <f t="shared" si="88"/>
        <v>1.953125E-3</v>
      </c>
      <c r="P280">
        <v>10</v>
      </c>
      <c r="Q280">
        <f t="shared" si="89"/>
        <v>1.953125E-3</v>
      </c>
      <c r="R280">
        <v>5.0000000000000001E-3</v>
      </c>
      <c r="S280">
        <f t="shared" si="96"/>
        <v>0.05</v>
      </c>
      <c r="T280">
        <f t="shared" si="90"/>
        <v>2.6990553306342768E-4</v>
      </c>
      <c r="U280">
        <f t="shared" si="91"/>
        <v>-1.2184227783280288E-2</v>
      </c>
      <c r="V280">
        <f t="shared" si="92"/>
        <v>1.5599999999999999E-2</v>
      </c>
      <c r="W280">
        <v>0.1</v>
      </c>
      <c r="X280">
        <f t="shared" si="93"/>
        <v>0.15599999999999997</v>
      </c>
      <c r="Y280">
        <v>2</v>
      </c>
      <c r="Z280">
        <v>2</v>
      </c>
      <c r="AA280" t="s">
        <v>50</v>
      </c>
      <c r="AB280">
        <f t="shared" si="94"/>
        <v>2.8284271247461898</v>
      </c>
      <c r="AC280">
        <f t="shared" si="97"/>
        <v>11.313708498984759</v>
      </c>
      <c r="AE280">
        <v>1</v>
      </c>
      <c r="AF280">
        <v>2</v>
      </c>
      <c r="AG280">
        <v>1</v>
      </c>
      <c r="AH280">
        <f t="shared" si="95"/>
        <v>0.37606030930863954</v>
      </c>
      <c r="AI280">
        <f t="shared" si="98"/>
        <v>12.033929897876465</v>
      </c>
    </row>
    <row r="281" spans="1:36" x14ac:dyDescent="0.3">
      <c r="A281">
        <v>2021</v>
      </c>
      <c r="B281" t="s">
        <v>249</v>
      </c>
      <c r="C281" t="s">
        <v>331</v>
      </c>
      <c r="D281" t="s">
        <v>332</v>
      </c>
      <c r="E281" t="s">
        <v>252</v>
      </c>
      <c r="F281">
        <v>21</v>
      </c>
      <c r="G281" t="s">
        <v>51</v>
      </c>
      <c r="H281" t="s">
        <v>126</v>
      </c>
      <c r="I281" t="s">
        <v>349</v>
      </c>
      <c r="J281" t="s">
        <v>350</v>
      </c>
      <c r="K281" t="s">
        <v>351</v>
      </c>
      <c r="L281">
        <v>233576</v>
      </c>
      <c r="M281">
        <v>101857</v>
      </c>
      <c r="N281">
        <v>1</v>
      </c>
      <c r="O281">
        <f t="shared" si="88"/>
        <v>1.953125E-3</v>
      </c>
      <c r="P281">
        <v>10</v>
      </c>
      <c r="Q281">
        <f t="shared" si="89"/>
        <v>1.953125E-3</v>
      </c>
      <c r="R281">
        <v>5.0000000000000001E-3</v>
      </c>
      <c r="S281">
        <f>R281*10</f>
        <v>0.05</v>
      </c>
      <c r="T281">
        <f t="shared" si="90"/>
        <v>2.6990553306342768E-4</v>
      </c>
      <c r="U281">
        <f t="shared" si="91"/>
        <v>-1.2184227783280288E-2</v>
      </c>
      <c r="V281">
        <f t="shared" si="92"/>
        <v>1.5599999999999999E-2</v>
      </c>
      <c r="W281">
        <v>0.1</v>
      </c>
      <c r="X281">
        <f t="shared" si="93"/>
        <v>0.15599999999999997</v>
      </c>
      <c r="Y281">
        <v>2</v>
      </c>
      <c r="Z281">
        <v>2</v>
      </c>
      <c r="AA281" t="s">
        <v>50</v>
      </c>
      <c r="AB281">
        <f t="shared" si="94"/>
        <v>2.8284271247461898</v>
      </c>
      <c r="AC281">
        <f t="shared" si="97"/>
        <v>11.313708498984759</v>
      </c>
      <c r="AE281">
        <v>1</v>
      </c>
      <c r="AF281">
        <v>1</v>
      </c>
      <c r="AG281">
        <v>1</v>
      </c>
      <c r="AH281">
        <f t="shared" si="95"/>
        <v>0.18803015465431977</v>
      </c>
      <c r="AI281">
        <f t="shared" si="98"/>
        <v>12.033929897876465</v>
      </c>
    </row>
    <row r="282" spans="1:36" x14ac:dyDescent="0.3">
      <c r="A282">
        <v>2021</v>
      </c>
      <c r="B282" t="s">
        <v>249</v>
      </c>
      <c r="C282" t="s">
        <v>331</v>
      </c>
      <c r="D282" t="s">
        <v>332</v>
      </c>
      <c r="E282" t="s">
        <v>252</v>
      </c>
      <c r="F282">
        <v>21</v>
      </c>
      <c r="G282" t="s">
        <v>22</v>
      </c>
      <c r="H282" t="s">
        <v>56</v>
      </c>
      <c r="I282" t="s">
        <v>167</v>
      </c>
      <c r="J282" t="s">
        <v>168</v>
      </c>
      <c r="K282" t="s">
        <v>352</v>
      </c>
      <c r="L282">
        <v>227446</v>
      </c>
      <c r="M282">
        <v>334417</v>
      </c>
      <c r="N282">
        <v>1</v>
      </c>
      <c r="O282">
        <f t="shared" si="88"/>
        <v>1.953125E-3</v>
      </c>
      <c r="P282">
        <v>10</v>
      </c>
      <c r="Q282">
        <f t="shared" si="89"/>
        <v>1.953125E-3</v>
      </c>
      <c r="R282">
        <v>7.0000000000000007E-2</v>
      </c>
      <c r="S282">
        <f t="shared" si="96"/>
        <v>0.70000000000000007</v>
      </c>
      <c r="T282">
        <f t="shared" si="90"/>
        <v>3.7786774628879877E-3</v>
      </c>
      <c r="U282">
        <f t="shared" si="91"/>
        <v>-1.2184227783280288E-2</v>
      </c>
      <c r="V282">
        <f t="shared" si="92"/>
        <v>1.5599999999999999E-2</v>
      </c>
      <c r="W282">
        <v>0.1</v>
      </c>
      <c r="X282">
        <f t="shared" si="93"/>
        <v>0.15599999999999997</v>
      </c>
      <c r="Y282">
        <v>3</v>
      </c>
      <c r="Z282">
        <v>1</v>
      </c>
      <c r="AA282" t="s">
        <v>60</v>
      </c>
      <c r="AB282">
        <f t="shared" si="94"/>
        <v>7.9372539331937721</v>
      </c>
      <c r="AC282">
        <f t="shared" si="97"/>
        <v>42.332020977033451</v>
      </c>
      <c r="AE282">
        <v>3</v>
      </c>
      <c r="AF282">
        <v>4</v>
      </c>
      <c r="AG282">
        <v>2.5</v>
      </c>
      <c r="AH282">
        <f t="shared" si="95"/>
        <v>40.826747678093255</v>
      </c>
      <c r="AI282">
        <f t="shared" si="98"/>
        <v>87.097061713265603</v>
      </c>
    </row>
    <row r="283" spans="1:36" x14ac:dyDescent="0.3">
      <c r="A283">
        <v>2021</v>
      </c>
      <c r="B283" t="s">
        <v>249</v>
      </c>
      <c r="C283" t="s">
        <v>331</v>
      </c>
      <c r="D283" t="s">
        <v>332</v>
      </c>
      <c r="E283" t="s">
        <v>252</v>
      </c>
      <c r="F283">
        <v>21</v>
      </c>
      <c r="G283" t="s">
        <v>22</v>
      </c>
      <c r="H283" t="s">
        <v>56</v>
      </c>
      <c r="I283" t="s">
        <v>57</v>
      </c>
      <c r="J283" t="s">
        <v>58</v>
      </c>
      <c r="K283" t="s">
        <v>59</v>
      </c>
      <c r="L283">
        <v>227394</v>
      </c>
      <c r="M283">
        <v>130100</v>
      </c>
      <c r="N283">
        <v>13</v>
      </c>
      <c r="O283">
        <f t="shared" si="88"/>
        <v>2.5390625E-2</v>
      </c>
      <c r="P283">
        <v>130</v>
      </c>
      <c r="Q283">
        <f t="shared" si="89"/>
        <v>2.5390625E-2</v>
      </c>
      <c r="R283">
        <v>0.15</v>
      </c>
      <c r="S283">
        <f t="shared" si="96"/>
        <v>1.5</v>
      </c>
      <c r="T283">
        <f t="shared" si="90"/>
        <v>8.0971659919028306E-3</v>
      </c>
      <c r="U283">
        <f t="shared" si="91"/>
        <v>-9.3269293903346914E-2</v>
      </c>
      <c r="V283">
        <f t="shared" si="92"/>
        <v>1.5599999999999999E-2</v>
      </c>
      <c r="W283">
        <v>0.1</v>
      </c>
      <c r="X283">
        <f t="shared" si="93"/>
        <v>0.15599999999999997</v>
      </c>
      <c r="Y283">
        <v>3</v>
      </c>
      <c r="Z283">
        <v>2</v>
      </c>
      <c r="AA283" t="s">
        <v>60</v>
      </c>
      <c r="AB283">
        <f t="shared" si="94"/>
        <v>83.785440262613648</v>
      </c>
      <c r="AC283">
        <f t="shared" si="97"/>
        <v>223.42784070030305</v>
      </c>
      <c r="AE283">
        <v>1</v>
      </c>
      <c r="AF283">
        <v>3</v>
      </c>
      <c r="AG283">
        <v>2</v>
      </c>
      <c r="AH283">
        <f t="shared" si="95"/>
        <v>27.460316137355797</v>
      </c>
      <c r="AI283">
        <f t="shared" si="98"/>
        <v>292.91003879846181</v>
      </c>
    </row>
    <row r="284" spans="1:36" x14ac:dyDescent="0.3">
      <c r="A284">
        <v>2021</v>
      </c>
      <c r="B284" t="s">
        <v>249</v>
      </c>
      <c r="C284" t="s">
        <v>331</v>
      </c>
      <c r="D284" t="s">
        <v>332</v>
      </c>
      <c r="E284" t="s">
        <v>252</v>
      </c>
      <c r="F284">
        <v>21</v>
      </c>
      <c r="G284" t="s">
        <v>22</v>
      </c>
      <c r="H284" t="s">
        <v>96</v>
      </c>
      <c r="I284" t="s">
        <v>97</v>
      </c>
      <c r="J284" t="s">
        <v>98</v>
      </c>
      <c r="K284" t="s">
        <v>101</v>
      </c>
      <c r="L284">
        <v>227337</v>
      </c>
      <c r="M284">
        <v>131157</v>
      </c>
      <c r="N284">
        <v>5</v>
      </c>
      <c r="O284">
        <f t="shared" si="88"/>
        <v>9.765625E-3</v>
      </c>
      <c r="P284">
        <v>50</v>
      </c>
      <c r="Q284">
        <f t="shared" si="89"/>
        <v>9.765625E-3</v>
      </c>
      <c r="R284">
        <v>0.01</v>
      </c>
      <c r="S284">
        <f t="shared" si="96"/>
        <v>0.1</v>
      </c>
      <c r="T284">
        <f t="shared" si="90"/>
        <v>5.3981106612685536E-4</v>
      </c>
      <c r="U284">
        <f t="shared" si="91"/>
        <v>-4.520397180278718E-2</v>
      </c>
      <c r="V284">
        <f t="shared" si="92"/>
        <v>1.5599999999999999E-2</v>
      </c>
      <c r="W284">
        <v>0.1</v>
      </c>
      <c r="X284">
        <f t="shared" si="93"/>
        <v>0.15599999999999997</v>
      </c>
      <c r="Y284">
        <v>3</v>
      </c>
      <c r="Z284">
        <v>2</v>
      </c>
      <c r="AA284" t="s">
        <v>100</v>
      </c>
      <c r="AB284">
        <f t="shared" si="94"/>
        <v>13.416407864998739</v>
      </c>
      <c r="AC284">
        <f t="shared" si="97"/>
        <v>35.777087639996637</v>
      </c>
      <c r="AE284">
        <v>2.5</v>
      </c>
      <c r="AF284">
        <v>3</v>
      </c>
      <c r="AG284">
        <v>2</v>
      </c>
      <c r="AH284">
        <f t="shared" si="95"/>
        <v>7.0930620675238174</v>
      </c>
      <c r="AI284">
        <f t="shared" si="98"/>
        <v>30.26373148810162</v>
      </c>
    </row>
    <row r="285" spans="1:36" x14ac:dyDescent="0.3">
      <c r="A285">
        <v>2021</v>
      </c>
      <c r="B285" t="s">
        <v>249</v>
      </c>
      <c r="C285" t="s">
        <v>331</v>
      </c>
      <c r="D285" t="s">
        <v>332</v>
      </c>
      <c r="E285" t="s">
        <v>252</v>
      </c>
      <c r="F285">
        <v>21</v>
      </c>
      <c r="G285" t="s">
        <v>22</v>
      </c>
      <c r="H285" t="s">
        <v>56</v>
      </c>
      <c r="I285" t="s">
        <v>153</v>
      </c>
      <c r="J285" t="s">
        <v>154</v>
      </c>
      <c r="K285" t="s">
        <v>272</v>
      </c>
      <c r="L285">
        <v>227488</v>
      </c>
      <c r="M285">
        <v>129802</v>
      </c>
      <c r="N285">
        <v>1</v>
      </c>
      <c r="O285">
        <f t="shared" si="88"/>
        <v>1.953125E-3</v>
      </c>
      <c r="P285">
        <v>10</v>
      </c>
      <c r="Q285">
        <f t="shared" si="89"/>
        <v>1.953125E-3</v>
      </c>
      <c r="R285">
        <v>5.0000000000000001E-3</v>
      </c>
      <c r="S285">
        <f t="shared" si="96"/>
        <v>0.05</v>
      </c>
      <c r="T285">
        <f t="shared" si="90"/>
        <v>2.6990553306342768E-4</v>
      </c>
      <c r="U285">
        <f t="shared" si="91"/>
        <v>-1.2184227783280288E-2</v>
      </c>
      <c r="V285">
        <f t="shared" si="92"/>
        <v>1.5599999999999999E-2</v>
      </c>
      <c r="W285">
        <v>0.1</v>
      </c>
      <c r="X285">
        <f t="shared" si="93"/>
        <v>0.15599999999999997</v>
      </c>
      <c r="Y285">
        <v>3</v>
      </c>
      <c r="Z285">
        <v>1</v>
      </c>
      <c r="AA285" t="s">
        <v>100</v>
      </c>
      <c r="AB285">
        <f t="shared" si="94"/>
        <v>2.1213203435596424</v>
      </c>
      <c r="AC285">
        <f t="shared" si="97"/>
        <v>11.313708498984759</v>
      </c>
      <c r="AE285">
        <v>3</v>
      </c>
      <c r="AF285">
        <v>3</v>
      </c>
      <c r="AG285">
        <v>2</v>
      </c>
      <c r="AH285">
        <f t="shared" si="95"/>
        <v>3.3845427837777562</v>
      </c>
      <c r="AI285">
        <f t="shared" si="98"/>
        <v>12.033929897876465</v>
      </c>
    </row>
    <row r="286" spans="1:36" x14ac:dyDescent="0.3">
      <c r="A286">
        <v>2021</v>
      </c>
      <c r="B286" t="s">
        <v>249</v>
      </c>
      <c r="C286" t="s">
        <v>331</v>
      </c>
      <c r="D286" t="s">
        <v>332</v>
      </c>
      <c r="E286" t="s">
        <v>252</v>
      </c>
      <c r="F286">
        <v>21</v>
      </c>
      <c r="G286" t="s">
        <v>22</v>
      </c>
      <c r="H286" t="s">
        <v>56</v>
      </c>
      <c r="I286" t="s">
        <v>153</v>
      </c>
      <c r="J286" t="s">
        <v>183</v>
      </c>
      <c r="K286" t="s">
        <v>184</v>
      </c>
      <c r="L286">
        <v>227459</v>
      </c>
      <c r="M286">
        <v>129781</v>
      </c>
      <c r="N286">
        <v>2</v>
      </c>
      <c r="O286">
        <f t="shared" si="88"/>
        <v>3.90625E-3</v>
      </c>
      <c r="P286">
        <v>20</v>
      </c>
      <c r="Q286">
        <f t="shared" si="89"/>
        <v>3.90625E-3</v>
      </c>
      <c r="R286">
        <v>5.0000000000000001E-3</v>
      </c>
      <c r="S286">
        <f t="shared" si="96"/>
        <v>0.05</v>
      </c>
      <c r="T286">
        <f t="shared" si="90"/>
        <v>2.6990553306342768E-4</v>
      </c>
      <c r="U286">
        <f t="shared" si="91"/>
        <v>-2.166084939249829E-2</v>
      </c>
      <c r="V286">
        <f t="shared" si="92"/>
        <v>1.5599999999999999E-2</v>
      </c>
      <c r="W286">
        <v>0.1</v>
      </c>
      <c r="X286">
        <f t="shared" si="93"/>
        <v>0.15599999999999997</v>
      </c>
      <c r="Y286">
        <v>3</v>
      </c>
      <c r="Z286">
        <v>2</v>
      </c>
      <c r="AA286" t="s">
        <v>100</v>
      </c>
      <c r="AB286">
        <f t="shared" si="94"/>
        <v>6</v>
      </c>
      <c r="AC286">
        <f t="shared" si="97"/>
        <v>16</v>
      </c>
      <c r="AE286">
        <v>3</v>
      </c>
      <c r="AF286">
        <v>1</v>
      </c>
      <c r="AG286">
        <v>1</v>
      </c>
      <c r="AH286">
        <f t="shared" si="95"/>
        <v>0.67082039324993692</v>
      </c>
      <c r="AI286">
        <f t="shared" si="98"/>
        <v>14.310835055998654</v>
      </c>
    </row>
    <row r="287" spans="1:36" x14ac:dyDescent="0.3">
      <c r="A287">
        <v>2021</v>
      </c>
      <c r="B287" t="s">
        <v>249</v>
      </c>
      <c r="C287" t="s">
        <v>331</v>
      </c>
      <c r="D287" t="s">
        <v>332</v>
      </c>
      <c r="E287" t="s">
        <v>252</v>
      </c>
      <c r="F287">
        <v>21</v>
      </c>
      <c r="G287" t="s">
        <v>22</v>
      </c>
      <c r="H287" t="s">
        <v>56</v>
      </c>
      <c r="I287" t="s">
        <v>153</v>
      </c>
      <c r="J287" t="s">
        <v>183</v>
      </c>
      <c r="K287" t="s">
        <v>183</v>
      </c>
      <c r="L287">
        <v>1007570</v>
      </c>
      <c r="M287">
        <v>129155</v>
      </c>
      <c r="N287">
        <v>1</v>
      </c>
      <c r="O287">
        <f t="shared" si="88"/>
        <v>1.953125E-3</v>
      </c>
      <c r="P287">
        <v>10</v>
      </c>
      <c r="Q287">
        <f t="shared" si="89"/>
        <v>1.953125E-3</v>
      </c>
      <c r="R287">
        <v>5.0000000000000001E-3</v>
      </c>
      <c r="S287">
        <f t="shared" si="96"/>
        <v>0.05</v>
      </c>
      <c r="T287">
        <f t="shared" si="90"/>
        <v>2.6990553306342768E-4</v>
      </c>
      <c r="U287">
        <f t="shared" si="91"/>
        <v>-1.2184227783280288E-2</v>
      </c>
      <c r="V287">
        <f t="shared" si="92"/>
        <v>1.5599999999999999E-2</v>
      </c>
      <c r="W287">
        <v>0.1</v>
      </c>
      <c r="X287">
        <f t="shared" si="93"/>
        <v>0.15599999999999997</v>
      </c>
      <c r="Y287">
        <v>3</v>
      </c>
      <c r="Z287">
        <v>2</v>
      </c>
      <c r="AA287" t="s">
        <v>100</v>
      </c>
      <c r="AB287">
        <f t="shared" si="94"/>
        <v>4.2426406871192848</v>
      </c>
      <c r="AC287">
        <f t="shared" si="97"/>
        <v>11.313708498984759</v>
      </c>
      <c r="AE287">
        <v>3</v>
      </c>
      <c r="AF287">
        <v>1</v>
      </c>
      <c r="AG287">
        <v>1</v>
      </c>
      <c r="AH287">
        <f t="shared" si="95"/>
        <v>0.56409046396295937</v>
      </c>
      <c r="AI287">
        <f t="shared" si="98"/>
        <v>12.033929897876465</v>
      </c>
    </row>
    <row r="288" spans="1:36" s="4" customFormat="1" x14ac:dyDescent="0.3">
      <c r="N288" s="4">
        <f>SUM(N246:N287)</f>
        <v>512</v>
      </c>
      <c r="O288" s="4">
        <f>SUM(O246:O287)</f>
        <v>1</v>
      </c>
      <c r="P288" s="4">
        <f t="shared" ref="P288:AI288" si="99">SUM(P246:P287)</f>
        <v>5120</v>
      </c>
      <c r="Q288" s="4">
        <f t="shared" si="99"/>
        <v>1</v>
      </c>
      <c r="R288" s="4">
        <f t="shared" si="99"/>
        <v>18.524999999999995</v>
      </c>
      <c r="S288" s="4">
        <f t="shared" si="99"/>
        <v>185.25000000000009</v>
      </c>
      <c r="T288" s="4">
        <f t="shared" si="99"/>
        <v>0.99999999999999911</v>
      </c>
      <c r="U288" s="4">
        <f>-SUM(U246:U287)</f>
        <v>2.2909707659157617</v>
      </c>
      <c r="Y288" s="4">
        <v>4</v>
      </c>
      <c r="Z288" s="4">
        <v>4</v>
      </c>
      <c r="AB288" s="4">
        <f t="shared" si="99"/>
        <v>4530.6489509791563</v>
      </c>
      <c r="AC288" s="4">
        <f t="shared" si="99"/>
        <v>13876.439813100034</v>
      </c>
      <c r="AD288" s="4">
        <f>AB288/AC288</f>
        <v>0.3264993767855357</v>
      </c>
      <c r="AE288" s="4">
        <v>4</v>
      </c>
      <c r="AF288" s="4">
        <v>4</v>
      </c>
      <c r="AG288" s="4">
        <v>4</v>
      </c>
      <c r="AH288" s="4">
        <f t="shared" si="99"/>
        <v>2074.2211666865423</v>
      </c>
      <c r="AI288" s="4">
        <f t="shared" si="99"/>
        <v>24910.683058306044</v>
      </c>
      <c r="AJ288" s="4">
        <f>AH288/AI288</f>
        <v>8.3266330426653171E-2</v>
      </c>
    </row>
    <row r="289" spans="1:35" x14ac:dyDescent="0.3">
      <c r="A289">
        <v>2021</v>
      </c>
      <c r="B289" t="s">
        <v>249</v>
      </c>
      <c r="C289" t="s">
        <v>358</v>
      </c>
      <c r="D289" t="s">
        <v>359</v>
      </c>
      <c r="E289" t="s">
        <v>252</v>
      </c>
      <c r="F289">
        <v>21.5</v>
      </c>
      <c r="G289" t="s">
        <v>28</v>
      </c>
      <c r="H289" t="s">
        <v>29</v>
      </c>
      <c r="I289" t="s">
        <v>30</v>
      </c>
      <c r="J289" t="s">
        <v>31</v>
      </c>
      <c r="K289" t="s">
        <v>34</v>
      </c>
      <c r="L289">
        <v>217699</v>
      </c>
      <c r="M289">
        <v>125080</v>
      </c>
      <c r="N289">
        <v>35</v>
      </c>
      <c r="O289">
        <f t="shared" ref="O289:O319" si="100">N289/$N$320</f>
        <v>8.5158150851581502E-2</v>
      </c>
      <c r="P289">
        <v>350</v>
      </c>
      <c r="Q289">
        <f t="shared" ref="Q289:Q319" si="101">P289/$P$320</f>
        <v>8.5158150851581502E-2</v>
      </c>
      <c r="R289">
        <v>0.2</v>
      </c>
      <c r="S289">
        <f>R289*10</f>
        <v>2</v>
      </c>
      <c r="T289">
        <f t="shared" ref="T289:T319" si="102">S289/$S$320</f>
        <v>1.7574692442882255E-2</v>
      </c>
      <c r="U289">
        <f t="shared" ref="U289:U319" si="103">O289*LN(O289)</f>
        <v>-0.20976540232418184</v>
      </c>
      <c r="V289">
        <f t="shared" ref="V289:V319" si="104">12.8/1000</f>
        <v>1.2800000000000001E-2</v>
      </c>
      <c r="W289">
        <v>0.1</v>
      </c>
      <c r="X289">
        <f t="shared" ref="X289:X319" si="105">V289/W289</f>
        <v>0.128</v>
      </c>
      <c r="Y289">
        <v>4</v>
      </c>
      <c r="Z289">
        <v>3</v>
      </c>
      <c r="AA289" t="s">
        <v>27</v>
      </c>
      <c r="AB289">
        <f t="shared" ref="AB289:AB319" si="106">(SQRT(S289/P289))*P289*Z289*Y289</f>
        <v>317.49015732775086</v>
      </c>
      <c r="AC289">
        <f t="shared" si="97"/>
        <v>423.32020977033449</v>
      </c>
      <c r="AE289">
        <v>2</v>
      </c>
      <c r="AF289">
        <v>4</v>
      </c>
      <c r="AG289">
        <v>3</v>
      </c>
      <c r="AH289">
        <f t="shared" ref="AH289:AH319" si="107">((S289/P289)^0.75)*P289*AE289*AF289*AG289</f>
        <v>174.58251660307818</v>
      </c>
      <c r="AI289">
        <f t="shared" si="98"/>
        <v>465.55337760820845</v>
      </c>
    </row>
    <row r="290" spans="1:35" x14ac:dyDescent="0.3">
      <c r="A290">
        <v>2021</v>
      </c>
      <c r="B290" t="s">
        <v>249</v>
      </c>
      <c r="C290" t="s">
        <v>358</v>
      </c>
      <c r="D290" t="s">
        <v>359</v>
      </c>
      <c r="E290" t="s">
        <v>252</v>
      </c>
      <c r="F290">
        <v>21.5</v>
      </c>
      <c r="G290" t="s">
        <v>22</v>
      </c>
      <c r="H290" t="s">
        <v>67</v>
      </c>
      <c r="I290" t="s">
        <v>224</v>
      </c>
      <c r="J290" t="s">
        <v>225</v>
      </c>
      <c r="K290" t="s">
        <v>226</v>
      </c>
      <c r="L290">
        <v>227033</v>
      </c>
      <c r="M290">
        <v>130362</v>
      </c>
      <c r="N290">
        <v>8</v>
      </c>
      <c r="O290">
        <f t="shared" si="100"/>
        <v>1.9464720194647202E-2</v>
      </c>
      <c r="P290">
        <v>80</v>
      </c>
      <c r="Q290">
        <f t="shared" si="101"/>
        <v>1.9464720194647202E-2</v>
      </c>
      <c r="R290">
        <v>1.08</v>
      </c>
      <c r="S290">
        <f t="shared" ref="S290:S319" si="108">R290*10</f>
        <v>10.8</v>
      </c>
      <c r="T290">
        <f t="shared" si="102"/>
        <v>9.4903339191564184E-2</v>
      </c>
      <c r="U290">
        <f t="shared" si="103"/>
        <v>-7.6674485115647659E-2</v>
      </c>
      <c r="V290">
        <f t="shared" si="104"/>
        <v>1.2800000000000001E-2</v>
      </c>
      <c r="W290">
        <v>0.1</v>
      </c>
      <c r="X290">
        <f t="shared" si="105"/>
        <v>0.128</v>
      </c>
      <c r="Y290">
        <v>4</v>
      </c>
      <c r="Z290">
        <v>3</v>
      </c>
      <c r="AA290" t="s">
        <v>27</v>
      </c>
      <c r="AB290">
        <f t="shared" si="106"/>
        <v>352.72652296077763</v>
      </c>
      <c r="AC290">
        <f t="shared" si="97"/>
        <v>470.30203061437021</v>
      </c>
      <c r="AE290">
        <v>3</v>
      </c>
      <c r="AF290">
        <v>2</v>
      </c>
      <c r="AG290">
        <v>1</v>
      </c>
      <c r="AH290">
        <f t="shared" si="107"/>
        <v>106.90341128293895</v>
      </c>
      <c r="AI290">
        <f t="shared" si="98"/>
        <v>1140.303053684682</v>
      </c>
    </row>
    <row r="291" spans="1:35" x14ac:dyDescent="0.3">
      <c r="A291">
        <v>2021</v>
      </c>
      <c r="B291" t="s">
        <v>249</v>
      </c>
      <c r="C291" t="s">
        <v>358</v>
      </c>
      <c r="D291" t="s">
        <v>359</v>
      </c>
      <c r="E291" t="s">
        <v>252</v>
      </c>
      <c r="F291">
        <v>21.5</v>
      </c>
      <c r="G291" t="s">
        <v>22</v>
      </c>
      <c r="I291" t="s">
        <v>105</v>
      </c>
      <c r="J291" t="s">
        <v>106</v>
      </c>
      <c r="K291" t="s">
        <v>107</v>
      </c>
      <c r="L291">
        <v>227839</v>
      </c>
      <c r="M291">
        <v>130980</v>
      </c>
      <c r="N291">
        <v>11</v>
      </c>
      <c r="O291">
        <f t="shared" si="100"/>
        <v>2.6763990267639901E-2</v>
      </c>
      <c r="P291">
        <v>110</v>
      </c>
      <c r="Q291">
        <f t="shared" si="101"/>
        <v>2.6763990267639901E-2</v>
      </c>
      <c r="R291">
        <v>0.1</v>
      </c>
      <c r="S291">
        <f t="shared" si="108"/>
        <v>1</v>
      </c>
      <c r="T291">
        <f t="shared" si="102"/>
        <v>8.7873462214411273E-3</v>
      </c>
      <c r="U291">
        <f t="shared" si="103"/>
        <v>-9.6904324473665454E-2</v>
      </c>
      <c r="V291">
        <f t="shared" si="104"/>
        <v>1.2800000000000001E-2</v>
      </c>
      <c r="W291">
        <v>0.1</v>
      </c>
      <c r="X291">
        <f t="shared" si="105"/>
        <v>0.128</v>
      </c>
      <c r="Y291">
        <v>4</v>
      </c>
      <c r="Z291">
        <v>4</v>
      </c>
      <c r="AA291" t="s">
        <v>27</v>
      </c>
      <c r="AB291">
        <f t="shared" si="106"/>
        <v>167.80941570722425</v>
      </c>
      <c r="AC291">
        <f t="shared" si="97"/>
        <v>167.80941570722425</v>
      </c>
      <c r="AE291">
        <v>2</v>
      </c>
      <c r="AF291">
        <v>3</v>
      </c>
      <c r="AG291">
        <v>3</v>
      </c>
      <c r="AH291">
        <f t="shared" si="107"/>
        <v>58.293573128358567</v>
      </c>
      <c r="AI291">
        <f t="shared" si="98"/>
        <v>207.26603778971935</v>
      </c>
    </row>
    <row r="292" spans="1:35" x14ac:dyDescent="0.3">
      <c r="A292">
        <v>2021</v>
      </c>
      <c r="B292" t="s">
        <v>249</v>
      </c>
      <c r="C292" t="s">
        <v>358</v>
      </c>
      <c r="D292" t="s">
        <v>359</v>
      </c>
      <c r="E292" t="s">
        <v>252</v>
      </c>
      <c r="F292">
        <v>21.5</v>
      </c>
      <c r="G292" t="s">
        <v>22</v>
      </c>
      <c r="H292" t="s">
        <v>67</v>
      </c>
      <c r="I292" t="s">
        <v>68</v>
      </c>
      <c r="J292" t="s">
        <v>69</v>
      </c>
      <c r="K292" t="s">
        <v>190</v>
      </c>
      <c r="L292">
        <v>226797</v>
      </c>
      <c r="M292">
        <v>130116</v>
      </c>
      <c r="N292">
        <v>1</v>
      </c>
      <c r="O292">
        <f t="shared" si="100"/>
        <v>2.4330900243309003E-3</v>
      </c>
      <c r="P292">
        <v>10</v>
      </c>
      <c r="Q292">
        <f t="shared" si="101"/>
        <v>2.4330900243309003E-3</v>
      </c>
      <c r="R292">
        <v>0.01</v>
      </c>
      <c r="S292">
        <f t="shared" si="108"/>
        <v>0.1</v>
      </c>
      <c r="T292">
        <f t="shared" si="102"/>
        <v>8.7873462214411275E-4</v>
      </c>
      <c r="U292">
        <f t="shared" si="103"/>
        <v>-1.4643779110696434E-2</v>
      </c>
      <c r="V292">
        <f t="shared" si="104"/>
        <v>1.2800000000000001E-2</v>
      </c>
      <c r="W292">
        <v>0.1</v>
      </c>
      <c r="X292">
        <f t="shared" si="105"/>
        <v>0.128</v>
      </c>
      <c r="Y292">
        <v>4</v>
      </c>
      <c r="Z292">
        <v>3</v>
      </c>
      <c r="AA292" t="s">
        <v>27</v>
      </c>
      <c r="AB292">
        <f t="shared" si="106"/>
        <v>12</v>
      </c>
      <c r="AC292">
        <f t="shared" si="97"/>
        <v>16</v>
      </c>
      <c r="AE292">
        <v>2</v>
      </c>
      <c r="AF292">
        <v>2</v>
      </c>
      <c r="AG292">
        <v>2</v>
      </c>
      <c r="AH292">
        <f t="shared" si="107"/>
        <v>2.529822128134704</v>
      </c>
      <c r="AI292">
        <f t="shared" si="98"/>
        <v>20.238577025077632</v>
      </c>
    </row>
    <row r="293" spans="1:35" x14ac:dyDescent="0.3">
      <c r="A293">
        <v>2021</v>
      </c>
      <c r="B293" t="s">
        <v>249</v>
      </c>
      <c r="C293" t="s">
        <v>358</v>
      </c>
      <c r="D293" t="s">
        <v>359</v>
      </c>
      <c r="E293" t="s">
        <v>252</v>
      </c>
      <c r="F293">
        <v>21.5</v>
      </c>
      <c r="G293" t="s">
        <v>22</v>
      </c>
      <c r="H293" t="s">
        <v>67</v>
      </c>
      <c r="I293" t="s">
        <v>76</v>
      </c>
      <c r="J293" t="s">
        <v>77</v>
      </c>
      <c r="K293" t="s">
        <v>78</v>
      </c>
      <c r="L293">
        <v>226852</v>
      </c>
      <c r="M293">
        <v>710680</v>
      </c>
      <c r="N293">
        <v>1</v>
      </c>
      <c r="O293">
        <f t="shared" si="100"/>
        <v>2.4330900243309003E-3</v>
      </c>
      <c r="P293">
        <v>10</v>
      </c>
      <c r="Q293">
        <f t="shared" si="101"/>
        <v>2.4330900243309003E-3</v>
      </c>
      <c r="R293">
        <v>5.0000000000000001E-3</v>
      </c>
      <c r="S293">
        <f t="shared" si="108"/>
        <v>0.05</v>
      </c>
      <c r="T293">
        <f t="shared" si="102"/>
        <v>4.3936731107205638E-4</v>
      </c>
      <c r="U293">
        <f t="shared" si="103"/>
        <v>-1.4643779110696434E-2</v>
      </c>
      <c r="V293">
        <f t="shared" si="104"/>
        <v>1.2800000000000001E-2</v>
      </c>
      <c r="W293">
        <v>0.1</v>
      </c>
      <c r="X293">
        <f t="shared" si="105"/>
        <v>0.128</v>
      </c>
      <c r="Y293">
        <v>4</v>
      </c>
      <c r="Z293">
        <v>3</v>
      </c>
      <c r="AA293" t="s">
        <v>27</v>
      </c>
      <c r="AB293">
        <f t="shared" si="106"/>
        <v>8.4852813742385695</v>
      </c>
      <c r="AC293">
        <f t="shared" si="97"/>
        <v>11.313708498984759</v>
      </c>
      <c r="AE293">
        <v>1</v>
      </c>
      <c r="AF293">
        <v>2</v>
      </c>
      <c r="AG293">
        <v>1</v>
      </c>
      <c r="AH293">
        <f t="shared" si="107"/>
        <v>0.37606030930863954</v>
      </c>
      <c r="AI293">
        <f t="shared" si="98"/>
        <v>12.033929897876465</v>
      </c>
    </row>
    <row r="294" spans="1:35" x14ac:dyDescent="0.3">
      <c r="A294">
        <v>2021</v>
      </c>
      <c r="B294" t="s">
        <v>249</v>
      </c>
      <c r="C294" t="s">
        <v>358</v>
      </c>
      <c r="D294" t="s">
        <v>359</v>
      </c>
      <c r="E294" t="s">
        <v>252</v>
      </c>
      <c r="F294">
        <v>21.5</v>
      </c>
      <c r="G294" t="s">
        <v>79</v>
      </c>
      <c r="H294" t="s">
        <v>80</v>
      </c>
      <c r="I294" t="s">
        <v>81</v>
      </c>
      <c r="J294" t="s">
        <v>177</v>
      </c>
      <c r="K294" t="s">
        <v>178</v>
      </c>
      <c r="L294">
        <v>218350</v>
      </c>
      <c r="M294">
        <v>141662</v>
      </c>
      <c r="N294">
        <v>29</v>
      </c>
      <c r="O294">
        <f t="shared" si="100"/>
        <v>7.0559610705596104E-2</v>
      </c>
      <c r="P294">
        <v>290</v>
      </c>
      <c r="Q294">
        <f t="shared" si="101"/>
        <v>7.0559610705596104E-2</v>
      </c>
      <c r="R294">
        <v>0.19</v>
      </c>
      <c r="S294">
        <f t="shared" si="108"/>
        <v>1.9</v>
      </c>
      <c r="T294">
        <f t="shared" si="102"/>
        <v>1.6695957820738141E-2</v>
      </c>
      <c r="U294">
        <f t="shared" si="103"/>
        <v>-0.18707451131577385</v>
      </c>
      <c r="V294">
        <f t="shared" si="104"/>
        <v>1.2800000000000001E-2</v>
      </c>
      <c r="W294">
        <v>0.1</v>
      </c>
      <c r="X294">
        <f t="shared" si="105"/>
        <v>0.128</v>
      </c>
      <c r="Y294">
        <v>3</v>
      </c>
      <c r="Z294">
        <v>2</v>
      </c>
      <c r="AA294" t="s">
        <v>93</v>
      </c>
      <c r="AB294">
        <f t="shared" si="106"/>
        <v>140.840335131666</v>
      </c>
      <c r="AC294">
        <f t="shared" si="97"/>
        <v>375.57422701777602</v>
      </c>
      <c r="AE294">
        <v>3</v>
      </c>
      <c r="AF294">
        <v>3</v>
      </c>
      <c r="AG294">
        <v>3</v>
      </c>
      <c r="AH294">
        <f t="shared" si="107"/>
        <v>180.31359173713196</v>
      </c>
      <c r="AI294">
        <f t="shared" si="98"/>
        <v>427.40999522875723</v>
      </c>
    </row>
    <row r="295" spans="1:35" x14ac:dyDescent="0.3">
      <c r="A295">
        <v>2021</v>
      </c>
      <c r="B295" t="s">
        <v>249</v>
      </c>
      <c r="C295" t="s">
        <v>358</v>
      </c>
      <c r="D295" t="s">
        <v>359</v>
      </c>
      <c r="E295" t="s">
        <v>252</v>
      </c>
      <c r="F295">
        <v>21.5</v>
      </c>
      <c r="G295" t="s">
        <v>22</v>
      </c>
      <c r="H295" t="s">
        <v>56</v>
      </c>
      <c r="I295" t="s">
        <v>90</v>
      </c>
      <c r="J295" t="s">
        <v>117</v>
      </c>
      <c r="K295" t="s">
        <v>118</v>
      </c>
      <c r="L295">
        <v>227496</v>
      </c>
      <c r="M295">
        <v>131573</v>
      </c>
      <c r="N295">
        <v>10</v>
      </c>
      <c r="O295">
        <f t="shared" si="100"/>
        <v>2.4330900243309004E-2</v>
      </c>
      <c r="P295">
        <v>100</v>
      </c>
      <c r="Q295">
        <f t="shared" si="101"/>
        <v>2.4330900243309004E-2</v>
      </c>
      <c r="R295">
        <v>0.19</v>
      </c>
      <c r="S295">
        <f t="shared" si="108"/>
        <v>1.9</v>
      </c>
      <c r="T295">
        <f t="shared" si="102"/>
        <v>1.6695957820738141E-2</v>
      </c>
      <c r="U295">
        <f t="shared" si="103"/>
        <v>-9.0413822907595837E-2</v>
      </c>
      <c r="V295">
        <f t="shared" si="104"/>
        <v>1.2800000000000001E-2</v>
      </c>
      <c r="W295">
        <v>0.1</v>
      </c>
      <c r="X295">
        <f t="shared" si="105"/>
        <v>0.128</v>
      </c>
      <c r="Y295">
        <v>3</v>
      </c>
      <c r="Z295">
        <v>1</v>
      </c>
      <c r="AA295" t="s">
        <v>93</v>
      </c>
      <c r="AB295">
        <f t="shared" si="106"/>
        <v>41.352146256270665</v>
      </c>
      <c r="AC295">
        <f t="shared" si="97"/>
        <v>220.54478003344354</v>
      </c>
      <c r="AE295">
        <v>3</v>
      </c>
      <c r="AF295">
        <v>3</v>
      </c>
      <c r="AG295">
        <v>1</v>
      </c>
      <c r="AH295">
        <f t="shared" si="107"/>
        <v>46.058279418001327</v>
      </c>
      <c r="AI295">
        <f t="shared" si="98"/>
        <v>327.52554252800945</v>
      </c>
    </row>
    <row r="296" spans="1:35" x14ac:dyDescent="0.3">
      <c r="A296">
        <v>2021</v>
      </c>
      <c r="B296" t="s">
        <v>249</v>
      </c>
      <c r="C296" t="s">
        <v>358</v>
      </c>
      <c r="D296" t="s">
        <v>359</v>
      </c>
      <c r="E296" t="s">
        <v>252</v>
      </c>
      <c r="F296">
        <v>21.5</v>
      </c>
      <c r="G296" t="s">
        <v>22</v>
      </c>
      <c r="H296" t="s">
        <v>56</v>
      </c>
      <c r="I296" t="s">
        <v>90</v>
      </c>
      <c r="J296" t="s">
        <v>282</v>
      </c>
      <c r="K296" t="s">
        <v>283</v>
      </c>
      <c r="L296">
        <v>227527</v>
      </c>
      <c r="M296">
        <v>154972</v>
      </c>
      <c r="N296">
        <v>2</v>
      </c>
      <c r="O296">
        <f t="shared" si="100"/>
        <v>4.8661800486618006E-3</v>
      </c>
      <c r="P296">
        <v>20</v>
      </c>
      <c r="Q296">
        <f t="shared" si="101"/>
        <v>4.8661800486618006E-3</v>
      </c>
      <c r="R296">
        <v>0.08</v>
      </c>
      <c r="S296">
        <f t="shared" si="108"/>
        <v>0.8</v>
      </c>
      <c r="T296">
        <f t="shared" si="102"/>
        <v>7.029876977152902E-3</v>
      </c>
      <c r="U296">
        <f t="shared" si="103"/>
        <v>-2.5914579240565887E-2</v>
      </c>
      <c r="V296">
        <f t="shared" si="104"/>
        <v>1.2800000000000001E-2</v>
      </c>
      <c r="W296">
        <v>0.1</v>
      </c>
      <c r="X296">
        <f t="shared" si="105"/>
        <v>0.128</v>
      </c>
      <c r="Y296">
        <v>3</v>
      </c>
      <c r="Z296">
        <v>1</v>
      </c>
      <c r="AA296" t="s">
        <v>93</v>
      </c>
      <c r="AB296">
        <f t="shared" si="106"/>
        <v>12</v>
      </c>
      <c r="AC296">
        <f t="shared" si="97"/>
        <v>64</v>
      </c>
      <c r="AE296">
        <v>1.5</v>
      </c>
      <c r="AF296">
        <v>2.5</v>
      </c>
      <c r="AG296">
        <v>2.5</v>
      </c>
      <c r="AH296">
        <f t="shared" si="107"/>
        <v>16.770509831248429</v>
      </c>
      <c r="AI296">
        <f t="shared" si="98"/>
        <v>114.48668044798927</v>
      </c>
    </row>
    <row r="297" spans="1:35" x14ac:dyDescent="0.3">
      <c r="A297">
        <v>2021</v>
      </c>
      <c r="B297" t="s">
        <v>249</v>
      </c>
      <c r="C297" t="s">
        <v>358</v>
      </c>
      <c r="D297" t="s">
        <v>359</v>
      </c>
      <c r="E297" t="s">
        <v>252</v>
      </c>
      <c r="F297">
        <v>21.5</v>
      </c>
      <c r="G297" t="s">
        <v>22</v>
      </c>
      <c r="H297" t="s">
        <v>135</v>
      </c>
      <c r="I297" t="s">
        <v>142</v>
      </c>
      <c r="J297" t="s">
        <v>143</v>
      </c>
      <c r="K297" t="s">
        <v>144</v>
      </c>
      <c r="L297">
        <v>227556</v>
      </c>
      <c r="M297">
        <v>146950</v>
      </c>
      <c r="N297">
        <v>5</v>
      </c>
      <c r="O297">
        <f t="shared" si="100"/>
        <v>1.2165450121654502E-2</v>
      </c>
      <c r="P297">
        <v>50</v>
      </c>
      <c r="Q297">
        <f t="shared" si="101"/>
        <v>1.2165450121654502E-2</v>
      </c>
      <c r="R297">
        <v>5.0000000000000001E-3</v>
      </c>
      <c r="S297">
        <f t="shared" si="108"/>
        <v>0.05</v>
      </c>
      <c r="T297">
        <f t="shared" si="102"/>
        <v>4.3936731107205638E-4</v>
      </c>
      <c r="U297">
        <f t="shared" si="103"/>
        <v>-5.3639358905865388E-2</v>
      </c>
      <c r="V297">
        <f t="shared" si="104"/>
        <v>1.2800000000000001E-2</v>
      </c>
      <c r="W297">
        <v>0.1</v>
      </c>
      <c r="X297">
        <f t="shared" si="105"/>
        <v>0.128</v>
      </c>
      <c r="Y297">
        <v>3</v>
      </c>
      <c r="Z297">
        <v>1</v>
      </c>
      <c r="AA297" t="s">
        <v>93</v>
      </c>
      <c r="AB297">
        <f t="shared" si="106"/>
        <v>4.7434164902525691</v>
      </c>
      <c r="AC297">
        <f t="shared" si="97"/>
        <v>25.298221281347033</v>
      </c>
      <c r="AE297">
        <v>3</v>
      </c>
      <c r="AF297">
        <v>3</v>
      </c>
      <c r="AG297">
        <v>1</v>
      </c>
      <c r="AH297">
        <f t="shared" si="107"/>
        <v>2.5305359633565709</v>
      </c>
      <c r="AI297">
        <f t="shared" si="98"/>
        <v>17.994922406091174</v>
      </c>
    </row>
    <row r="298" spans="1:35" x14ac:dyDescent="0.3">
      <c r="A298">
        <v>2021</v>
      </c>
      <c r="B298" t="s">
        <v>249</v>
      </c>
      <c r="C298" t="s">
        <v>358</v>
      </c>
      <c r="D298" t="s">
        <v>359</v>
      </c>
      <c r="E298" t="s">
        <v>252</v>
      </c>
      <c r="F298">
        <v>21.5</v>
      </c>
      <c r="G298" t="s">
        <v>22</v>
      </c>
      <c r="H298" t="s">
        <v>56</v>
      </c>
      <c r="I298" t="s">
        <v>90</v>
      </c>
      <c r="J298" t="s">
        <v>91</v>
      </c>
      <c r="K298" t="s">
        <v>92</v>
      </c>
      <c r="L298">
        <v>227550</v>
      </c>
      <c r="M298">
        <v>131534</v>
      </c>
      <c r="N298">
        <v>1</v>
      </c>
      <c r="O298">
        <f t="shared" si="100"/>
        <v>2.4330900243309003E-3</v>
      </c>
      <c r="P298">
        <v>10</v>
      </c>
      <c r="Q298">
        <f t="shared" si="101"/>
        <v>2.4330900243309003E-3</v>
      </c>
      <c r="R298">
        <v>0.03</v>
      </c>
      <c r="S298">
        <f t="shared" si="108"/>
        <v>0.3</v>
      </c>
      <c r="T298">
        <f t="shared" si="102"/>
        <v>2.6362038664323379E-3</v>
      </c>
      <c r="U298">
        <f t="shared" si="103"/>
        <v>-1.4643779110696434E-2</v>
      </c>
      <c r="V298">
        <f t="shared" si="104"/>
        <v>1.2800000000000001E-2</v>
      </c>
      <c r="W298">
        <v>0.1</v>
      </c>
      <c r="X298">
        <f t="shared" si="105"/>
        <v>0.128</v>
      </c>
      <c r="Y298">
        <v>3</v>
      </c>
      <c r="Z298">
        <v>1</v>
      </c>
      <c r="AA298" t="s">
        <v>93</v>
      </c>
      <c r="AB298">
        <f t="shared" si="106"/>
        <v>5.196152422706632</v>
      </c>
      <c r="AC298">
        <f t="shared" si="97"/>
        <v>27.712812921102035</v>
      </c>
      <c r="AE298">
        <v>1</v>
      </c>
      <c r="AF298">
        <v>3</v>
      </c>
      <c r="AG298">
        <v>1</v>
      </c>
      <c r="AH298">
        <f t="shared" si="107"/>
        <v>2.1625302727212796</v>
      </c>
      <c r="AI298">
        <f t="shared" si="98"/>
        <v>46.133979151387294</v>
      </c>
    </row>
    <row r="299" spans="1:35" x14ac:dyDescent="0.3">
      <c r="A299">
        <v>2021</v>
      </c>
      <c r="B299" t="s">
        <v>249</v>
      </c>
      <c r="C299" t="s">
        <v>358</v>
      </c>
      <c r="D299" t="s">
        <v>359</v>
      </c>
      <c r="E299" t="s">
        <v>252</v>
      </c>
      <c r="F299">
        <v>21.5</v>
      </c>
      <c r="G299" t="s">
        <v>79</v>
      </c>
      <c r="H299" t="s">
        <v>113</v>
      </c>
      <c r="I299" t="s">
        <v>123</v>
      </c>
      <c r="J299" t="s">
        <v>124</v>
      </c>
      <c r="K299" t="s">
        <v>125</v>
      </c>
      <c r="L299">
        <v>218310</v>
      </c>
      <c r="M299">
        <v>141435</v>
      </c>
      <c r="N299">
        <v>176</v>
      </c>
      <c r="O299">
        <f t="shared" si="100"/>
        <v>0.42822384428223842</v>
      </c>
      <c r="P299">
        <v>1760</v>
      </c>
      <c r="Q299">
        <f t="shared" si="101"/>
        <v>0.42822384428223842</v>
      </c>
      <c r="R299">
        <v>6.74</v>
      </c>
      <c r="S299">
        <f t="shared" si="108"/>
        <v>67.400000000000006</v>
      </c>
      <c r="T299">
        <f t="shared" si="102"/>
        <v>0.59226713532513198</v>
      </c>
      <c r="U299">
        <f t="shared" si="103"/>
        <v>-0.3631805903275489</v>
      </c>
      <c r="V299">
        <f t="shared" si="104"/>
        <v>1.2800000000000001E-2</v>
      </c>
      <c r="W299">
        <v>0.1</v>
      </c>
      <c r="X299">
        <f t="shared" si="105"/>
        <v>0.128</v>
      </c>
      <c r="Y299">
        <v>2</v>
      </c>
      <c r="Z299">
        <v>2</v>
      </c>
      <c r="AA299" t="s">
        <v>50</v>
      </c>
      <c r="AB299">
        <f t="shared" si="106"/>
        <v>1377.6734010642726</v>
      </c>
      <c r="AC299">
        <f t="shared" si="97"/>
        <v>5510.6936042570906</v>
      </c>
      <c r="AE299">
        <v>1</v>
      </c>
      <c r="AF299">
        <v>1</v>
      </c>
      <c r="AG299">
        <v>2</v>
      </c>
      <c r="AH299">
        <f t="shared" si="107"/>
        <v>304.72149125345919</v>
      </c>
      <c r="AI299">
        <f t="shared" si="98"/>
        <v>9751.0877201106941</v>
      </c>
    </row>
    <row r="300" spans="1:35" x14ac:dyDescent="0.3">
      <c r="A300">
        <v>2021</v>
      </c>
      <c r="B300" t="s">
        <v>249</v>
      </c>
      <c r="C300" t="s">
        <v>358</v>
      </c>
      <c r="D300" t="s">
        <v>359</v>
      </c>
      <c r="E300" t="s">
        <v>252</v>
      </c>
      <c r="F300">
        <v>21.5</v>
      </c>
      <c r="G300" t="s">
        <v>79</v>
      </c>
      <c r="H300" t="s">
        <v>245</v>
      </c>
      <c r="I300" t="s">
        <v>246</v>
      </c>
      <c r="J300" t="s">
        <v>247</v>
      </c>
      <c r="K300" t="s">
        <v>248</v>
      </c>
      <c r="L300">
        <v>218231</v>
      </c>
      <c r="M300">
        <v>140589</v>
      </c>
      <c r="N300">
        <v>32</v>
      </c>
      <c r="O300">
        <f t="shared" si="100"/>
        <v>7.785888077858881E-2</v>
      </c>
      <c r="P300">
        <v>320</v>
      </c>
      <c r="Q300">
        <f t="shared" si="101"/>
        <v>7.785888077858881E-2</v>
      </c>
      <c r="R300">
        <v>0.25</v>
      </c>
      <c r="S300">
        <f t="shared" si="108"/>
        <v>2.5</v>
      </c>
      <c r="T300">
        <f t="shared" si="102"/>
        <v>2.1968365553602816E-2</v>
      </c>
      <c r="U300">
        <f t="shared" si="103"/>
        <v>-0.19876261307612716</v>
      </c>
      <c r="V300">
        <f t="shared" si="104"/>
        <v>1.2800000000000001E-2</v>
      </c>
      <c r="W300">
        <v>0.1</v>
      </c>
      <c r="X300">
        <f t="shared" si="105"/>
        <v>0.128</v>
      </c>
      <c r="Y300">
        <v>2</v>
      </c>
      <c r="Z300">
        <v>3</v>
      </c>
      <c r="AA300" t="s">
        <v>50</v>
      </c>
      <c r="AB300">
        <f t="shared" si="106"/>
        <v>169.70562748477141</v>
      </c>
      <c r="AC300">
        <f t="shared" si="97"/>
        <v>452.54833995939043</v>
      </c>
      <c r="AE300">
        <v>3</v>
      </c>
      <c r="AF300">
        <v>3</v>
      </c>
      <c r="AG300">
        <v>1</v>
      </c>
      <c r="AH300">
        <f t="shared" si="107"/>
        <v>75.68067737283431</v>
      </c>
      <c r="AI300">
        <f t="shared" si="98"/>
        <v>538.17370576237727</v>
      </c>
    </row>
    <row r="301" spans="1:35" x14ac:dyDescent="0.3">
      <c r="A301">
        <v>2021</v>
      </c>
      <c r="B301" t="s">
        <v>249</v>
      </c>
      <c r="C301" t="s">
        <v>358</v>
      </c>
      <c r="D301" t="s">
        <v>359</v>
      </c>
      <c r="E301" t="s">
        <v>252</v>
      </c>
      <c r="F301">
        <v>21.5</v>
      </c>
      <c r="I301" t="s">
        <v>230</v>
      </c>
      <c r="J301" t="s">
        <v>231</v>
      </c>
      <c r="K301" t="s">
        <v>232</v>
      </c>
      <c r="L301">
        <v>233581</v>
      </c>
      <c r="M301">
        <v>128549</v>
      </c>
      <c r="N301">
        <v>36</v>
      </c>
      <c r="O301">
        <f t="shared" si="100"/>
        <v>8.7591240875912413E-2</v>
      </c>
      <c r="P301">
        <v>360</v>
      </c>
      <c r="Q301">
        <f t="shared" si="101"/>
        <v>8.7591240875912413E-2</v>
      </c>
      <c r="R301">
        <v>0.37</v>
      </c>
      <c r="S301">
        <f t="shared" si="108"/>
        <v>3.7</v>
      </c>
      <c r="T301">
        <f t="shared" si="102"/>
        <v>3.251318101933217E-2</v>
      </c>
      <c r="U301">
        <f t="shared" si="103"/>
        <v>-0.21329117746336859</v>
      </c>
      <c r="V301">
        <f t="shared" si="104"/>
        <v>1.2800000000000001E-2</v>
      </c>
      <c r="W301">
        <v>0.1</v>
      </c>
      <c r="X301">
        <f t="shared" si="105"/>
        <v>0.128</v>
      </c>
      <c r="Y301">
        <v>2</v>
      </c>
      <c r="Z301">
        <v>1</v>
      </c>
      <c r="AA301" t="s">
        <v>50</v>
      </c>
      <c r="AB301">
        <f t="shared" si="106"/>
        <v>72.993150363578636</v>
      </c>
      <c r="AC301">
        <f t="shared" si="97"/>
        <v>583.94520290862908</v>
      </c>
      <c r="AE301">
        <v>3</v>
      </c>
      <c r="AF301">
        <v>2</v>
      </c>
      <c r="AG301">
        <v>1</v>
      </c>
      <c r="AH301">
        <f t="shared" si="107"/>
        <v>69.723337658307329</v>
      </c>
      <c r="AI301">
        <f t="shared" si="98"/>
        <v>743.71560168861151</v>
      </c>
    </row>
    <row r="302" spans="1:35" x14ac:dyDescent="0.3">
      <c r="A302">
        <v>2021</v>
      </c>
      <c r="B302" t="s">
        <v>249</v>
      </c>
      <c r="C302" t="s">
        <v>358</v>
      </c>
      <c r="D302" t="s">
        <v>359</v>
      </c>
      <c r="E302" t="s">
        <v>252</v>
      </c>
      <c r="F302">
        <v>21.5</v>
      </c>
      <c r="G302" t="s">
        <v>28</v>
      </c>
      <c r="H302" t="s">
        <v>29</v>
      </c>
      <c r="I302" t="s">
        <v>279</v>
      </c>
      <c r="J302" t="s">
        <v>280</v>
      </c>
      <c r="K302" t="s">
        <v>281</v>
      </c>
      <c r="L302">
        <v>217707</v>
      </c>
      <c r="M302">
        <v>124929</v>
      </c>
      <c r="N302">
        <v>2</v>
      </c>
      <c r="O302">
        <f t="shared" si="100"/>
        <v>4.8661800486618006E-3</v>
      </c>
      <c r="P302">
        <v>20</v>
      </c>
      <c r="Q302">
        <f t="shared" si="101"/>
        <v>4.8661800486618006E-3</v>
      </c>
      <c r="R302">
        <v>0.74</v>
      </c>
      <c r="S302">
        <f t="shared" si="108"/>
        <v>7.4</v>
      </c>
      <c r="T302">
        <f t="shared" si="102"/>
        <v>6.502636203866434E-2</v>
      </c>
      <c r="U302">
        <f t="shared" si="103"/>
        <v>-2.5914579240565887E-2</v>
      </c>
      <c r="V302">
        <f t="shared" si="104"/>
        <v>1.2800000000000001E-2</v>
      </c>
      <c r="W302">
        <v>0.1</v>
      </c>
      <c r="X302">
        <f t="shared" si="105"/>
        <v>0.128</v>
      </c>
      <c r="Y302">
        <v>2</v>
      </c>
      <c r="Z302">
        <v>2</v>
      </c>
      <c r="AA302" t="s">
        <v>50</v>
      </c>
      <c r="AB302">
        <f t="shared" si="106"/>
        <v>48.662100242385755</v>
      </c>
      <c r="AC302">
        <f t="shared" si="97"/>
        <v>194.64840096954302</v>
      </c>
      <c r="AE302">
        <v>1</v>
      </c>
      <c r="AF302">
        <v>3</v>
      </c>
      <c r="AG302">
        <v>1</v>
      </c>
      <c r="AH302">
        <f t="shared" si="107"/>
        <v>28.464433404438651</v>
      </c>
      <c r="AI302">
        <f t="shared" si="98"/>
        <v>607.24124596135789</v>
      </c>
    </row>
    <row r="303" spans="1:35" x14ac:dyDescent="0.3">
      <c r="A303">
        <v>2021</v>
      </c>
      <c r="B303" t="s">
        <v>249</v>
      </c>
      <c r="C303" t="s">
        <v>358</v>
      </c>
      <c r="D303" t="s">
        <v>359</v>
      </c>
      <c r="E303" t="s">
        <v>252</v>
      </c>
      <c r="F303">
        <v>21.5</v>
      </c>
      <c r="G303" t="s">
        <v>79</v>
      </c>
      <c r="H303" t="s">
        <v>113</v>
      </c>
      <c r="I303" t="s">
        <v>114</v>
      </c>
      <c r="J303" t="s">
        <v>191</v>
      </c>
      <c r="K303" t="s">
        <v>192</v>
      </c>
      <c r="L303">
        <v>218286</v>
      </c>
      <c r="M303">
        <v>345281</v>
      </c>
      <c r="N303">
        <v>12</v>
      </c>
      <c r="O303">
        <f t="shared" si="100"/>
        <v>2.9197080291970802E-2</v>
      </c>
      <c r="P303">
        <v>120</v>
      </c>
      <c r="Q303">
        <f t="shared" si="101"/>
        <v>2.9197080291970802E-2</v>
      </c>
      <c r="R303">
        <v>0.02</v>
      </c>
      <c r="S303">
        <f t="shared" si="108"/>
        <v>0.2</v>
      </c>
      <c r="T303">
        <f t="shared" si="102"/>
        <v>1.7574692442882255E-3</v>
      </c>
      <c r="U303">
        <f t="shared" si="103"/>
        <v>-0.1031733303564448</v>
      </c>
      <c r="V303">
        <f t="shared" si="104"/>
        <v>1.2800000000000001E-2</v>
      </c>
      <c r="W303">
        <v>0.1</v>
      </c>
      <c r="X303">
        <f t="shared" si="105"/>
        <v>0.128</v>
      </c>
      <c r="Y303">
        <v>2</v>
      </c>
      <c r="Z303">
        <v>2</v>
      </c>
      <c r="AA303" t="s">
        <v>50</v>
      </c>
      <c r="AB303">
        <f t="shared" si="106"/>
        <v>19.595917942265427</v>
      </c>
      <c r="AC303">
        <f t="shared" si="97"/>
        <v>78.383671769061706</v>
      </c>
      <c r="AE303">
        <v>2</v>
      </c>
      <c r="AF303">
        <v>4</v>
      </c>
      <c r="AG303">
        <v>3</v>
      </c>
      <c r="AH303">
        <f t="shared" si="107"/>
        <v>23.756313618430884</v>
      </c>
      <c r="AI303">
        <f t="shared" si="98"/>
        <v>63.350169649149024</v>
      </c>
    </row>
    <row r="304" spans="1:35" x14ac:dyDescent="0.3">
      <c r="A304">
        <v>2021</v>
      </c>
      <c r="B304" t="s">
        <v>249</v>
      </c>
      <c r="C304" t="s">
        <v>358</v>
      </c>
      <c r="D304" t="s">
        <v>359</v>
      </c>
      <c r="E304" t="s">
        <v>252</v>
      </c>
      <c r="F304">
        <v>21.5</v>
      </c>
      <c r="G304" t="s">
        <v>79</v>
      </c>
      <c r="H304" t="s">
        <v>215</v>
      </c>
      <c r="I304" t="s">
        <v>216</v>
      </c>
      <c r="J304" t="s">
        <v>217</v>
      </c>
      <c r="K304" t="s">
        <v>218</v>
      </c>
      <c r="L304">
        <v>218266</v>
      </c>
      <c r="M304">
        <v>139410</v>
      </c>
      <c r="N304">
        <v>13</v>
      </c>
      <c r="O304">
        <f t="shared" si="100"/>
        <v>3.1630170316301706E-2</v>
      </c>
      <c r="P304">
        <v>130</v>
      </c>
      <c r="Q304">
        <f t="shared" si="101"/>
        <v>3.1630170316301706E-2</v>
      </c>
      <c r="R304">
        <v>0.13</v>
      </c>
      <c r="S304">
        <f t="shared" si="108"/>
        <v>1.3</v>
      </c>
      <c r="T304">
        <f t="shared" si="102"/>
        <v>1.1423550087873467E-2</v>
      </c>
      <c r="U304">
        <f t="shared" si="103"/>
        <v>-0.10923934340985664</v>
      </c>
      <c r="V304">
        <f t="shared" si="104"/>
        <v>1.2800000000000001E-2</v>
      </c>
      <c r="W304">
        <v>0.1</v>
      </c>
      <c r="X304">
        <f t="shared" si="105"/>
        <v>0.128</v>
      </c>
      <c r="Y304">
        <v>2</v>
      </c>
      <c r="Z304">
        <v>2</v>
      </c>
      <c r="AA304" t="s">
        <v>50</v>
      </c>
      <c r="AB304">
        <f t="shared" si="106"/>
        <v>52</v>
      </c>
      <c r="AC304">
        <f t="shared" si="97"/>
        <v>208</v>
      </c>
      <c r="AE304">
        <v>2.5</v>
      </c>
      <c r="AF304">
        <v>1</v>
      </c>
      <c r="AG304">
        <v>2</v>
      </c>
      <c r="AH304">
        <f t="shared" si="107"/>
        <v>20.554804791094469</v>
      </c>
      <c r="AI304">
        <f t="shared" si="98"/>
        <v>263.10150132600921</v>
      </c>
    </row>
    <row r="305" spans="1:36" x14ac:dyDescent="0.3">
      <c r="A305">
        <v>2021</v>
      </c>
      <c r="B305" t="s">
        <v>249</v>
      </c>
      <c r="C305" t="s">
        <v>358</v>
      </c>
      <c r="D305" t="s">
        <v>359</v>
      </c>
      <c r="E305" t="s">
        <v>252</v>
      </c>
      <c r="F305">
        <v>21.5</v>
      </c>
      <c r="G305" t="s">
        <v>79</v>
      </c>
      <c r="H305" t="s">
        <v>305</v>
      </c>
      <c r="I305" t="s">
        <v>306</v>
      </c>
      <c r="J305" t="s">
        <v>307</v>
      </c>
      <c r="K305" t="s">
        <v>308</v>
      </c>
      <c r="L305">
        <v>218300</v>
      </c>
      <c r="M305">
        <v>140737</v>
      </c>
      <c r="N305">
        <v>3</v>
      </c>
      <c r="O305">
        <f t="shared" si="100"/>
        <v>7.2992700729927005E-3</v>
      </c>
      <c r="P305">
        <v>30</v>
      </c>
      <c r="Q305">
        <f t="shared" si="101"/>
        <v>7.2992700729927005E-3</v>
      </c>
      <c r="R305">
        <v>0.3</v>
      </c>
      <c r="S305">
        <f t="shared" si="108"/>
        <v>3</v>
      </c>
      <c r="T305">
        <f t="shared" si="102"/>
        <v>2.6362038664323382E-2</v>
      </c>
      <c r="U305">
        <f t="shared" si="103"/>
        <v>-3.5912269531592156E-2</v>
      </c>
      <c r="V305">
        <f t="shared" si="104"/>
        <v>1.2800000000000001E-2</v>
      </c>
      <c r="W305">
        <v>0.1</v>
      </c>
      <c r="X305">
        <f t="shared" si="105"/>
        <v>0.128</v>
      </c>
      <c r="Y305">
        <v>2</v>
      </c>
      <c r="Z305">
        <v>2</v>
      </c>
      <c r="AA305" t="s">
        <v>50</v>
      </c>
      <c r="AB305">
        <f t="shared" si="106"/>
        <v>37.947331922020552</v>
      </c>
      <c r="AC305">
        <f t="shared" si="97"/>
        <v>151.78932768808221</v>
      </c>
      <c r="AE305">
        <v>3</v>
      </c>
      <c r="AF305">
        <v>1</v>
      </c>
      <c r="AG305">
        <v>1</v>
      </c>
      <c r="AH305">
        <f t="shared" si="107"/>
        <v>16.004514690350305</v>
      </c>
      <c r="AI305">
        <f t="shared" si="98"/>
        <v>341.4296467274732</v>
      </c>
    </row>
    <row r="306" spans="1:36" x14ac:dyDescent="0.3">
      <c r="A306">
        <v>2021</v>
      </c>
      <c r="B306" t="s">
        <v>249</v>
      </c>
      <c r="C306" t="s">
        <v>358</v>
      </c>
      <c r="D306" t="s">
        <v>359</v>
      </c>
      <c r="E306" t="s">
        <v>252</v>
      </c>
      <c r="F306">
        <v>21.5</v>
      </c>
      <c r="G306" t="s">
        <v>45</v>
      </c>
      <c r="H306" t="s">
        <v>46</v>
      </c>
      <c r="I306" t="s">
        <v>327</v>
      </c>
      <c r="J306" t="s">
        <v>328</v>
      </c>
      <c r="K306" t="s">
        <v>329</v>
      </c>
      <c r="L306">
        <v>218107</v>
      </c>
      <c r="M306">
        <v>574582</v>
      </c>
      <c r="N306">
        <v>2</v>
      </c>
      <c r="O306">
        <f t="shared" si="100"/>
        <v>4.8661800486618006E-3</v>
      </c>
      <c r="P306">
        <v>20</v>
      </c>
      <c r="Q306">
        <f t="shared" si="101"/>
        <v>4.8661800486618006E-3</v>
      </c>
      <c r="R306">
        <v>0.11</v>
      </c>
      <c r="S306">
        <f t="shared" si="108"/>
        <v>1.1000000000000001</v>
      </c>
      <c r="T306">
        <f t="shared" si="102"/>
        <v>9.6660808435852404E-3</v>
      </c>
      <c r="U306">
        <f t="shared" si="103"/>
        <v>-2.5914579240565887E-2</v>
      </c>
      <c r="V306">
        <f t="shared" si="104"/>
        <v>1.2800000000000001E-2</v>
      </c>
      <c r="W306">
        <v>0.1</v>
      </c>
      <c r="X306">
        <f t="shared" si="105"/>
        <v>0.128</v>
      </c>
      <c r="Y306">
        <v>2</v>
      </c>
      <c r="Z306">
        <v>3</v>
      </c>
      <c r="AA306" t="s">
        <v>50</v>
      </c>
      <c r="AB306">
        <f t="shared" si="106"/>
        <v>28.142494558940577</v>
      </c>
      <c r="AC306">
        <f t="shared" si="97"/>
        <v>75.046652157174876</v>
      </c>
      <c r="AE306">
        <v>1</v>
      </c>
      <c r="AF306">
        <v>2</v>
      </c>
      <c r="AG306">
        <v>1.5</v>
      </c>
      <c r="AH306">
        <f t="shared" si="107"/>
        <v>6.8143316636521272</v>
      </c>
      <c r="AI306">
        <f t="shared" si="98"/>
        <v>145.37240882457871</v>
      </c>
    </row>
    <row r="307" spans="1:36" x14ac:dyDescent="0.3">
      <c r="A307">
        <v>2021</v>
      </c>
      <c r="B307" t="s">
        <v>249</v>
      </c>
      <c r="C307" t="s">
        <v>358</v>
      </c>
      <c r="D307" t="s">
        <v>359</v>
      </c>
      <c r="E307" t="s">
        <v>252</v>
      </c>
      <c r="F307">
        <v>21.5</v>
      </c>
      <c r="G307" t="s">
        <v>45</v>
      </c>
      <c r="H307" t="s">
        <v>360</v>
      </c>
      <c r="I307" t="s">
        <v>361</v>
      </c>
      <c r="J307" t="s">
        <v>362</v>
      </c>
      <c r="K307" t="s">
        <v>363</v>
      </c>
      <c r="L307">
        <v>217958</v>
      </c>
      <c r="M307">
        <v>146905</v>
      </c>
      <c r="N307">
        <v>1</v>
      </c>
      <c r="O307">
        <f t="shared" si="100"/>
        <v>2.4330900243309003E-3</v>
      </c>
      <c r="P307">
        <v>10</v>
      </c>
      <c r="Q307">
        <f t="shared" si="101"/>
        <v>2.4330900243309003E-3</v>
      </c>
      <c r="R307">
        <v>0.15</v>
      </c>
      <c r="S307">
        <f t="shared" si="108"/>
        <v>1.5</v>
      </c>
      <c r="T307">
        <f t="shared" si="102"/>
        <v>1.3181019332161691E-2</v>
      </c>
      <c r="U307">
        <f t="shared" si="103"/>
        <v>-1.4643779110696434E-2</v>
      </c>
      <c r="V307">
        <f t="shared" si="104"/>
        <v>1.2800000000000001E-2</v>
      </c>
      <c r="W307">
        <v>0.1</v>
      </c>
      <c r="X307">
        <f t="shared" si="105"/>
        <v>0.128</v>
      </c>
      <c r="Y307">
        <v>2</v>
      </c>
      <c r="Z307">
        <v>2</v>
      </c>
      <c r="AA307" t="s">
        <v>50</v>
      </c>
      <c r="AB307">
        <f t="shared" si="106"/>
        <v>15.491933384829668</v>
      </c>
      <c r="AC307">
        <f t="shared" si="97"/>
        <v>61.967733539318672</v>
      </c>
      <c r="AE307">
        <v>1</v>
      </c>
      <c r="AF307">
        <v>2</v>
      </c>
      <c r="AG307">
        <v>1</v>
      </c>
      <c r="AH307">
        <f t="shared" si="107"/>
        <v>4.8205705136679109</v>
      </c>
      <c r="AI307">
        <f t="shared" si="98"/>
        <v>154.25825643737315</v>
      </c>
    </row>
    <row r="308" spans="1:36" x14ac:dyDescent="0.3">
      <c r="A308">
        <v>2021</v>
      </c>
      <c r="B308" t="s">
        <v>249</v>
      </c>
      <c r="C308" t="s">
        <v>358</v>
      </c>
      <c r="D308" t="s">
        <v>359</v>
      </c>
      <c r="E308" t="s">
        <v>252</v>
      </c>
      <c r="F308">
        <v>21.5</v>
      </c>
      <c r="G308" t="s">
        <v>45</v>
      </c>
      <c r="H308" t="s">
        <v>46</v>
      </c>
      <c r="I308" t="s">
        <v>47</v>
      </c>
      <c r="J308" t="s">
        <v>48</v>
      </c>
      <c r="K308" t="s">
        <v>49</v>
      </c>
      <c r="L308">
        <v>218099</v>
      </c>
      <c r="M308">
        <v>139476</v>
      </c>
      <c r="N308">
        <v>2</v>
      </c>
      <c r="O308">
        <f t="shared" si="100"/>
        <v>4.8661800486618006E-3</v>
      </c>
      <c r="P308">
        <v>20</v>
      </c>
      <c r="Q308">
        <f t="shared" si="101"/>
        <v>4.8661800486618006E-3</v>
      </c>
      <c r="R308">
        <v>0.01</v>
      </c>
      <c r="S308">
        <f t="shared" si="108"/>
        <v>0.1</v>
      </c>
      <c r="T308">
        <f t="shared" si="102"/>
        <v>8.7873462214411275E-4</v>
      </c>
      <c r="U308">
        <f t="shared" si="103"/>
        <v>-2.5914579240565887E-2</v>
      </c>
      <c r="V308">
        <f t="shared" si="104"/>
        <v>1.2800000000000001E-2</v>
      </c>
      <c r="W308">
        <v>0.1</v>
      </c>
      <c r="X308">
        <f t="shared" si="105"/>
        <v>0.128</v>
      </c>
      <c r="Y308">
        <v>2</v>
      </c>
      <c r="Z308">
        <v>3</v>
      </c>
      <c r="AA308" t="s">
        <v>50</v>
      </c>
      <c r="AB308">
        <f t="shared" si="106"/>
        <v>8.4852813742385695</v>
      </c>
      <c r="AC308">
        <f t="shared" si="97"/>
        <v>22.627416997969519</v>
      </c>
      <c r="AE308">
        <v>3</v>
      </c>
      <c r="AF308">
        <v>2</v>
      </c>
      <c r="AG308">
        <v>2</v>
      </c>
      <c r="AH308">
        <f t="shared" si="107"/>
        <v>4.5127237117036749</v>
      </c>
      <c r="AI308">
        <f t="shared" si="98"/>
        <v>24.067859795752931</v>
      </c>
    </row>
    <row r="309" spans="1:36" x14ac:dyDescent="0.3">
      <c r="A309">
        <v>2021</v>
      </c>
      <c r="B309" t="s">
        <v>249</v>
      </c>
      <c r="C309" t="s">
        <v>358</v>
      </c>
      <c r="D309" t="s">
        <v>359</v>
      </c>
      <c r="E309" t="s">
        <v>252</v>
      </c>
      <c r="F309">
        <v>21.5</v>
      </c>
      <c r="G309" t="s">
        <v>51</v>
      </c>
      <c r="H309" t="s">
        <v>52</v>
      </c>
      <c r="I309" t="s">
        <v>53</v>
      </c>
      <c r="J309" t="s">
        <v>54</v>
      </c>
      <c r="K309" t="s">
        <v>303</v>
      </c>
      <c r="L309">
        <v>233419</v>
      </c>
      <c r="M309">
        <v>110483</v>
      </c>
      <c r="N309">
        <v>1</v>
      </c>
      <c r="O309">
        <f t="shared" si="100"/>
        <v>2.4330900243309003E-3</v>
      </c>
      <c r="P309">
        <v>10</v>
      </c>
      <c r="Q309">
        <f t="shared" si="101"/>
        <v>2.4330900243309003E-3</v>
      </c>
      <c r="R309">
        <v>0.01</v>
      </c>
      <c r="S309">
        <f t="shared" si="108"/>
        <v>0.1</v>
      </c>
      <c r="T309">
        <f t="shared" si="102"/>
        <v>8.7873462214411275E-4</v>
      </c>
      <c r="U309">
        <f t="shared" si="103"/>
        <v>-1.4643779110696434E-2</v>
      </c>
      <c r="V309">
        <f t="shared" si="104"/>
        <v>1.2800000000000001E-2</v>
      </c>
      <c r="W309">
        <v>0.1</v>
      </c>
      <c r="X309">
        <f t="shared" si="105"/>
        <v>0.128</v>
      </c>
      <c r="Y309">
        <v>2</v>
      </c>
      <c r="Z309">
        <v>3</v>
      </c>
      <c r="AA309" t="s">
        <v>50</v>
      </c>
      <c r="AB309">
        <f t="shared" si="106"/>
        <v>6</v>
      </c>
      <c r="AC309">
        <f t="shared" si="97"/>
        <v>16</v>
      </c>
      <c r="AE309">
        <v>3</v>
      </c>
      <c r="AF309">
        <v>2</v>
      </c>
      <c r="AG309">
        <v>1</v>
      </c>
      <c r="AH309">
        <f t="shared" si="107"/>
        <v>1.897366596101028</v>
      </c>
      <c r="AI309">
        <f t="shared" si="98"/>
        <v>20.238577025077632</v>
      </c>
    </row>
    <row r="310" spans="1:36" x14ac:dyDescent="0.3">
      <c r="A310">
        <v>2021</v>
      </c>
      <c r="B310" t="s">
        <v>249</v>
      </c>
      <c r="C310" t="s">
        <v>358</v>
      </c>
      <c r="D310" t="s">
        <v>359</v>
      </c>
      <c r="E310" t="s">
        <v>252</v>
      </c>
      <c r="F310">
        <v>21.5</v>
      </c>
      <c r="G310" t="s">
        <v>45</v>
      </c>
      <c r="H310" t="s">
        <v>71</v>
      </c>
      <c r="I310" t="s">
        <v>72</v>
      </c>
      <c r="J310" t="s">
        <v>73</v>
      </c>
      <c r="K310" t="s">
        <v>74</v>
      </c>
      <c r="L310">
        <v>217978</v>
      </c>
      <c r="M310">
        <v>140129</v>
      </c>
      <c r="N310">
        <v>7</v>
      </c>
      <c r="O310">
        <f t="shared" si="100"/>
        <v>1.7031630170316302E-2</v>
      </c>
      <c r="P310">
        <v>70</v>
      </c>
      <c r="Q310">
        <f t="shared" si="101"/>
        <v>1.7031630170316302E-2</v>
      </c>
      <c r="R310">
        <v>0.01</v>
      </c>
      <c r="S310">
        <f t="shared" si="108"/>
        <v>0.1</v>
      </c>
      <c r="T310">
        <f t="shared" si="102"/>
        <v>8.7873462214411275E-4</v>
      </c>
      <c r="U310">
        <f t="shared" si="103"/>
        <v>-6.9364431771499882E-2</v>
      </c>
      <c r="V310">
        <f t="shared" si="104"/>
        <v>1.2800000000000001E-2</v>
      </c>
      <c r="W310">
        <v>0.1</v>
      </c>
      <c r="X310">
        <f t="shared" si="105"/>
        <v>0.128</v>
      </c>
      <c r="Y310">
        <v>2</v>
      </c>
      <c r="Z310">
        <v>3</v>
      </c>
      <c r="AA310" t="s">
        <v>50</v>
      </c>
      <c r="AB310">
        <f t="shared" si="106"/>
        <v>15.874507866387543</v>
      </c>
      <c r="AC310">
        <f t="shared" si="97"/>
        <v>42.332020977033444</v>
      </c>
      <c r="AE310">
        <v>1</v>
      </c>
      <c r="AF310">
        <v>3</v>
      </c>
      <c r="AG310">
        <v>1</v>
      </c>
      <c r="AH310">
        <f t="shared" si="107"/>
        <v>1.543106017083121</v>
      </c>
      <c r="AI310">
        <f t="shared" si="98"/>
        <v>32.919595031106581</v>
      </c>
    </row>
    <row r="311" spans="1:36" x14ac:dyDescent="0.3">
      <c r="A311">
        <v>2021</v>
      </c>
      <c r="B311" t="s">
        <v>249</v>
      </c>
      <c r="C311" t="s">
        <v>358</v>
      </c>
      <c r="D311" t="s">
        <v>359</v>
      </c>
      <c r="E311" t="s">
        <v>252</v>
      </c>
      <c r="F311">
        <v>21.5</v>
      </c>
      <c r="G311" t="s">
        <v>51</v>
      </c>
      <c r="H311" t="s">
        <v>126</v>
      </c>
      <c r="I311" t="s">
        <v>207</v>
      </c>
      <c r="J311" t="s">
        <v>208</v>
      </c>
      <c r="K311" t="s">
        <v>210</v>
      </c>
      <c r="L311">
        <v>233384</v>
      </c>
      <c r="M311">
        <v>101930</v>
      </c>
      <c r="N311">
        <v>2</v>
      </c>
      <c r="O311">
        <f t="shared" si="100"/>
        <v>4.8661800486618006E-3</v>
      </c>
      <c r="P311">
        <v>20</v>
      </c>
      <c r="Q311">
        <f t="shared" si="101"/>
        <v>4.8661800486618006E-3</v>
      </c>
      <c r="R311">
        <v>0.01</v>
      </c>
      <c r="S311">
        <f t="shared" si="108"/>
        <v>0.1</v>
      </c>
      <c r="T311">
        <f t="shared" si="102"/>
        <v>8.7873462214411275E-4</v>
      </c>
      <c r="U311">
        <f t="shared" si="103"/>
        <v>-2.5914579240565887E-2</v>
      </c>
      <c r="V311">
        <f t="shared" si="104"/>
        <v>1.2800000000000001E-2</v>
      </c>
      <c r="W311">
        <v>0.1</v>
      </c>
      <c r="X311">
        <f t="shared" si="105"/>
        <v>0.128</v>
      </c>
      <c r="Y311">
        <v>2</v>
      </c>
      <c r="Z311">
        <v>1</v>
      </c>
      <c r="AA311" t="s">
        <v>50</v>
      </c>
      <c r="AB311">
        <f t="shared" si="106"/>
        <v>2.8284271247461898</v>
      </c>
      <c r="AC311">
        <f t="shared" si="97"/>
        <v>22.627416997969519</v>
      </c>
      <c r="AE311">
        <v>1</v>
      </c>
      <c r="AF311">
        <v>1</v>
      </c>
      <c r="AG311">
        <v>1</v>
      </c>
      <c r="AH311">
        <f t="shared" si="107"/>
        <v>0.37606030930863954</v>
      </c>
      <c r="AI311">
        <f t="shared" si="98"/>
        <v>24.067859795752931</v>
      </c>
    </row>
    <row r="312" spans="1:36" x14ac:dyDescent="0.3">
      <c r="A312">
        <v>2021</v>
      </c>
      <c r="B312" t="s">
        <v>249</v>
      </c>
      <c r="C312" t="s">
        <v>358</v>
      </c>
      <c r="D312" t="s">
        <v>359</v>
      </c>
      <c r="E312" t="s">
        <v>252</v>
      </c>
      <c r="F312">
        <v>21.5</v>
      </c>
      <c r="G312" t="s">
        <v>22</v>
      </c>
      <c r="H312" t="s">
        <v>67</v>
      </c>
      <c r="I312" t="s">
        <v>84</v>
      </c>
      <c r="J312" t="s">
        <v>85</v>
      </c>
      <c r="K312" t="s">
        <v>199</v>
      </c>
      <c r="L312">
        <v>227130</v>
      </c>
      <c r="M312">
        <v>130599</v>
      </c>
      <c r="N312">
        <v>1</v>
      </c>
      <c r="O312">
        <f t="shared" si="100"/>
        <v>2.4330900243309003E-3</v>
      </c>
      <c r="P312">
        <v>10</v>
      </c>
      <c r="Q312">
        <f t="shared" si="101"/>
        <v>2.4330900243309003E-3</v>
      </c>
      <c r="R312">
        <v>5.0000000000000001E-3</v>
      </c>
      <c r="S312">
        <f t="shared" si="108"/>
        <v>0.05</v>
      </c>
      <c r="T312">
        <f t="shared" si="102"/>
        <v>4.3936731107205638E-4</v>
      </c>
      <c r="U312">
        <f t="shared" si="103"/>
        <v>-1.4643779110696434E-2</v>
      </c>
      <c r="V312">
        <f t="shared" si="104"/>
        <v>1.2800000000000001E-2</v>
      </c>
      <c r="W312">
        <v>0.1</v>
      </c>
      <c r="X312">
        <f t="shared" si="105"/>
        <v>0.128</v>
      </c>
      <c r="Y312">
        <v>2</v>
      </c>
      <c r="Z312">
        <v>2</v>
      </c>
      <c r="AA312" t="s">
        <v>50</v>
      </c>
      <c r="AB312">
        <f t="shared" si="106"/>
        <v>2.8284271247461898</v>
      </c>
      <c r="AC312">
        <f t="shared" si="97"/>
        <v>11.313708498984759</v>
      </c>
      <c r="AE312">
        <v>1</v>
      </c>
      <c r="AF312">
        <v>2</v>
      </c>
      <c r="AG312">
        <v>1</v>
      </c>
      <c r="AH312">
        <f t="shared" si="107"/>
        <v>0.37606030930863954</v>
      </c>
      <c r="AI312">
        <f t="shared" si="98"/>
        <v>12.033929897876465</v>
      </c>
    </row>
    <row r="313" spans="1:36" x14ac:dyDescent="0.3">
      <c r="A313">
        <v>2021</v>
      </c>
      <c r="B313" t="s">
        <v>249</v>
      </c>
      <c r="C313" t="s">
        <v>358</v>
      </c>
      <c r="D313" t="s">
        <v>359</v>
      </c>
      <c r="E313" t="s">
        <v>252</v>
      </c>
      <c r="F313">
        <v>21.5</v>
      </c>
      <c r="G313" t="s">
        <v>22</v>
      </c>
      <c r="I313" t="s">
        <v>145</v>
      </c>
      <c r="J313" t="s">
        <v>227</v>
      </c>
      <c r="K313" t="s">
        <v>228</v>
      </c>
      <c r="L313">
        <v>227760</v>
      </c>
      <c r="M313">
        <v>129898</v>
      </c>
      <c r="N313">
        <v>1</v>
      </c>
      <c r="O313">
        <f t="shared" si="100"/>
        <v>2.4330900243309003E-3</v>
      </c>
      <c r="P313">
        <v>10</v>
      </c>
      <c r="Q313">
        <f t="shared" si="101"/>
        <v>2.4330900243309003E-3</v>
      </c>
      <c r="R313">
        <v>0.45</v>
      </c>
      <c r="S313">
        <f t="shared" si="108"/>
        <v>4.5</v>
      </c>
      <c r="T313">
        <f t="shared" si="102"/>
        <v>3.9543057996485075E-2</v>
      </c>
      <c r="U313">
        <f t="shared" si="103"/>
        <v>-1.4643779110696434E-2</v>
      </c>
      <c r="V313">
        <f t="shared" si="104"/>
        <v>1.2800000000000001E-2</v>
      </c>
      <c r="W313">
        <v>0.1</v>
      </c>
      <c r="X313">
        <f t="shared" si="105"/>
        <v>0.128</v>
      </c>
      <c r="Y313">
        <v>3</v>
      </c>
      <c r="Z313">
        <v>2</v>
      </c>
      <c r="AA313" t="s">
        <v>60</v>
      </c>
      <c r="AB313">
        <f t="shared" si="106"/>
        <v>40.249223594996216</v>
      </c>
      <c r="AC313">
        <f t="shared" si="97"/>
        <v>107.33126291998991</v>
      </c>
      <c r="AE313">
        <v>3</v>
      </c>
      <c r="AF313">
        <v>3</v>
      </c>
      <c r="AG313">
        <v>4</v>
      </c>
      <c r="AH313">
        <f t="shared" si="107"/>
        <v>197.79344108017415</v>
      </c>
      <c r="AI313">
        <f t="shared" si="98"/>
        <v>351.63278414253182</v>
      </c>
    </row>
    <row r="314" spans="1:36" x14ac:dyDescent="0.3">
      <c r="A314">
        <v>2021</v>
      </c>
      <c r="B314" t="s">
        <v>249</v>
      </c>
      <c r="C314" t="s">
        <v>358</v>
      </c>
      <c r="D314" t="s">
        <v>359</v>
      </c>
      <c r="E314" t="s">
        <v>252</v>
      </c>
      <c r="F314">
        <v>21.5</v>
      </c>
      <c r="G314" t="s">
        <v>22</v>
      </c>
      <c r="H314" t="s">
        <v>56</v>
      </c>
      <c r="I314" t="s">
        <v>57</v>
      </c>
      <c r="J314" t="s">
        <v>58</v>
      </c>
      <c r="K314" t="s">
        <v>59</v>
      </c>
      <c r="L314">
        <v>227394</v>
      </c>
      <c r="M314">
        <v>130100</v>
      </c>
      <c r="N314">
        <v>6</v>
      </c>
      <c r="O314">
        <f t="shared" si="100"/>
        <v>1.4598540145985401E-2</v>
      </c>
      <c r="P314">
        <v>60</v>
      </c>
      <c r="Q314">
        <f t="shared" si="101"/>
        <v>1.4598540145985401E-2</v>
      </c>
      <c r="R314">
        <v>0.08</v>
      </c>
      <c r="S314">
        <f t="shared" si="108"/>
        <v>0.8</v>
      </c>
      <c r="T314">
        <f t="shared" si="102"/>
        <v>7.029876977152902E-3</v>
      </c>
      <c r="U314">
        <f t="shared" si="103"/>
        <v>-6.1705602120703348E-2</v>
      </c>
      <c r="V314">
        <f t="shared" si="104"/>
        <v>1.2800000000000001E-2</v>
      </c>
      <c r="W314">
        <v>0.1</v>
      </c>
      <c r="X314">
        <f t="shared" si="105"/>
        <v>0.128</v>
      </c>
      <c r="Y314">
        <v>3</v>
      </c>
      <c r="Z314">
        <v>2</v>
      </c>
      <c r="AA314" t="s">
        <v>60</v>
      </c>
      <c r="AB314">
        <f t="shared" si="106"/>
        <v>41.569219381653056</v>
      </c>
      <c r="AC314">
        <f t="shared" si="97"/>
        <v>110.85125168440815</v>
      </c>
      <c r="AE314">
        <v>1</v>
      </c>
      <c r="AF314">
        <v>3</v>
      </c>
      <c r="AG314">
        <v>2</v>
      </c>
      <c r="AH314">
        <f t="shared" si="107"/>
        <v>14.125588590637021</v>
      </c>
      <c r="AI314">
        <f t="shared" si="98"/>
        <v>150.67294496679489</v>
      </c>
    </row>
    <row r="315" spans="1:36" x14ac:dyDescent="0.3">
      <c r="A315">
        <v>2021</v>
      </c>
      <c r="B315" t="s">
        <v>249</v>
      </c>
      <c r="C315" t="s">
        <v>358</v>
      </c>
      <c r="D315" t="s">
        <v>359</v>
      </c>
      <c r="E315" t="s">
        <v>252</v>
      </c>
      <c r="F315">
        <v>21.5</v>
      </c>
      <c r="G315" t="s">
        <v>22</v>
      </c>
      <c r="I315" t="s">
        <v>102</v>
      </c>
      <c r="J315" t="s">
        <v>103</v>
      </c>
      <c r="K315" t="s">
        <v>284</v>
      </c>
      <c r="L315">
        <v>227805</v>
      </c>
      <c r="M315">
        <v>130330</v>
      </c>
      <c r="N315">
        <v>1</v>
      </c>
      <c r="O315">
        <f t="shared" si="100"/>
        <v>2.4330900243309003E-3</v>
      </c>
      <c r="P315">
        <v>10</v>
      </c>
      <c r="Q315">
        <f t="shared" si="101"/>
        <v>2.4330900243309003E-3</v>
      </c>
      <c r="R315">
        <v>0.01</v>
      </c>
      <c r="S315">
        <f t="shared" si="108"/>
        <v>0.1</v>
      </c>
      <c r="T315">
        <f t="shared" si="102"/>
        <v>8.7873462214411275E-4</v>
      </c>
      <c r="U315">
        <f t="shared" si="103"/>
        <v>-1.4643779110696434E-2</v>
      </c>
      <c r="V315">
        <f t="shared" si="104"/>
        <v>1.2800000000000001E-2</v>
      </c>
      <c r="W315">
        <v>0.1</v>
      </c>
      <c r="X315">
        <f t="shared" si="105"/>
        <v>0.128</v>
      </c>
      <c r="Y315">
        <v>3</v>
      </c>
      <c r="Z315">
        <v>1</v>
      </c>
      <c r="AA315" t="s">
        <v>60</v>
      </c>
      <c r="AB315">
        <f t="shared" si="106"/>
        <v>3</v>
      </c>
      <c r="AC315">
        <f t="shared" si="97"/>
        <v>16</v>
      </c>
      <c r="AE315">
        <v>3</v>
      </c>
      <c r="AF315">
        <v>4</v>
      </c>
      <c r="AG315">
        <v>2.71</v>
      </c>
      <c r="AH315">
        <f t="shared" si="107"/>
        <v>10.283726950867571</v>
      </c>
      <c r="AI315">
        <f t="shared" si="98"/>
        <v>20.238577025077632</v>
      </c>
    </row>
    <row r="316" spans="1:36" x14ac:dyDescent="0.3">
      <c r="A316">
        <v>2021</v>
      </c>
      <c r="B316" t="s">
        <v>249</v>
      </c>
      <c r="C316" t="s">
        <v>358</v>
      </c>
      <c r="D316" t="s">
        <v>359</v>
      </c>
      <c r="E316" t="s">
        <v>252</v>
      </c>
      <c r="F316">
        <v>21.5</v>
      </c>
      <c r="G316" t="s">
        <v>22</v>
      </c>
      <c r="H316" t="s">
        <v>56</v>
      </c>
      <c r="I316" t="s">
        <v>153</v>
      </c>
      <c r="J316" t="s">
        <v>154</v>
      </c>
      <c r="K316" t="s">
        <v>272</v>
      </c>
      <c r="L316">
        <v>227488</v>
      </c>
      <c r="M316">
        <v>129802</v>
      </c>
      <c r="N316">
        <v>2</v>
      </c>
      <c r="O316">
        <f t="shared" si="100"/>
        <v>4.8661800486618006E-3</v>
      </c>
      <c r="P316">
        <v>20</v>
      </c>
      <c r="Q316">
        <f t="shared" si="101"/>
        <v>4.8661800486618006E-3</v>
      </c>
      <c r="R316">
        <v>0.06</v>
      </c>
      <c r="S316">
        <f t="shared" si="108"/>
        <v>0.6</v>
      </c>
      <c r="T316">
        <f t="shared" si="102"/>
        <v>5.2724077328646759E-3</v>
      </c>
      <c r="U316">
        <f t="shared" si="103"/>
        <v>-2.5914579240565887E-2</v>
      </c>
      <c r="V316">
        <f t="shared" si="104"/>
        <v>1.2800000000000001E-2</v>
      </c>
      <c r="W316">
        <v>0.1</v>
      </c>
      <c r="X316">
        <f t="shared" si="105"/>
        <v>0.128</v>
      </c>
      <c r="Y316">
        <v>3</v>
      </c>
      <c r="Z316">
        <v>1</v>
      </c>
      <c r="AA316" t="s">
        <v>100</v>
      </c>
      <c r="AB316">
        <f t="shared" si="106"/>
        <v>10.392304845413264</v>
      </c>
      <c r="AC316">
        <f t="shared" si="97"/>
        <v>55.42562584220407</v>
      </c>
      <c r="AE316">
        <v>3</v>
      </c>
      <c r="AF316">
        <v>3</v>
      </c>
      <c r="AG316">
        <v>2</v>
      </c>
      <c r="AH316">
        <f t="shared" si="107"/>
        <v>25.950363272655355</v>
      </c>
      <c r="AI316">
        <f t="shared" si="98"/>
        <v>92.267958302774588</v>
      </c>
    </row>
    <row r="317" spans="1:36" x14ac:dyDescent="0.3">
      <c r="A317">
        <v>2021</v>
      </c>
      <c r="B317" t="s">
        <v>249</v>
      </c>
      <c r="C317" t="s">
        <v>358</v>
      </c>
      <c r="D317" t="s">
        <v>359</v>
      </c>
      <c r="E317" t="s">
        <v>252</v>
      </c>
      <c r="F317">
        <v>21.5</v>
      </c>
      <c r="G317" t="s">
        <v>22</v>
      </c>
      <c r="H317" t="s">
        <v>56</v>
      </c>
      <c r="I317" t="s">
        <v>153</v>
      </c>
      <c r="J317" t="s">
        <v>301</v>
      </c>
      <c r="K317" t="s">
        <v>302</v>
      </c>
      <c r="L317">
        <v>227468</v>
      </c>
      <c r="M317">
        <v>129789</v>
      </c>
      <c r="N317">
        <v>2</v>
      </c>
      <c r="O317">
        <f t="shared" si="100"/>
        <v>4.8661800486618006E-3</v>
      </c>
      <c r="P317">
        <v>20</v>
      </c>
      <c r="Q317">
        <f t="shared" si="101"/>
        <v>4.8661800486618006E-3</v>
      </c>
      <c r="R317">
        <v>0.02</v>
      </c>
      <c r="S317">
        <f t="shared" si="108"/>
        <v>0.2</v>
      </c>
      <c r="T317">
        <f t="shared" si="102"/>
        <v>1.7574692442882255E-3</v>
      </c>
      <c r="U317">
        <f t="shared" si="103"/>
        <v>-2.5914579240565887E-2</v>
      </c>
      <c r="V317">
        <f t="shared" si="104"/>
        <v>1.2800000000000001E-2</v>
      </c>
      <c r="W317">
        <v>0.1</v>
      </c>
      <c r="X317">
        <f t="shared" si="105"/>
        <v>0.128</v>
      </c>
      <c r="Y317">
        <v>3</v>
      </c>
      <c r="Z317">
        <v>1</v>
      </c>
      <c r="AA317" t="s">
        <v>100</v>
      </c>
      <c r="AB317">
        <f t="shared" si="106"/>
        <v>6</v>
      </c>
      <c r="AC317">
        <f t="shared" si="97"/>
        <v>32</v>
      </c>
      <c r="AE317">
        <v>3</v>
      </c>
      <c r="AF317">
        <v>3</v>
      </c>
      <c r="AG317">
        <v>2.5</v>
      </c>
      <c r="AH317">
        <f t="shared" si="107"/>
        <v>14.230249470757709</v>
      </c>
      <c r="AI317">
        <f t="shared" si="98"/>
        <v>40.477154050155264</v>
      </c>
    </row>
    <row r="318" spans="1:36" x14ac:dyDescent="0.3">
      <c r="A318">
        <v>2021</v>
      </c>
      <c r="B318" t="s">
        <v>249</v>
      </c>
      <c r="C318" t="s">
        <v>358</v>
      </c>
      <c r="D318" t="s">
        <v>359</v>
      </c>
      <c r="E318" t="s">
        <v>252</v>
      </c>
      <c r="F318">
        <v>21.5</v>
      </c>
      <c r="G318" t="s">
        <v>22</v>
      </c>
      <c r="H318" t="s">
        <v>96</v>
      </c>
      <c r="I318" t="s">
        <v>97</v>
      </c>
      <c r="J318" t="s">
        <v>239</v>
      </c>
      <c r="K318" t="s">
        <v>240</v>
      </c>
      <c r="L318">
        <v>227343</v>
      </c>
      <c r="M318">
        <v>131168</v>
      </c>
      <c r="N318">
        <v>1</v>
      </c>
      <c r="O318">
        <f t="shared" si="100"/>
        <v>2.4330900243309003E-3</v>
      </c>
      <c r="P318">
        <v>10</v>
      </c>
      <c r="Q318">
        <f t="shared" si="101"/>
        <v>2.4330900243309003E-3</v>
      </c>
      <c r="R318">
        <v>5.0000000000000001E-3</v>
      </c>
      <c r="S318">
        <f t="shared" si="108"/>
        <v>0.05</v>
      </c>
      <c r="T318">
        <f t="shared" si="102"/>
        <v>4.3936731107205638E-4</v>
      </c>
      <c r="U318">
        <f t="shared" si="103"/>
        <v>-1.4643779110696434E-2</v>
      </c>
      <c r="V318">
        <f t="shared" si="104"/>
        <v>1.2800000000000001E-2</v>
      </c>
      <c r="W318">
        <v>0.1</v>
      </c>
      <c r="X318">
        <f t="shared" si="105"/>
        <v>0.128</v>
      </c>
      <c r="Y318">
        <v>3</v>
      </c>
      <c r="Z318">
        <v>1</v>
      </c>
      <c r="AA318" t="s">
        <v>100</v>
      </c>
      <c r="AB318">
        <f t="shared" si="106"/>
        <v>2.1213203435596424</v>
      </c>
      <c r="AC318">
        <f t="shared" si="97"/>
        <v>11.313708498984759</v>
      </c>
      <c r="AE318">
        <v>2.5</v>
      </c>
      <c r="AF318">
        <v>3</v>
      </c>
      <c r="AG318">
        <v>2</v>
      </c>
      <c r="AH318">
        <f t="shared" si="107"/>
        <v>2.8204523198147964</v>
      </c>
      <c r="AI318">
        <f t="shared" si="98"/>
        <v>12.033929897876465</v>
      </c>
    </row>
    <row r="319" spans="1:36" x14ac:dyDescent="0.3">
      <c r="A319">
        <v>2021</v>
      </c>
      <c r="B319" t="s">
        <v>249</v>
      </c>
      <c r="C319" t="s">
        <v>358</v>
      </c>
      <c r="D319" t="s">
        <v>359</v>
      </c>
      <c r="E319" t="s">
        <v>252</v>
      </c>
      <c r="F319">
        <v>21.5</v>
      </c>
      <c r="G319" t="s">
        <v>22</v>
      </c>
      <c r="H319" t="s">
        <v>56</v>
      </c>
      <c r="I319" t="s">
        <v>153</v>
      </c>
      <c r="J319" t="s">
        <v>183</v>
      </c>
      <c r="K319" t="s">
        <v>183</v>
      </c>
      <c r="L319">
        <v>1007570</v>
      </c>
      <c r="M319">
        <v>129155</v>
      </c>
      <c r="N319">
        <v>5</v>
      </c>
      <c r="O319">
        <f t="shared" si="100"/>
        <v>1.2165450121654502E-2</v>
      </c>
      <c r="P319">
        <v>50</v>
      </c>
      <c r="Q319">
        <f t="shared" si="101"/>
        <v>1.2165450121654502E-2</v>
      </c>
      <c r="R319">
        <v>0.01</v>
      </c>
      <c r="S319">
        <f t="shared" si="108"/>
        <v>0.1</v>
      </c>
      <c r="T319">
        <f t="shared" si="102"/>
        <v>8.7873462214411275E-4</v>
      </c>
      <c r="U319">
        <f t="shared" si="103"/>
        <v>-5.3639358905865388E-2</v>
      </c>
      <c r="V319">
        <f t="shared" si="104"/>
        <v>1.2800000000000001E-2</v>
      </c>
      <c r="W319">
        <v>0.1</v>
      </c>
      <c r="X319">
        <f t="shared" si="105"/>
        <v>0.128</v>
      </c>
      <c r="Y319">
        <v>3</v>
      </c>
      <c r="Z319">
        <v>2</v>
      </c>
      <c r="AA319" t="s">
        <v>100</v>
      </c>
      <c r="AB319">
        <f t="shared" si="106"/>
        <v>13.416407864998739</v>
      </c>
      <c r="AC319">
        <f t="shared" si="97"/>
        <v>35.777087639996637</v>
      </c>
      <c r="AE319">
        <v>3</v>
      </c>
      <c r="AF319">
        <v>1</v>
      </c>
      <c r="AG319">
        <v>1</v>
      </c>
      <c r="AH319">
        <f t="shared" si="107"/>
        <v>1.4186124135047633</v>
      </c>
      <c r="AI319">
        <f t="shared" si="98"/>
        <v>30.26373148810162</v>
      </c>
    </row>
    <row r="320" spans="1:36" s="4" customFormat="1" x14ac:dyDescent="0.3">
      <c r="N320" s="4">
        <f>SUM(N289:N319)</f>
        <v>411</v>
      </c>
      <c r="O320" s="4">
        <f>SUM(O289:O319)</f>
        <v>0.99999999999999978</v>
      </c>
      <c r="P320" s="4">
        <f t="shared" ref="P320:R320" si="109">SUM(P289:P319)</f>
        <v>4110</v>
      </c>
      <c r="Q320" s="4">
        <f t="shared" si="109"/>
        <v>0.99999999999999978</v>
      </c>
      <c r="R320" s="4">
        <f t="shared" si="109"/>
        <v>11.38</v>
      </c>
      <c r="S320" s="4">
        <f>SUM(S289:S319)</f>
        <v>113.79999999999997</v>
      </c>
      <c r="T320" s="4">
        <f>SUM(T289:T319)</f>
        <v>1.0000000000000004</v>
      </c>
      <c r="U320" s="4">
        <f>-SUM(U289:U319)</f>
        <v>2.2359366886859657</v>
      </c>
      <c r="Y320" s="4">
        <v>4</v>
      </c>
      <c r="Z320" s="4">
        <v>4</v>
      </c>
      <c r="AB320" s="4">
        <f>SUM(AB289:AB319)</f>
        <v>3037.6205041546909</v>
      </c>
      <c r="AC320" s="4">
        <f>SUM(AC289:AC319)</f>
        <v>9602.4978391504155</v>
      </c>
      <c r="AD320" s="4">
        <f>AB320/AC320</f>
        <v>0.31633649442439715</v>
      </c>
      <c r="AE320" s="4">
        <v>4</v>
      </c>
      <c r="AF320" s="4">
        <v>4</v>
      </c>
      <c r="AG320" s="4">
        <v>4</v>
      </c>
      <c r="AH320" s="4">
        <f>SUM(AH289:AH319)</f>
        <v>1416.3890566824305</v>
      </c>
      <c r="AI320" s="4">
        <f>SUM(AI289:AI319)</f>
        <v>16197.5912536743</v>
      </c>
      <c r="AJ320" s="4">
        <f>AH320/AI320</f>
        <v>8.7444425192612113E-2</v>
      </c>
    </row>
    <row r="321" spans="1:35" x14ac:dyDescent="0.3">
      <c r="A321">
        <v>2021</v>
      </c>
      <c r="B321" t="s">
        <v>364</v>
      </c>
      <c r="C321" t="s">
        <v>365</v>
      </c>
      <c r="D321" t="s">
        <v>366</v>
      </c>
      <c r="E321" t="s">
        <v>367</v>
      </c>
      <c r="F321">
        <v>42</v>
      </c>
      <c r="G321" t="s">
        <v>22</v>
      </c>
      <c r="I321" t="s">
        <v>105</v>
      </c>
      <c r="J321" t="s">
        <v>106</v>
      </c>
      <c r="K321" t="s">
        <v>107</v>
      </c>
      <c r="L321">
        <v>227839</v>
      </c>
      <c r="M321">
        <v>130980</v>
      </c>
      <c r="N321">
        <v>185</v>
      </c>
      <c r="O321">
        <f t="shared" ref="O321:O357" si="110">N321/$N$358</f>
        <v>0.35645472061657035</v>
      </c>
      <c r="P321">
        <v>1850</v>
      </c>
      <c r="Q321">
        <f t="shared" ref="Q321:Q357" si="111">P321/$P$358</f>
        <v>0.35645472061657035</v>
      </c>
      <c r="R321">
        <v>0.73</v>
      </c>
      <c r="S321">
        <f>R321*10</f>
        <v>7.3</v>
      </c>
      <c r="T321">
        <f t="shared" ref="T321:T357" si="112">S321/$S$358</f>
        <v>7.0977151191054952E-2</v>
      </c>
      <c r="U321">
        <f t="shared" ref="U321:U357" si="113">O321*LN(O321)</f>
        <v>-0.36770017484816825</v>
      </c>
      <c r="V321">
        <f t="shared" ref="V321:V357" si="114">15.6/1000</f>
        <v>1.5599999999999999E-2</v>
      </c>
      <c r="W321">
        <v>0.1</v>
      </c>
      <c r="X321">
        <f t="shared" ref="X321:X357" si="115">V321/W321</f>
        <v>0.15599999999999997</v>
      </c>
      <c r="Y321">
        <v>4</v>
      </c>
      <c r="Z321">
        <v>4</v>
      </c>
      <c r="AA321" t="s">
        <v>27</v>
      </c>
      <c r="AB321">
        <f t="shared" ref="AB321:AB357" si="116">(SQRT(S321/P321))*P321*Z321*Y321</f>
        <v>1859.3762394953851</v>
      </c>
      <c r="AC321">
        <f t="shared" si="97"/>
        <v>1859.3762394953851</v>
      </c>
      <c r="AE321">
        <v>2</v>
      </c>
      <c r="AF321">
        <v>3</v>
      </c>
      <c r="AG321">
        <v>3</v>
      </c>
      <c r="AH321">
        <f t="shared" ref="AH321:AH357" si="117">((S321/P321)^0.75)*P321*AE321*AF321*AG321</f>
        <v>524.27310879293179</v>
      </c>
      <c r="AI321">
        <f t="shared" si="98"/>
        <v>1864.0821645970909</v>
      </c>
    </row>
    <row r="322" spans="1:35" x14ac:dyDescent="0.3">
      <c r="A322">
        <v>2021</v>
      </c>
      <c r="B322" t="s">
        <v>364</v>
      </c>
      <c r="C322" t="s">
        <v>365</v>
      </c>
      <c r="D322" t="s">
        <v>366</v>
      </c>
      <c r="E322" t="s">
        <v>367</v>
      </c>
      <c r="F322">
        <v>42</v>
      </c>
      <c r="G322" t="s">
        <v>28</v>
      </c>
      <c r="H322" t="s">
        <v>29</v>
      </c>
      <c r="I322" t="s">
        <v>30</v>
      </c>
      <c r="J322" t="s">
        <v>31</v>
      </c>
      <c r="K322" t="s">
        <v>368</v>
      </c>
      <c r="L322">
        <v>217699</v>
      </c>
      <c r="M322">
        <v>125080</v>
      </c>
      <c r="N322">
        <v>24</v>
      </c>
      <c r="O322">
        <f t="shared" si="110"/>
        <v>4.6242774566473986E-2</v>
      </c>
      <c r="P322">
        <v>240</v>
      </c>
      <c r="Q322">
        <f t="shared" si="111"/>
        <v>4.6242774566473986E-2</v>
      </c>
      <c r="R322">
        <v>0.22</v>
      </c>
      <c r="S322">
        <f t="shared" ref="S322:S357" si="118">R322*10</f>
        <v>2.2000000000000002</v>
      </c>
      <c r="T322">
        <f t="shared" si="112"/>
        <v>2.1390374331550811E-2</v>
      </c>
      <c r="U322">
        <f t="shared" si="113"/>
        <v>-0.14214335504360429</v>
      </c>
      <c r="V322">
        <f t="shared" si="114"/>
        <v>1.5599999999999999E-2</v>
      </c>
      <c r="W322">
        <v>0.1</v>
      </c>
      <c r="X322">
        <f t="shared" si="115"/>
        <v>0.15599999999999997</v>
      </c>
      <c r="Y322">
        <v>4</v>
      </c>
      <c r="Z322">
        <v>3</v>
      </c>
      <c r="AA322" t="s">
        <v>27</v>
      </c>
      <c r="AB322">
        <f t="shared" si="116"/>
        <v>275.73900703382537</v>
      </c>
      <c r="AC322">
        <f t="shared" si="97"/>
        <v>367.65200937843383</v>
      </c>
      <c r="AE322">
        <v>2</v>
      </c>
      <c r="AF322">
        <v>4</v>
      </c>
      <c r="AG322">
        <v>3</v>
      </c>
      <c r="AH322">
        <f t="shared" si="117"/>
        <v>170.6400865645935</v>
      </c>
      <c r="AI322">
        <f t="shared" si="98"/>
        <v>455.04023083891599</v>
      </c>
    </row>
    <row r="323" spans="1:35" x14ac:dyDescent="0.3">
      <c r="A323">
        <v>2021</v>
      </c>
      <c r="B323" t="s">
        <v>364</v>
      </c>
      <c r="C323" t="s">
        <v>365</v>
      </c>
      <c r="D323" t="s">
        <v>366</v>
      </c>
      <c r="E323" t="s">
        <v>367</v>
      </c>
      <c r="F323">
        <v>42</v>
      </c>
      <c r="G323" t="s">
        <v>22</v>
      </c>
      <c r="H323" t="s">
        <v>67</v>
      </c>
      <c r="I323" t="s">
        <v>224</v>
      </c>
      <c r="J323" t="s">
        <v>225</v>
      </c>
      <c r="K323" t="s">
        <v>226</v>
      </c>
      <c r="L323">
        <v>227033</v>
      </c>
      <c r="M323">
        <v>130362</v>
      </c>
      <c r="N323">
        <v>4</v>
      </c>
      <c r="O323">
        <f t="shared" si="110"/>
        <v>7.7071290944123313E-3</v>
      </c>
      <c r="P323">
        <v>40</v>
      </c>
      <c r="Q323">
        <f t="shared" si="111"/>
        <v>7.7071290944123313E-3</v>
      </c>
      <c r="R323">
        <v>0.19</v>
      </c>
      <c r="S323">
        <f t="shared" si="118"/>
        <v>1.9</v>
      </c>
      <c r="T323">
        <f t="shared" si="112"/>
        <v>1.8473505104521153E-2</v>
      </c>
      <c r="U323">
        <f t="shared" si="113"/>
        <v>-3.7499880709410384E-2</v>
      </c>
      <c r="V323">
        <f t="shared" si="114"/>
        <v>1.5599999999999999E-2</v>
      </c>
      <c r="W323">
        <v>0.1</v>
      </c>
      <c r="X323">
        <f t="shared" si="115"/>
        <v>0.15599999999999997</v>
      </c>
      <c r="Y323">
        <v>4</v>
      </c>
      <c r="Z323">
        <v>3</v>
      </c>
      <c r="AA323" t="s">
        <v>27</v>
      </c>
      <c r="AB323">
        <f t="shared" si="116"/>
        <v>104.61357464497615</v>
      </c>
      <c r="AC323">
        <f t="shared" ref="AC323:AC386" si="119">(SQRT(S323/P323))*P323*4*4</f>
        <v>139.48476619330154</v>
      </c>
      <c r="AE323">
        <v>3</v>
      </c>
      <c r="AF323">
        <v>2</v>
      </c>
      <c r="AG323">
        <v>1</v>
      </c>
      <c r="AH323">
        <f t="shared" si="117"/>
        <v>24.419200959006918</v>
      </c>
      <c r="AI323">
        <f t="shared" ref="AI323:AI386" si="120">((S323/P323)^0.75)*P323*4*4*4</f>
        <v>260.4714768960738</v>
      </c>
    </row>
    <row r="324" spans="1:35" x14ac:dyDescent="0.3">
      <c r="A324">
        <v>2021</v>
      </c>
      <c r="B324" t="s">
        <v>364</v>
      </c>
      <c r="C324" t="s">
        <v>365</v>
      </c>
      <c r="D324" t="s">
        <v>366</v>
      </c>
      <c r="E324" t="s">
        <v>367</v>
      </c>
      <c r="F324">
        <v>42</v>
      </c>
      <c r="G324" t="s">
        <v>22</v>
      </c>
      <c r="H324" t="s">
        <v>67</v>
      </c>
      <c r="I324" t="s">
        <v>68</v>
      </c>
      <c r="J324" t="s">
        <v>69</v>
      </c>
      <c r="K324" t="s">
        <v>190</v>
      </c>
      <c r="L324">
        <v>226797</v>
      </c>
      <c r="M324">
        <v>130116</v>
      </c>
      <c r="N324">
        <v>2</v>
      </c>
      <c r="O324">
        <f t="shared" si="110"/>
        <v>3.8535645472061657E-3</v>
      </c>
      <c r="P324">
        <v>20</v>
      </c>
      <c r="Q324">
        <f t="shared" si="111"/>
        <v>3.8535645472061657E-3</v>
      </c>
      <c r="R324">
        <v>0.1</v>
      </c>
      <c r="S324">
        <f t="shared" si="118"/>
        <v>1</v>
      </c>
      <c r="T324">
        <f t="shared" si="112"/>
        <v>9.7228974234321863E-3</v>
      </c>
      <c r="U324">
        <f t="shared" si="113"/>
        <v>-2.1421027755706909E-2</v>
      </c>
      <c r="V324">
        <f t="shared" si="114"/>
        <v>1.5599999999999999E-2</v>
      </c>
      <c r="W324">
        <v>0.1</v>
      </c>
      <c r="X324">
        <f t="shared" si="115"/>
        <v>0.15599999999999997</v>
      </c>
      <c r="Y324">
        <v>4</v>
      </c>
      <c r="Z324">
        <v>3</v>
      </c>
      <c r="AA324" t="s">
        <v>27</v>
      </c>
      <c r="AB324">
        <f t="shared" si="116"/>
        <v>53.665631459994955</v>
      </c>
      <c r="AC324">
        <f t="shared" si="119"/>
        <v>71.554175279993274</v>
      </c>
      <c r="AE324">
        <v>2</v>
      </c>
      <c r="AF324">
        <v>2</v>
      </c>
      <c r="AG324">
        <v>2</v>
      </c>
      <c r="AH324">
        <f t="shared" si="117"/>
        <v>16.917940215049025</v>
      </c>
      <c r="AI324">
        <f t="shared" si="120"/>
        <v>135.3435217203922</v>
      </c>
    </row>
    <row r="325" spans="1:35" x14ac:dyDescent="0.3">
      <c r="A325">
        <v>2021</v>
      </c>
      <c r="B325" t="s">
        <v>364</v>
      </c>
      <c r="C325" t="s">
        <v>365</v>
      </c>
      <c r="D325" t="s">
        <v>366</v>
      </c>
      <c r="E325" t="s">
        <v>367</v>
      </c>
      <c r="F325">
        <v>42</v>
      </c>
      <c r="K325" t="s">
        <v>75</v>
      </c>
      <c r="L325">
        <v>5000018</v>
      </c>
      <c r="M325">
        <v>152391</v>
      </c>
      <c r="N325">
        <v>7</v>
      </c>
      <c r="O325">
        <f t="shared" si="110"/>
        <v>1.348747591522158E-2</v>
      </c>
      <c r="P325">
        <v>70</v>
      </c>
      <c r="Q325">
        <f t="shared" si="111"/>
        <v>1.348747591522158E-2</v>
      </c>
      <c r="R325">
        <v>0.02</v>
      </c>
      <c r="S325">
        <f t="shared" si="118"/>
        <v>0.2</v>
      </c>
      <c r="T325">
        <f t="shared" si="112"/>
        <v>1.9445794846864374E-3</v>
      </c>
      <c r="U325">
        <f t="shared" si="113"/>
        <v>-5.8076986779911417E-2</v>
      </c>
      <c r="V325">
        <f t="shared" si="114"/>
        <v>1.5599999999999999E-2</v>
      </c>
      <c r="W325">
        <v>0.1</v>
      </c>
      <c r="X325">
        <f t="shared" si="115"/>
        <v>0.15599999999999997</v>
      </c>
      <c r="Y325">
        <v>4</v>
      </c>
      <c r="Z325">
        <v>3</v>
      </c>
      <c r="AA325" t="s">
        <v>27</v>
      </c>
      <c r="AB325">
        <f t="shared" si="116"/>
        <v>44.899888641287298</v>
      </c>
      <c r="AC325">
        <f t="shared" si="119"/>
        <v>59.866518188383061</v>
      </c>
      <c r="AE325">
        <v>2</v>
      </c>
      <c r="AF325">
        <v>2</v>
      </c>
      <c r="AG325">
        <v>2</v>
      </c>
      <c r="AH325">
        <f t="shared" si="117"/>
        <v>6.9204923633153772</v>
      </c>
      <c r="AI325">
        <f t="shared" si="120"/>
        <v>55.363938906523018</v>
      </c>
    </row>
    <row r="326" spans="1:35" x14ac:dyDescent="0.3">
      <c r="A326">
        <v>2021</v>
      </c>
      <c r="B326" t="s">
        <v>364</v>
      </c>
      <c r="C326" t="s">
        <v>365</v>
      </c>
      <c r="D326" t="s">
        <v>366</v>
      </c>
      <c r="E326" t="s">
        <v>367</v>
      </c>
      <c r="F326">
        <v>42</v>
      </c>
      <c r="G326" t="s">
        <v>22</v>
      </c>
      <c r="H326" t="s">
        <v>67</v>
      </c>
      <c r="I326" t="s">
        <v>375</v>
      </c>
      <c r="J326" t="s">
        <v>376</v>
      </c>
      <c r="K326" t="s">
        <v>377</v>
      </c>
      <c r="L326">
        <v>226813</v>
      </c>
      <c r="M326">
        <v>130140</v>
      </c>
      <c r="N326">
        <v>1</v>
      </c>
      <c r="O326">
        <f t="shared" si="110"/>
        <v>1.9267822736030828E-3</v>
      </c>
      <c r="P326">
        <v>10</v>
      </c>
      <c r="Q326">
        <f t="shared" si="111"/>
        <v>1.9267822736030828E-3</v>
      </c>
      <c r="R326">
        <v>0.01</v>
      </c>
      <c r="S326">
        <f t="shared" si="118"/>
        <v>0.1</v>
      </c>
      <c r="T326">
        <f t="shared" si="112"/>
        <v>9.7228974234321868E-4</v>
      </c>
      <c r="U326">
        <f t="shared" si="113"/>
        <v>-1.2046057578354313E-2</v>
      </c>
      <c r="V326">
        <f t="shared" si="114"/>
        <v>1.5599999999999999E-2</v>
      </c>
      <c r="W326">
        <v>0.1</v>
      </c>
      <c r="X326">
        <f t="shared" si="115"/>
        <v>0.15599999999999997</v>
      </c>
      <c r="Y326">
        <v>4</v>
      </c>
      <c r="Z326">
        <v>3</v>
      </c>
      <c r="AA326" t="s">
        <v>27</v>
      </c>
      <c r="AB326">
        <f t="shared" si="116"/>
        <v>12</v>
      </c>
      <c r="AC326">
        <f t="shared" si="119"/>
        <v>16</v>
      </c>
      <c r="AE326">
        <v>3</v>
      </c>
      <c r="AF326">
        <v>2</v>
      </c>
      <c r="AG326">
        <v>3</v>
      </c>
      <c r="AH326">
        <f t="shared" si="117"/>
        <v>5.6920997883030839</v>
      </c>
      <c r="AI326">
        <f t="shared" si="120"/>
        <v>20.238577025077632</v>
      </c>
    </row>
    <row r="327" spans="1:35" x14ac:dyDescent="0.3">
      <c r="A327">
        <v>2021</v>
      </c>
      <c r="B327" t="s">
        <v>364</v>
      </c>
      <c r="C327" t="s">
        <v>365</v>
      </c>
      <c r="D327" t="s">
        <v>366</v>
      </c>
      <c r="E327" t="s">
        <v>367</v>
      </c>
      <c r="F327">
        <v>42</v>
      </c>
      <c r="G327" t="s">
        <v>378</v>
      </c>
      <c r="H327" t="s">
        <v>379</v>
      </c>
      <c r="I327" t="s">
        <v>380</v>
      </c>
      <c r="J327" t="s">
        <v>381</v>
      </c>
      <c r="K327" t="s">
        <v>382</v>
      </c>
      <c r="L327">
        <v>234279</v>
      </c>
      <c r="M327">
        <v>136063</v>
      </c>
      <c r="N327">
        <v>1</v>
      </c>
      <c r="O327">
        <f t="shared" si="110"/>
        <v>1.9267822736030828E-3</v>
      </c>
      <c r="P327">
        <v>10</v>
      </c>
      <c r="Q327">
        <f t="shared" si="111"/>
        <v>1.9267822736030828E-3</v>
      </c>
      <c r="R327">
        <v>0.01</v>
      </c>
      <c r="S327">
        <f t="shared" si="118"/>
        <v>0.1</v>
      </c>
      <c r="T327">
        <f t="shared" si="112"/>
        <v>9.7228974234321868E-4</v>
      </c>
      <c r="U327">
        <f t="shared" si="113"/>
        <v>-1.2046057578354313E-2</v>
      </c>
      <c r="V327">
        <f t="shared" si="114"/>
        <v>1.5599999999999999E-2</v>
      </c>
      <c r="W327">
        <v>0.1</v>
      </c>
      <c r="X327">
        <f t="shared" si="115"/>
        <v>0.15599999999999997</v>
      </c>
      <c r="Y327">
        <v>4</v>
      </c>
      <c r="Z327">
        <v>3</v>
      </c>
      <c r="AA327" t="s">
        <v>27</v>
      </c>
      <c r="AB327">
        <f t="shared" si="116"/>
        <v>12</v>
      </c>
      <c r="AC327">
        <f t="shared" si="119"/>
        <v>16</v>
      </c>
      <c r="AE327">
        <v>2.5</v>
      </c>
      <c r="AF327">
        <v>1</v>
      </c>
      <c r="AG327">
        <v>2</v>
      </c>
      <c r="AH327">
        <f t="shared" si="117"/>
        <v>1.58113883008419</v>
      </c>
      <c r="AI327">
        <f t="shared" si="120"/>
        <v>20.238577025077632</v>
      </c>
    </row>
    <row r="328" spans="1:35" x14ac:dyDescent="0.3">
      <c r="A328">
        <v>2021</v>
      </c>
      <c r="B328" t="s">
        <v>364</v>
      </c>
      <c r="C328" t="s">
        <v>365</v>
      </c>
      <c r="D328" t="s">
        <v>366</v>
      </c>
      <c r="E328" t="s">
        <v>367</v>
      </c>
      <c r="F328">
        <v>42</v>
      </c>
      <c r="G328" t="s">
        <v>22</v>
      </c>
      <c r="H328" t="s">
        <v>67</v>
      </c>
      <c r="I328" t="s">
        <v>372</v>
      </c>
      <c r="J328" t="s">
        <v>373</v>
      </c>
      <c r="K328" t="s">
        <v>374</v>
      </c>
      <c r="L328">
        <v>226734</v>
      </c>
      <c r="M328">
        <v>130641</v>
      </c>
      <c r="N328">
        <v>1</v>
      </c>
      <c r="O328">
        <f t="shared" si="110"/>
        <v>1.9267822736030828E-3</v>
      </c>
      <c r="P328">
        <v>10</v>
      </c>
      <c r="Q328">
        <f t="shared" si="111"/>
        <v>1.9267822736030828E-3</v>
      </c>
      <c r="R328">
        <v>0.02</v>
      </c>
      <c r="S328">
        <f t="shared" si="118"/>
        <v>0.2</v>
      </c>
      <c r="T328">
        <f t="shared" si="112"/>
        <v>1.9445794846864374E-3</v>
      </c>
      <c r="U328">
        <f t="shared" si="113"/>
        <v>-1.2046057578354313E-2</v>
      </c>
      <c r="V328">
        <f t="shared" si="114"/>
        <v>1.5599999999999999E-2</v>
      </c>
      <c r="W328">
        <v>0.1</v>
      </c>
      <c r="X328">
        <f t="shared" si="115"/>
        <v>0.15599999999999997</v>
      </c>
      <c r="Y328">
        <v>4</v>
      </c>
      <c r="Z328">
        <v>3</v>
      </c>
      <c r="AA328" t="s">
        <v>27</v>
      </c>
      <c r="AB328">
        <f t="shared" si="116"/>
        <v>16.970562748477139</v>
      </c>
      <c r="AC328">
        <f t="shared" si="119"/>
        <v>22.627416997969519</v>
      </c>
      <c r="AE328">
        <v>1</v>
      </c>
      <c r="AF328">
        <v>2</v>
      </c>
      <c r="AG328">
        <v>1</v>
      </c>
      <c r="AH328">
        <f t="shared" si="117"/>
        <v>1.063659179388998</v>
      </c>
      <c r="AI328">
        <f t="shared" si="120"/>
        <v>34.037093740447936</v>
      </c>
    </row>
    <row r="329" spans="1:35" x14ac:dyDescent="0.3">
      <c r="A329">
        <v>2021</v>
      </c>
      <c r="B329" t="s">
        <v>364</v>
      </c>
      <c r="C329" t="s">
        <v>365</v>
      </c>
      <c r="D329" t="s">
        <v>366</v>
      </c>
      <c r="E329" t="s">
        <v>367</v>
      </c>
      <c r="F329">
        <v>42</v>
      </c>
      <c r="G329" t="s">
        <v>22</v>
      </c>
      <c r="H329" t="s">
        <v>67</v>
      </c>
      <c r="I329" t="s">
        <v>76</v>
      </c>
      <c r="J329" t="s">
        <v>77</v>
      </c>
      <c r="K329" t="s">
        <v>78</v>
      </c>
      <c r="L329">
        <v>226852</v>
      </c>
      <c r="M329">
        <v>710680</v>
      </c>
      <c r="N329">
        <v>1</v>
      </c>
      <c r="O329">
        <f t="shared" si="110"/>
        <v>1.9267822736030828E-3</v>
      </c>
      <c r="P329">
        <v>10</v>
      </c>
      <c r="Q329">
        <f t="shared" si="111"/>
        <v>1.9267822736030828E-3</v>
      </c>
      <c r="R329">
        <v>0.01</v>
      </c>
      <c r="S329">
        <f t="shared" si="118"/>
        <v>0.1</v>
      </c>
      <c r="T329">
        <f t="shared" si="112"/>
        <v>9.7228974234321868E-4</v>
      </c>
      <c r="U329">
        <f t="shared" si="113"/>
        <v>-1.2046057578354313E-2</v>
      </c>
      <c r="V329">
        <f t="shared" si="114"/>
        <v>1.5599999999999999E-2</v>
      </c>
      <c r="W329">
        <v>0.1</v>
      </c>
      <c r="X329">
        <f t="shared" si="115"/>
        <v>0.15599999999999997</v>
      </c>
      <c r="Y329">
        <v>4</v>
      </c>
      <c r="Z329">
        <v>3</v>
      </c>
      <c r="AA329" t="s">
        <v>27</v>
      </c>
      <c r="AB329">
        <f t="shared" si="116"/>
        <v>12</v>
      </c>
      <c r="AC329">
        <f t="shared" si="119"/>
        <v>16</v>
      </c>
      <c r="AE329">
        <v>1</v>
      </c>
      <c r="AF329">
        <v>2</v>
      </c>
      <c r="AG329">
        <v>1</v>
      </c>
      <c r="AH329">
        <f t="shared" si="117"/>
        <v>0.63245553203367599</v>
      </c>
      <c r="AI329">
        <f t="shared" si="120"/>
        <v>20.238577025077632</v>
      </c>
    </row>
    <row r="330" spans="1:35" x14ac:dyDescent="0.3">
      <c r="A330">
        <v>2021</v>
      </c>
      <c r="B330" t="s">
        <v>364</v>
      </c>
      <c r="C330" t="s">
        <v>365</v>
      </c>
      <c r="D330" t="s">
        <v>366</v>
      </c>
      <c r="E330" t="s">
        <v>367</v>
      </c>
      <c r="F330">
        <v>42</v>
      </c>
      <c r="G330" t="s">
        <v>45</v>
      </c>
      <c r="H330" t="s">
        <v>356</v>
      </c>
      <c r="I330" t="s">
        <v>295</v>
      </c>
      <c r="J330" t="s">
        <v>357</v>
      </c>
      <c r="K330" t="s">
        <v>297</v>
      </c>
      <c r="L330" t="s">
        <v>112</v>
      </c>
      <c r="M330">
        <v>141872</v>
      </c>
      <c r="N330">
        <v>1</v>
      </c>
      <c r="O330">
        <f t="shared" si="110"/>
        <v>1.9267822736030828E-3</v>
      </c>
      <c r="P330">
        <v>10</v>
      </c>
      <c r="Q330">
        <f t="shared" si="111"/>
        <v>1.9267822736030828E-3</v>
      </c>
      <c r="R330">
        <v>0.02</v>
      </c>
      <c r="S330">
        <f t="shared" si="118"/>
        <v>0.2</v>
      </c>
      <c r="T330">
        <f t="shared" si="112"/>
        <v>1.9445794846864374E-3</v>
      </c>
      <c r="U330">
        <f t="shared" si="113"/>
        <v>-1.2046057578354313E-2</v>
      </c>
      <c r="V330">
        <f t="shared" si="114"/>
        <v>1.5599999999999999E-2</v>
      </c>
      <c r="W330">
        <v>0.1</v>
      </c>
      <c r="X330">
        <f t="shared" si="115"/>
        <v>0.15599999999999997</v>
      </c>
      <c r="Y330">
        <v>4</v>
      </c>
      <c r="Z330">
        <v>3</v>
      </c>
      <c r="AA330" t="s">
        <v>27</v>
      </c>
      <c r="AB330">
        <f t="shared" si="116"/>
        <v>16.970562748477139</v>
      </c>
      <c r="AC330">
        <f t="shared" si="119"/>
        <v>22.627416997969519</v>
      </c>
      <c r="AE330">
        <v>1</v>
      </c>
      <c r="AF330">
        <v>1</v>
      </c>
      <c r="AG330">
        <v>1</v>
      </c>
      <c r="AH330">
        <f t="shared" si="117"/>
        <v>0.53182958969449901</v>
      </c>
      <c r="AI330">
        <f t="shared" si="120"/>
        <v>34.037093740447936</v>
      </c>
    </row>
    <row r="331" spans="1:35" x14ac:dyDescent="0.3">
      <c r="A331">
        <v>2021</v>
      </c>
      <c r="B331" t="s">
        <v>364</v>
      </c>
      <c r="C331" t="s">
        <v>365</v>
      </c>
      <c r="D331" t="s">
        <v>366</v>
      </c>
      <c r="E331" t="s">
        <v>367</v>
      </c>
      <c r="F331">
        <v>42</v>
      </c>
      <c r="G331" t="s">
        <v>79</v>
      </c>
      <c r="H331" t="s">
        <v>80</v>
      </c>
      <c r="I331" t="s">
        <v>81</v>
      </c>
      <c r="J331" t="s">
        <v>177</v>
      </c>
      <c r="K331" t="s">
        <v>178</v>
      </c>
      <c r="L331">
        <v>218350</v>
      </c>
      <c r="M331">
        <v>141662</v>
      </c>
      <c r="N331">
        <v>6</v>
      </c>
      <c r="O331">
        <f t="shared" si="110"/>
        <v>1.1560693641618497E-2</v>
      </c>
      <c r="P331">
        <v>60</v>
      </c>
      <c r="Q331">
        <f t="shared" si="111"/>
        <v>1.1560693641618497E-2</v>
      </c>
      <c r="R331">
        <v>0.03</v>
      </c>
      <c r="S331">
        <f t="shared" si="118"/>
        <v>0.3</v>
      </c>
      <c r="T331">
        <f t="shared" si="112"/>
        <v>2.9168692270296558E-3</v>
      </c>
      <c r="U331">
        <f t="shared" si="113"/>
        <v>-5.1562363166911374E-2</v>
      </c>
      <c r="V331">
        <f t="shared" si="114"/>
        <v>1.5599999999999999E-2</v>
      </c>
      <c r="W331">
        <v>0.1</v>
      </c>
      <c r="X331">
        <f t="shared" si="115"/>
        <v>0.15599999999999997</v>
      </c>
      <c r="Y331">
        <v>3</v>
      </c>
      <c r="Z331">
        <v>2</v>
      </c>
      <c r="AA331" t="s">
        <v>93</v>
      </c>
      <c r="AB331">
        <f t="shared" si="116"/>
        <v>25.45584412271571</v>
      </c>
      <c r="AC331">
        <f t="shared" si="119"/>
        <v>67.882250993908556</v>
      </c>
      <c r="AE331">
        <v>3</v>
      </c>
      <c r="AF331">
        <v>3</v>
      </c>
      <c r="AG331">
        <v>3</v>
      </c>
      <c r="AH331">
        <f t="shared" si="117"/>
        <v>30.460885053999803</v>
      </c>
      <c r="AI331">
        <f t="shared" si="120"/>
        <v>72.203579387258799</v>
      </c>
    </row>
    <row r="332" spans="1:35" x14ac:dyDescent="0.3">
      <c r="A332">
        <v>2021</v>
      </c>
      <c r="B332" t="s">
        <v>364</v>
      </c>
      <c r="C332" t="s">
        <v>365</v>
      </c>
      <c r="D332" t="s">
        <v>366</v>
      </c>
      <c r="E332" t="s">
        <v>367</v>
      </c>
      <c r="F332">
        <v>42</v>
      </c>
      <c r="G332" t="s">
        <v>22</v>
      </c>
      <c r="I332" t="s">
        <v>369</v>
      </c>
      <c r="J332" t="s">
        <v>370</v>
      </c>
      <c r="K332" t="s">
        <v>371</v>
      </c>
      <c r="L332">
        <v>233449</v>
      </c>
      <c r="M332">
        <v>110377</v>
      </c>
      <c r="N332">
        <v>3</v>
      </c>
      <c r="O332">
        <f t="shared" si="110"/>
        <v>5.7803468208092483E-3</v>
      </c>
      <c r="P332">
        <v>30</v>
      </c>
      <c r="Q332">
        <f t="shared" si="111"/>
        <v>5.7803468208092483E-3</v>
      </c>
      <c r="R332">
        <v>0.02</v>
      </c>
      <c r="S332">
        <f t="shared" si="118"/>
        <v>0.2</v>
      </c>
      <c r="T332">
        <f t="shared" si="112"/>
        <v>1.9445794846864374E-3</v>
      </c>
      <c r="U332">
        <f t="shared" si="113"/>
        <v>-2.9787812684958261E-2</v>
      </c>
      <c r="V332">
        <f t="shared" si="114"/>
        <v>1.5599999999999999E-2</v>
      </c>
      <c r="W332">
        <v>0.1</v>
      </c>
      <c r="X332">
        <f t="shared" si="115"/>
        <v>0.15599999999999997</v>
      </c>
      <c r="Y332">
        <v>3</v>
      </c>
      <c r="Z332">
        <v>2</v>
      </c>
      <c r="AA332" t="s">
        <v>93</v>
      </c>
      <c r="AB332">
        <f t="shared" si="116"/>
        <v>14.696938456699069</v>
      </c>
      <c r="AC332">
        <f t="shared" si="119"/>
        <v>39.191835884530853</v>
      </c>
      <c r="AE332">
        <v>2</v>
      </c>
      <c r="AF332">
        <v>3</v>
      </c>
      <c r="AG332">
        <v>4</v>
      </c>
      <c r="AH332">
        <f t="shared" si="117"/>
        <v>16.798250455586803</v>
      </c>
      <c r="AI332">
        <f t="shared" si="120"/>
        <v>44.795334548231473</v>
      </c>
    </row>
    <row r="333" spans="1:35" x14ac:dyDescent="0.3">
      <c r="A333">
        <v>2021</v>
      </c>
      <c r="B333" t="s">
        <v>364</v>
      </c>
      <c r="C333" t="s">
        <v>365</v>
      </c>
      <c r="D333" t="s">
        <v>366</v>
      </c>
      <c r="E333" t="s">
        <v>367</v>
      </c>
      <c r="F333">
        <v>42</v>
      </c>
      <c r="G333" t="s">
        <v>22</v>
      </c>
      <c r="H333" t="s">
        <v>135</v>
      </c>
      <c r="I333" t="s">
        <v>142</v>
      </c>
      <c r="J333" t="s">
        <v>143</v>
      </c>
      <c r="K333" t="s">
        <v>144</v>
      </c>
      <c r="L333">
        <v>227556</v>
      </c>
      <c r="M333">
        <v>146950</v>
      </c>
      <c r="N333">
        <v>1</v>
      </c>
      <c r="O333">
        <f t="shared" si="110"/>
        <v>1.9267822736030828E-3</v>
      </c>
      <c r="P333">
        <v>10</v>
      </c>
      <c r="Q333">
        <f t="shared" si="111"/>
        <v>1.9267822736030828E-3</v>
      </c>
      <c r="R333">
        <v>5.0000000000000001E-3</v>
      </c>
      <c r="S333">
        <f t="shared" si="118"/>
        <v>0.05</v>
      </c>
      <c r="T333">
        <f t="shared" si="112"/>
        <v>4.8614487117160934E-4</v>
      </c>
      <c r="U333">
        <f t="shared" si="113"/>
        <v>-1.2046057578354313E-2</v>
      </c>
      <c r="V333">
        <f t="shared" si="114"/>
        <v>1.5599999999999999E-2</v>
      </c>
      <c r="W333">
        <v>0.1</v>
      </c>
      <c r="X333">
        <f t="shared" si="115"/>
        <v>0.15599999999999997</v>
      </c>
      <c r="Y333">
        <v>3</v>
      </c>
      <c r="Z333">
        <v>1</v>
      </c>
      <c r="AA333" t="s">
        <v>93</v>
      </c>
      <c r="AB333">
        <f t="shared" si="116"/>
        <v>2.1213203435596424</v>
      </c>
      <c r="AC333">
        <f t="shared" si="119"/>
        <v>11.313708498984759</v>
      </c>
      <c r="AE333">
        <v>3</v>
      </c>
      <c r="AF333">
        <v>3</v>
      </c>
      <c r="AG333">
        <v>1</v>
      </c>
      <c r="AH333">
        <f t="shared" si="117"/>
        <v>1.6922713918888781</v>
      </c>
      <c r="AI333">
        <f t="shared" si="120"/>
        <v>12.033929897876465</v>
      </c>
    </row>
    <row r="334" spans="1:35" x14ac:dyDescent="0.3">
      <c r="A334">
        <v>2021</v>
      </c>
      <c r="B334" t="s">
        <v>364</v>
      </c>
      <c r="C334" t="s">
        <v>365</v>
      </c>
      <c r="D334" t="s">
        <v>366</v>
      </c>
      <c r="E334" t="s">
        <v>367</v>
      </c>
      <c r="F334">
        <v>42</v>
      </c>
      <c r="G334" t="s">
        <v>22</v>
      </c>
      <c r="H334" t="s">
        <v>56</v>
      </c>
      <c r="I334" t="s">
        <v>90</v>
      </c>
      <c r="J334" t="s">
        <v>117</v>
      </c>
      <c r="K334" t="s">
        <v>118</v>
      </c>
      <c r="L334">
        <v>227496</v>
      </c>
      <c r="M334">
        <v>131573</v>
      </c>
      <c r="N334">
        <v>1</v>
      </c>
      <c r="O334">
        <f t="shared" si="110"/>
        <v>1.9267822736030828E-3</v>
      </c>
      <c r="P334">
        <v>10</v>
      </c>
      <c r="Q334">
        <f t="shared" si="111"/>
        <v>1.9267822736030828E-3</v>
      </c>
      <c r="R334">
        <v>5.0000000000000001E-3</v>
      </c>
      <c r="S334">
        <f t="shared" si="118"/>
        <v>0.05</v>
      </c>
      <c r="T334">
        <f t="shared" si="112"/>
        <v>4.8614487117160934E-4</v>
      </c>
      <c r="U334">
        <f t="shared" si="113"/>
        <v>-1.2046057578354313E-2</v>
      </c>
      <c r="V334">
        <f t="shared" si="114"/>
        <v>1.5599999999999999E-2</v>
      </c>
      <c r="W334">
        <v>0.1</v>
      </c>
      <c r="X334">
        <f t="shared" si="115"/>
        <v>0.15599999999999997</v>
      </c>
      <c r="Y334">
        <v>3</v>
      </c>
      <c r="Z334">
        <v>1</v>
      </c>
      <c r="AA334" t="s">
        <v>93</v>
      </c>
      <c r="AB334">
        <f t="shared" si="116"/>
        <v>2.1213203435596424</v>
      </c>
      <c r="AC334">
        <f t="shared" si="119"/>
        <v>11.313708498984759</v>
      </c>
      <c r="AE334">
        <v>3</v>
      </c>
      <c r="AF334">
        <v>3</v>
      </c>
      <c r="AG334">
        <v>1</v>
      </c>
      <c r="AH334">
        <f t="shared" si="117"/>
        <v>1.6922713918888781</v>
      </c>
      <c r="AI334">
        <f t="shared" si="120"/>
        <v>12.033929897876465</v>
      </c>
    </row>
    <row r="335" spans="1:35" x14ac:dyDescent="0.3">
      <c r="A335">
        <v>2021</v>
      </c>
      <c r="B335" t="s">
        <v>364</v>
      </c>
      <c r="C335" t="s">
        <v>365</v>
      </c>
      <c r="D335" t="s">
        <v>366</v>
      </c>
      <c r="E335" t="s">
        <v>367</v>
      </c>
      <c r="F335">
        <v>42</v>
      </c>
      <c r="G335" t="s">
        <v>79</v>
      </c>
      <c r="H335" t="s">
        <v>113</v>
      </c>
      <c r="I335" t="s">
        <v>123</v>
      </c>
      <c r="J335" t="s">
        <v>124</v>
      </c>
      <c r="K335" t="s">
        <v>125</v>
      </c>
      <c r="L335">
        <v>218310</v>
      </c>
      <c r="M335">
        <v>141435</v>
      </c>
      <c r="N335">
        <v>85</v>
      </c>
      <c r="O335">
        <f t="shared" si="110"/>
        <v>0.16377649325626203</v>
      </c>
      <c r="P335">
        <v>850</v>
      </c>
      <c r="Q335">
        <f t="shared" si="111"/>
        <v>0.16377649325626203</v>
      </c>
      <c r="R335">
        <v>4.0599999999999996</v>
      </c>
      <c r="S335">
        <f t="shared" si="118"/>
        <v>40.599999999999994</v>
      </c>
      <c r="T335">
        <f t="shared" si="112"/>
        <v>0.39474963539134672</v>
      </c>
      <c r="U335">
        <f t="shared" si="113"/>
        <v>-0.29631305061160623</v>
      </c>
      <c r="V335">
        <f t="shared" si="114"/>
        <v>1.5599999999999999E-2</v>
      </c>
      <c r="W335">
        <v>0.1</v>
      </c>
      <c r="X335">
        <f t="shared" si="115"/>
        <v>0.15599999999999997</v>
      </c>
      <c r="Y335">
        <v>2</v>
      </c>
      <c r="Z335">
        <v>2</v>
      </c>
      <c r="AA335" t="s">
        <v>50</v>
      </c>
      <c r="AB335">
        <f t="shared" si="116"/>
        <v>743.07469341917431</v>
      </c>
      <c r="AC335">
        <f t="shared" si="119"/>
        <v>2972.2987736766972</v>
      </c>
      <c r="AE335">
        <v>1</v>
      </c>
      <c r="AF335">
        <v>1</v>
      </c>
      <c r="AG335">
        <v>2</v>
      </c>
      <c r="AH335">
        <f t="shared" si="117"/>
        <v>173.69177456868374</v>
      </c>
      <c r="AI335">
        <f t="shared" si="120"/>
        <v>5558.1367861978797</v>
      </c>
    </row>
    <row r="336" spans="1:35" x14ac:dyDescent="0.3">
      <c r="A336">
        <v>2021</v>
      </c>
      <c r="B336" t="s">
        <v>364</v>
      </c>
      <c r="C336" t="s">
        <v>365</v>
      </c>
      <c r="D336" t="s">
        <v>366</v>
      </c>
      <c r="E336" t="s">
        <v>367</v>
      </c>
      <c r="F336">
        <v>42</v>
      </c>
      <c r="G336" t="s">
        <v>79</v>
      </c>
      <c r="H336" t="s">
        <v>245</v>
      </c>
      <c r="I336" t="s">
        <v>246</v>
      </c>
      <c r="J336" t="s">
        <v>247</v>
      </c>
      <c r="K336" t="s">
        <v>248</v>
      </c>
      <c r="L336">
        <v>218231</v>
      </c>
      <c r="M336">
        <v>140589</v>
      </c>
      <c r="N336">
        <v>24</v>
      </c>
      <c r="O336">
        <f t="shared" si="110"/>
        <v>4.6242774566473986E-2</v>
      </c>
      <c r="P336">
        <v>240</v>
      </c>
      <c r="Q336">
        <f t="shared" si="111"/>
        <v>4.6242774566473986E-2</v>
      </c>
      <c r="R336">
        <v>0.37</v>
      </c>
      <c r="S336">
        <f t="shared" si="118"/>
        <v>3.7</v>
      </c>
      <c r="T336">
        <f t="shared" si="112"/>
        <v>3.5974720466699091E-2</v>
      </c>
      <c r="U336">
        <f t="shared" si="113"/>
        <v>-0.14214335504360429</v>
      </c>
      <c r="V336">
        <f t="shared" si="114"/>
        <v>1.5599999999999999E-2</v>
      </c>
      <c r="W336">
        <v>0.1</v>
      </c>
      <c r="X336">
        <f t="shared" si="115"/>
        <v>0.15599999999999997</v>
      </c>
      <c r="Y336">
        <v>2</v>
      </c>
      <c r="Z336">
        <v>3</v>
      </c>
      <c r="AA336" t="s">
        <v>50</v>
      </c>
      <c r="AB336">
        <f t="shared" si="116"/>
        <v>178.7959731090161</v>
      </c>
      <c r="AC336">
        <f t="shared" si="119"/>
        <v>476.78926162404292</v>
      </c>
      <c r="AE336">
        <v>3</v>
      </c>
      <c r="AF336">
        <v>3</v>
      </c>
      <c r="AG336">
        <v>1</v>
      </c>
      <c r="AH336">
        <f t="shared" si="117"/>
        <v>94.503221409618391</v>
      </c>
      <c r="AI336">
        <f t="shared" si="120"/>
        <v>672.02290780173087</v>
      </c>
    </row>
    <row r="337" spans="1:35" x14ac:dyDescent="0.3">
      <c r="A337">
        <v>2021</v>
      </c>
      <c r="B337" t="s">
        <v>364</v>
      </c>
      <c r="C337" t="s">
        <v>365</v>
      </c>
      <c r="D337" t="s">
        <v>366</v>
      </c>
      <c r="E337" t="s">
        <v>367</v>
      </c>
      <c r="F337">
        <v>42</v>
      </c>
      <c r="I337" t="s">
        <v>233</v>
      </c>
      <c r="J337" t="s">
        <v>234</v>
      </c>
      <c r="K337" t="s">
        <v>235</v>
      </c>
      <c r="L337">
        <v>233593</v>
      </c>
      <c r="M337">
        <v>101160</v>
      </c>
      <c r="N337">
        <v>2</v>
      </c>
      <c r="O337">
        <f t="shared" si="110"/>
        <v>3.8535645472061657E-3</v>
      </c>
      <c r="P337">
        <v>20</v>
      </c>
      <c r="Q337">
        <f t="shared" si="111"/>
        <v>3.8535645472061657E-3</v>
      </c>
      <c r="R337">
        <v>1.47</v>
      </c>
      <c r="S337">
        <f t="shared" si="118"/>
        <v>14.7</v>
      </c>
      <c r="T337">
        <f t="shared" si="112"/>
        <v>0.14292659212445313</v>
      </c>
      <c r="U337">
        <f t="shared" si="113"/>
        <v>-2.1421027755706909E-2</v>
      </c>
      <c r="V337">
        <f t="shared" si="114"/>
        <v>1.5599999999999999E-2</v>
      </c>
      <c r="W337">
        <v>0.1</v>
      </c>
      <c r="X337">
        <f t="shared" si="115"/>
        <v>0.15599999999999997</v>
      </c>
      <c r="Y337">
        <v>3</v>
      </c>
      <c r="Z337">
        <v>2</v>
      </c>
      <c r="AA337" t="s">
        <v>50</v>
      </c>
      <c r="AB337">
        <f t="shared" si="116"/>
        <v>102.87856919689349</v>
      </c>
      <c r="AC337">
        <f t="shared" si="119"/>
        <v>274.34285119171597</v>
      </c>
      <c r="AE337">
        <v>2.5</v>
      </c>
      <c r="AF337">
        <v>2</v>
      </c>
      <c r="AG337">
        <v>1</v>
      </c>
      <c r="AH337">
        <f t="shared" si="117"/>
        <v>79.380806013227939</v>
      </c>
      <c r="AI337">
        <f t="shared" si="120"/>
        <v>1016.0743169693177</v>
      </c>
    </row>
    <row r="338" spans="1:35" x14ac:dyDescent="0.3">
      <c r="A338">
        <v>2021</v>
      </c>
      <c r="B338" t="s">
        <v>364</v>
      </c>
      <c r="C338" t="s">
        <v>365</v>
      </c>
      <c r="D338" t="s">
        <v>366</v>
      </c>
      <c r="E338" t="s">
        <v>367</v>
      </c>
      <c r="F338">
        <v>42</v>
      </c>
      <c r="G338" t="s">
        <v>79</v>
      </c>
      <c r="H338" t="s">
        <v>113</v>
      </c>
      <c r="I338" t="s">
        <v>114</v>
      </c>
      <c r="J338" t="s">
        <v>191</v>
      </c>
      <c r="K338" t="s">
        <v>192</v>
      </c>
      <c r="L338">
        <v>218286</v>
      </c>
      <c r="M338">
        <v>345281</v>
      </c>
      <c r="N338">
        <v>20</v>
      </c>
      <c r="O338">
        <f t="shared" si="110"/>
        <v>3.8535645472061654E-2</v>
      </c>
      <c r="P338">
        <v>200</v>
      </c>
      <c r="Q338">
        <f t="shared" si="111"/>
        <v>3.8535645472061654E-2</v>
      </c>
      <c r="R338">
        <v>0.04</v>
      </c>
      <c r="S338">
        <f t="shared" si="118"/>
        <v>0.4</v>
      </c>
      <c r="T338">
        <f t="shared" si="112"/>
        <v>3.8891589693728747E-3</v>
      </c>
      <c r="U338">
        <f t="shared" si="113"/>
        <v>-0.12547867474419644</v>
      </c>
      <c r="V338">
        <f t="shared" si="114"/>
        <v>1.5599999999999999E-2</v>
      </c>
      <c r="W338">
        <v>0.1</v>
      </c>
      <c r="X338">
        <f t="shared" si="115"/>
        <v>0.15599999999999997</v>
      </c>
      <c r="Y338">
        <v>2</v>
      </c>
      <c r="Z338">
        <v>2</v>
      </c>
      <c r="AA338" t="s">
        <v>50</v>
      </c>
      <c r="AB338">
        <f t="shared" si="116"/>
        <v>35.777087639996637</v>
      </c>
      <c r="AC338">
        <f t="shared" si="119"/>
        <v>143.10835055998655</v>
      </c>
      <c r="AE338">
        <v>2</v>
      </c>
      <c r="AF338">
        <v>4</v>
      </c>
      <c r="AG338">
        <v>3</v>
      </c>
      <c r="AH338">
        <f t="shared" si="117"/>
        <v>45.395597232152426</v>
      </c>
      <c r="AI338">
        <f t="shared" si="120"/>
        <v>121.05492595240648</v>
      </c>
    </row>
    <row r="339" spans="1:35" x14ac:dyDescent="0.3">
      <c r="A339">
        <v>2021</v>
      </c>
      <c r="B339" t="s">
        <v>364</v>
      </c>
      <c r="C339" t="s">
        <v>365</v>
      </c>
      <c r="D339" t="s">
        <v>366</v>
      </c>
      <c r="E339" t="s">
        <v>367</v>
      </c>
      <c r="F339">
        <v>42</v>
      </c>
      <c r="G339" t="s">
        <v>45</v>
      </c>
      <c r="H339" t="s">
        <v>71</v>
      </c>
      <c r="I339" t="s">
        <v>72</v>
      </c>
      <c r="J339" t="s">
        <v>73</v>
      </c>
      <c r="K339" t="s">
        <v>74</v>
      </c>
      <c r="L339">
        <v>217978</v>
      </c>
      <c r="M339">
        <v>140129</v>
      </c>
      <c r="N339">
        <v>101</v>
      </c>
      <c r="O339">
        <f t="shared" si="110"/>
        <v>0.19460500963391136</v>
      </c>
      <c r="P339">
        <v>1010</v>
      </c>
      <c r="Q339">
        <f t="shared" si="111"/>
        <v>0.19460500963391136</v>
      </c>
      <c r="R339">
        <v>0.25</v>
      </c>
      <c r="S339">
        <f t="shared" si="118"/>
        <v>2.5</v>
      </c>
      <c r="T339">
        <f t="shared" si="112"/>
        <v>2.4307243558580466E-2</v>
      </c>
      <c r="U339">
        <f t="shared" si="113"/>
        <v>-0.31852624277223035</v>
      </c>
      <c r="V339">
        <f t="shared" si="114"/>
        <v>1.5599999999999999E-2</v>
      </c>
      <c r="W339">
        <v>0.1</v>
      </c>
      <c r="X339">
        <f t="shared" si="115"/>
        <v>0.15599999999999997</v>
      </c>
      <c r="Y339">
        <v>2</v>
      </c>
      <c r="Z339">
        <v>3</v>
      </c>
      <c r="AA339" t="s">
        <v>50</v>
      </c>
      <c r="AB339">
        <f t="shared" si="116"/>
        <v>301.4962686336267</v>
      </c>
      <c r="AC339">
        <f t="shared" si="119"/>
        <v>803.9900496896712</v>
      </c>
      <c r="AE339">
        <v>1</v>
      </c>
      <c r="AF339">
        <v>3</v>
      </c>
      <c r="AG339">
        <v>1</v>
      </c>
      <c r="AH339">
        <f t="shared" si="117"/>
        <v>33.624559586351452</v>
      </c>
      <c r="AI339">
        <f t="shared" si="120"/>
        <v>717.32393784216424</v>
      </c>
    </row>
    <row r="340" spans="1:35" x14ac:dyDescent="0.3">
      <c r="A340">
        <v>2021</v>
      </c>
      <c r="B340" t="s">
        <v>364</v>
      </c>
      <c r="C340" t="s">
        <v>365</v>
      </c>
      <c r="D340" t="s">
        <v>366</v>
      </c>
      <c r="E340" t="s">
        <v>367</v>
      </c>
      <c r="F340">
        <v>42</v>
      </c>
      <c r="G340" t="s">
        <v>79</v>
      </c>
      <c r="H340" t="s">
        <v>113</v>
      </c>
      <c r="I340" t="s">
        <v>123</v>
      </c>
      <c r="J340" t="s">
        <v>124</v>
      </c>
      <c r="K340" t="s">
        <v>253</v>
      </c>
      <c r="L340">
        <v>218308</v>
      </c>
      <c r="M340">
        <v>141433</v>
      </c>
      <c r="N340">
        <v>1</v>
      </c>
      <c r="O340">
        <f t="shared" si="110"/>
        <v>1.9267822736030828E-3</v>
      </c>
      <c r="P340">
        <v>10</v>
      </c>
      <c r="Q340">
        <f t="shared" si="111"/>
        <v>1.9267822736030828E-3</v>
      </c>
      <c r="R340">
        <v>0.53</v>
      </c>
      <c r="S340">
        <f t="shared" si="118"/>
        <v>5.3000000000000007</v>
      </c>
      <c r="T340">
        <f t="shared" si="112"/>
        <v>5.1531356344190593E-2</v>
      </c>
      <c r="U340">
        <f t="shared" si="113"/>
        <v>-1.2046057578354313E-2</v>
      </c>
      <c r="V340">
        <f t="shared" si="114"/>
        <v>1.5599999999999999E-2</v>
      </c>
      <c r="W340">
        <v>0.1</v>
      </c>
      <c r="X340">
        <f t="shared" si="115"/>
        <v>0.15599999999999997</v>
      </c>
      <c r="Y340">
        <v>2</v>
      </c>
      <c r="Z340">
        <v>2</v>
      </c>
      <c r="AA340" t="s">
        <v>50</v>
      </c>
      <c r="AB340">
        <f t="shared" si="116"/>
        <v>29.120439557122072</v>
      </c>
      <c r="AC340">
        <f t="shared" si="119"/>
        <v>116.48175822848829</v>
      </c>
      <c r="AE340">
        <v>1</v>
      </c>
      <c r="AF340">
        <v>1</v>
      </c>
      <c r="AG340">
        <v>3</v>
      </c>
      <c r="AH340">
        <f t="shared" si="117"/>
        <v>18.634946786043709</v>
      </c>
      <c r="AI340">
        <f t="shared" si="120"/>
        <v>397.54553143559912</v>
      </c>
    </row>
    <row r="341" spans="1:35" x14ac:dyDescent="0.3">
      <c r="A341">
        <v>2021</v>
      </c>
      <c r="B341" t="s">
        <v>364</v>
      </c>
      <c r="C341" t="s">
        <v>365</v>
      </c>
      <c r="D341" t="s">
        <v>366</v>
      </c>
      <c r="E341" t="s">
        <v>367</v>
      </c>
      <c r="F341">
        <v>42</v>
      </c>
      <c r="G341" t="s">
        <v>28</v>
      </c>
      <c r="H341" t="s">
        <v>29</v>
      </c>
      <c r="I341" t="s">
        <v>279</v>
      </c>
      <c r="J341" t="s">
        <v>280</v>
      </c>
      <c r="K341" t="s">
        <v>281</v>
      </c>
      <c r="L341">
        <v>217707</v>
      </c>
      <c r="M341">
        <v>124929</v>
      </c>
      <c r="N341">
        <v>3</v>
      </c>
      <c r="O341">
        <f t="shared" si="110"/>
        <v>5.7803468208092483E-3</v>
      </c>
      <c r="P341">
        <v>30</v>
      </c>
      <c r="Q341">
        <f t="shared" si="111"/>
        <v>5.7803468208092483E-3</v>
      </c>
      <c r="R341">
        <v>0.33</v>
      </c>
      <c r="S341">
        <f t="shared" si="118"/>
        <v>3.3000000000000003</v>
      </c>
      <c r="T341">
        <f t="shared" si="112"/>
        <v>3.2085561497326213E-2</v>
      </c>
      <c r="U341">
        <f t="shared" si="113"/>
        <v>-2.9787812684958261E-2</v>
      </c>
      <c r="V341">
        <f t="shared" si="114"/>
        <v>1.5599999999999999E-2</v>
      </c>
      <c r="W341">
        <v>0.1</v>
      </c>
      <c r="X341">
        <f t="shared" si="115"/>
        <v>0.15599999999999997</v>
      </c>
      <c r="Y341">
        <v>2</v>
      </c>
      <c r="Z341">
        <v>2</v>
      </c>
      <c r="AA341" t="s">
        <v>50</v>
      </c>
      <c r="AB341">
        <f t="shared" si="116"/>
        <v>39.799497484264805</v>
      </c>
      <c r="AC341">
        <f t="shared" si="119"/>
        <v>159.19798993705922</v>
      </c>
      <c r="AE341">
        <v>1</v>
      </c>
      <c r="AF341">
        <v>3</v>
      </c>
      <c r="AG341">
        <v>1</v>
      </c>
      <c r="AH341">
        <f t="shared" si="117"/>
        <v>17.190441204944861</v>
      </c>
      <c r="AI341">
        <f t="shared" si="120"/>
        <v>366.72941237215707</v>
      </c>
    </row>
    <row r="342" spans="1:35" x14ac:dyDescent="0.3">
      <c r="A342">
        <v>2021</v>
      </c>
      <c r="B342" t="s">
        <v>364</v>
      </c>
      <c r="C342" t="s">
        <v>365</v>
      </c>
      <c r="D342" t="s">
        <v>366</v>
      </c>
      <c r="E342" t="s">
        <v>367</v>
      </c>
      <c r="F342">
        <v>42</v>
      </c>
      <c r="G342" t="s">
        <v>79</v>
      </c>
      <c r="H342" t="s">
        <v>215</v>
      </c>
      <c r="I342" t="s">
        <v>216</v>
      </c>
      <c r="J342" t="s">
        <v>217</v>
      </c>
      <c r="K342" t="s">
        <v>218</v>
      </c>
      <c r="L342">
        <v>218266</v>
      </c>
      <c r="M342">
        <v>139410</v>
      </c>
      <c r="N342">
        <v>7</v>
      </c>
      <c r="O342">
        <f t="shared" si="110"/>
        <v>1.348747591522158E-2</v>
      </c>
      <c r="P342">
        <v>70</v>
      </c>
      <c r="Q342">
        <f t="shared" si="111"/>
        <v>1.348747591522158E-2</v>
      </c>
      <c r="R342">
        <v>7.0000000000000007E-2</v>
      </c>
      <c r="S342">
        <f t="shared" si="118"/>
        <v>0.70000000000000007</v>
      </c>
      <c r="T342">
        <f t="shared" si="112"/>
        <v>6.8060281964025309E-3</v>
      </c>
      <c r="U342">
        <f t="shared" si="113"/>
        <v>-5.8076986779911417E-2</v>
      </c>
      <c r="V342">
        <f t="shared" si="114"/>
        <v>1.5599999999999999E-2</v>
      </c>
      <c r="W342">
        <v>0.1</v>
      </c>
      <c r="X342">
        <f t="shared" si="115"/>
        <v>0.15599999999999997</v>
      </c>
      <c r="Y342">
        <v>2</v>
      </c>
      <c r="Z342">
        <v>2</v>
      </c>
      <c r="AA342" t="s">
        <v>50</v>
      </c>
      <c r="AB342">
        <f t="shared" si="116"/>
        <v>28</v>
      </c>
      <c r="AC342">
        <f t="shared" si="119"/>
        <v>112</v>
      </c>
      <c r="AE342">
        <v>2.5</v>
      </c>
      <c r="AF342">
        <v>1</v>
      </c>
      <c r="AG342">
        <v>2</v>
      </c>
      <c r="AH342">
        <f t="shared" si="117"/>
        <v>11.067971810589331</v>
      </c>
      <c r="AI342">
        <f t="shared" si="120"/>
        <v>141.67003917554342</v>
      </c>
    </row>
    <row r="343" spans="1:35" x14ac:dyDescent="0.3">
      <c r="A343">
        <v>2021</v>
      </c>
      <c r="B343" t="s">
        <v>364</v>
      </c>
      <c r="C343" t="s">
        <v>365</v>
      </c>
      <c r="D343" t="s">
        <v>366</v>
      </c>
      <c r="E343" t="s">
        <v>367</v>
      </c>
      <c r="F343">
        <v>42</v>
      </c>
      <c r="I343" t="s">
        <v>230</v>
      </c>
      <c r="J343" t="s">
        <v>231</v>
      </c>
      <c r="K343" t="s">
        <v>232</v>
      </c>
      <c r="L343">
        <v>233581</v>
      </c>
      <c r="M343">
        <v>128549</v>
      </c>
      <c r="N343">
        <v>5</v>
      </c>
      <c r="O343">
        <f t="shared" si="110"/>
        <v>9.6339113680154135E-3</v>
      </c>
      <c r="P343">
        <v>50</v>
      </c>
      <c r="Q343">
        <f t="shared" si="111"/>
        <v>9.6339113680154135E-3</v>
      </c>
      <c r="R343">
        <v>0.04</v>
      </c>
      <c r="S343">
        <f t="shared" si="118"/>
        <v>0.4</v>
      </c>
      <c r="T343">
        <f t="shared" si="112"/>
        <v>3.8891589693728747E-3</v>
      </c>
      <c r="U343">
        <f t="shared" si="113"/>
        <v>-4.4725105691057684E-2</v>
      </c>
      <c r="V343">
        <f t="shared" si="114"/>
        <v>1.5599999999999999E-2</v>
      </c>
      <c r="W343">
        <v>0.1</v>
      </c>
      <c r="X343">
        <f t="shared" si="115"/>
        <v>0.15599999999999997</v>
      </c>
      <c r="Y343">
        <v>2</v>
      </c>
      <c r="Z343">
        <v>1</v>
      </c>
      <c r="AA343" t="s">
        <v>50</v>
      </c>
      <c r="AB343">
        <f t="shared" si="116"/>
        <v>8.9442719099991592</v>
      </c>
      <c r="AC343">
        <f t="shared" si="119"/>
        <v>71.554175279993274</v>
      </c>
      <c r="AE343">
        <v>3</v>
      </c>
      <c r="AF343">
        <v>2</v>
      </c>
      <c r="AG343">
        <v>1</v>
      </c>
      <c r="AH343">
        <f t="shared" si="117"/>
        <v>8.0248836597170623</v>
      </c>
      <c r="AI343">
        <f t="shared" si="120"/>
        <v>85.598759036982003</v>
      </c>
    </row>
    <row r="344" spans="1:35" x14ac:dyDescent="0.3">
      <c r="A344">
        <v>2021</v>
      </c>
      <c r="B344" t="s">
        <v>364</v>
      </c>
      <c r="C344" t="s">
        <v>365</v>
      </c>
      <c r="D344" t="s">
        <v>366</v>
      </c>
      <c r="E344" t="s">
        <v>367</v>
      </c>
      <c r="F344">
        <v>42</v>
      </c>
      <c r="G344" t="s">
        <v>51</v>
      </c>
      <c r="H344" t="s">
        <v>52</v>
      </c>
      <c r="I344" t="s">
        <v>53</v>
      </c>
      <c r="J344" t="s">
        <v>54</v>
      </c>
      <c r="K344" t="s">
        <v>303</v>
      </c>
      <c r="L344">
        <v>233419</v>
      </c>
      <c r="M344">
        <v>110483</v>
      </c>
      <c r="N344">
        <v>10</v>
      </c>
      <c r="O344">
        <f t="shared" si="110"/>
        <v>1.9267822736030827E-2</v>
      </c>
      <c r="P344">
        <v>100</v>
      </c>
      <c r="Q344">
        <f t="shared" si="111"/>
        <v>1.9267822736030827E-2</v>
      </c>
      <c r="R344">
        <v>0.02</v>
      </c>
      <c r="S344">
        <f t="shared" si="118"/>
        <v>0.2</v>
      </c>
      <c r="T344">
        <f t="shared" si="112"/>
        <v>1.9445794846864374E-3</v>
      </c>
      <c r="U344">
        <f t="shared" si="113"/>
        <v>-7.6094774377106794E-2</v>
      </c>
      <c r="V344">
        <f t="shared" si="114"/>
        <v>1.5599999999999999E-2</v>
      </c>
      <c r="W344">
        <v>0.1</v>
      </c>
      <c r="X344">
        <f t="shared" si="115"/>
        <v>0.15599999999999997</v>
      </c>
      <c r="Y344">
        <v>2</v>
      </c>
      <c r="Z344">
        <v>3</v>
      </c>
      <c r="AA344" t="s">
        <v>50</v>
      </c>
      <c r="AB344">
        <f t="shared" si="116"/>
        <v>26.832815729997478</v>
      </c>
      <c r="AC344">
        <f t="shared" si="119"/>
        <v>71.554175279993274</v>
      </c>
      <c r="AE344">
        <v>3</v>
      </c>
      <c r="AF344">
        <v>2</v>
      </c>
      <c r="AG344">
        <v>1</v>
      </c>
      <c r="AH344">
        <f t="shared" si="117"/>
        <v>5.6744496540190532</v>
      </c>
      <c r="AI344">
        <f t="shared" si="120"/>
        <v>60.527462976203239</v>
      </c>
    </row>
    <row r="345" spans="1:35" x14ac:dyDescent="0.3">
      <c r="A345">
        <v>2021</v>
      </c>
      <c r="B345" t="s">
        <v>364</v>
      </c>
      <c r="C345" t="s">
        <v>365</v>
      </c>
      <c r="D345" t="s">
        <v>366</v>
      </c>
      <c r="E345" t="s">
        <v>367</v>
      </c>
      <c r="F345">
        <v>42</v>
      </c>
      <c r="G345" t="s">
        <v>28</v>
      </c>
      <c r="H345" t="s">
        <v>29</v>
      </c>
      <c r="I345" t="s">
        <v>279</v>
      </c>
      <c r="J345" t="s">
        <v>280</v>
      </c>
      <c r="K345" t="s">
        <v>304</v>
      </c>
      <c r="L345">
        <v>217706</v>
      </c>
      <c r="M345">
        <v>124913</v>
      </c>
      <c r="N345">
        <v>1</v>
      </c>
      <c r="O345">
        <f t="shared" si="110"/>
        <v>1.9267822736030828E-3</v>
      </c>
      <c r="P345">
        <v>10</v>
      </c>
      <c r="Q345">
        <f t="shared" si="111"/>
        <v>1.9267822736030828E-3</v>
      </c>
      <c r="R345">
        <v>0.1</v>
      </c>
      <c r="S345">
        <f t="shared" si="118"/>
        <v>1</v>
      </c>
      <c r="T345">
        <f t="shared" si="112"/>
        <v>9.7228974234321863E-3</v>
      </c>
      <c r="U345">
        <f t="shared" si="113"/>
        <v>-1.2046057578354313E-2</v>
      </c>
      <c r="V345">
        <f t="shared" si="114"/>
        <v>1.5599999999999999E-2</v>
      </c>
      <c r="W345">
        <v>0.1</v>
      </c>
      <c r="X345">
        <f t="shared" si="115"/>
        <v>0.15599999999999997</v>
      </c>
      <c r="Y345">
        <v>2</v>
      </c>
      <c r="Z345">
        <v>2</v>
      </c>
      <c r="AA345" t="s">
        <v>50</v>
      </c>
      <c r="AB345">
        <f t="shared" si="116"/>
        <v>12.649110640673518</v>
      </c>
      <c r="AC345">
        <f t="shared" si="119"/>
        <v>50.596442562694072</v>
      </c>
      <c r="AE345">
        <v>1</v>
      </c>
      <c r="AF345">
        <v>3</v>
      </c>
      <c r="AG345">
        <v>1</v>
      </c>
      <c r="AH345">
        <f t="shared" si="117"/>
        <v>5.3348382301167687</v>
      </c>
      <c r="AI345">
        <f t="shared" si="120"/>
        <v>113.80988224249107</v>
      </c>
    </row>
    <row r="346" spans="1:35" x14ac:dyDescent="0.3">
      <c r="A346">
        <v>2021</v>
      </c>
      <c r="B346" t="s">
        <v>364</v>
      </c>
      <c r="C346" t="s">
        <v>365</v>
      </c>
      <c r="D346" t="s">
        <v>366</v>
      </c>
      <c r="E346" t="s">
        <v>367</v>
      </c>
      <c r="F346">
        <v>42</v>
      </c>
      <c r="G346" t="s">
        <v>45</v>
      </c>
      <c r="H346" t="s">
        <v>46</v>
      </c>
      <c r="I346" t="s">
        <v>47</v>
      </c>
      <c r="J346" t="s">
        <v>48</v>
      </c>
      <c r="K346" t="s">
        <v>49</v>
      </c>
      <c r="L346">
        <v>218099</v>
      </c>
      <c r="M346">
        <v>139476</v>
      </c>
      <c r="N346">
        <v>3</v>
      </c>
      <c r="O346">
        <f t="shared" si="110"/>
        <v>5.7803468208092483E-3</v>
      </c>
      <c r="P346">
        <v>30</v>
      </c>
      <c r="Q346">
        <f t="shared" si="111"/>
        <v>5.7803468208092483E-3</v>
      </c>
      <c r="R346">
        <v>0.01</v>
      </c>
      <c r="S346">
        <f t="shared" si="118"/>
        <v>0.1</v>
      </c>
      <c r="T346">
        <f t="shared" si="112"/>
        <v>9.7228974234321868E-4</v>
      </c>
      <c r="U346">
        <f t="shared" si="113"/>
        <v>-2.9787812684958261E-2</v>
      </c>
      <c r="V346">
        <f t="shared" si="114"/>
        <v>1.5599999999999999E-2</v>
      </c>
      <c r="W346">
        <v>0.1</v>
      </c>
      <c r="X346">
        <f t="shared" si="115"/>
        <v>0.15599999999999997</v>
      </c>
      <c r="Y346">
        <v>2</v>
      </c>
      <c r="Z346">
        <v>3</v>
      </c>
      <c r="AA346" t="s">
        <v>50</v>
      </c>
      <c r="AB346">
        <f t="shared" si="116"/>
        <v>10.392304845413264</v>
      </c>
      <c r="AC346">
        <f t="shared" si="119"/>
        <v>27.712812921102039</v>
      </c>
      <c r="AE346">
        <v>3</v>
      </c>
      <c r="AF346">
        <v>2</v>
      </c>
      <c r="AG346">
        <v>2</v>
      </c>
      <c r="AH346">
        <f t="shared" si="117"/>
        <v>4.9941497403453807</v>
      </c>
      <c r="AI346">
        <f t="shared" si="120"/>
        <v>26.635465281842031</v>
      </c>
    </row>
    <row r="347" spans="1:35" x14ac:dyDescent="0.3">
      <c r="A347">
        <v>2021</v>
      </c>
      <c r="B347" t="s">
        <v>364</v>
      </c>
      <c r="C347" t="s">
        <v>365</v>
      </c>
      <c r="D347" t="s">
        <v>366</v>
      </c>
      <c r="E347" t="s">
        <v>367</v>
      </c>
      <c r="F347">
        <v>42</v>
      </c>
      <c r="G347" t="s">
        <v>22</v>
      </c>
      <c r="H347" t="s">
        <v>56</v>
      </c>
      <c r="I347" t="s">
        <v>132</v>
      </c>
      <c r="J347" t="s">
        <v>133</v>
      </c>
      <c r="K347" t="s">
        <v>134</v>
      </c>
      <c r="L347">
        <v>227416</v>
      </c>
      <c r="M347">
        <v>129955</v>
      </c>
      <c r="N347">
        <v>1</v>
      </c>
      <c r="O347">
        <f t="shared" si="110"/>
        <v>1.9267822736030828E-3</v>
      </c>
      <c r="P347">
        <v>10</v>
      </c>
      <c r="Q347">
        <f t="shared" si="111"/>
        <v>1.9267822736030828E-3</v>
      </c>
      <c r="R347">
        <v>5.0000000000000001E-3</v>
      </c>
      <c r="S347">
        <f t="shared" si="118"/>
        <v>0.05</v>
      </c>
      <c r="T347">
        <f t="shared" si="112"/>
        <v>4.8614487117160934E-4</v>
      </c>
      <c r="U347">
        <f t="shared" si="113"/>
        <v>-1.2046057578354313E-2</v>
      </c>
      <c r="V347">
        <f t="shared" si="114"/>
        <v>1.5599999999999999E-2</v>
      </c>
      <c r="W347">
        <v>0.1</v>
      </c>
      <c r="X347">
        <f t="shared" si="115"/>
        <v>0.15599999999999997</v>
      </c>
      <c r="Y347">
        <v>2</v>
      </c>
      <c r="Z347">
        <v>2</v>
      </c>
      <c r="AA347" t="s">
        <v>50</v>
      </c>
      <c r="AB347">
        <f t="shared" si="116"/>
        <v>2.8284271247461898</v>
      </c>
      <c r="AC347">
        <f t="shared" si="119"/>
        <v>11.313708498984759</v>
      </c>
      <c r="AE347">
        <v>3</v>
      </c>
      <c r="AF347">
        <v>3</v>
      </c>
      <c r="AG347">
        <v>2</v>
      </c>
      <c r="AH347">
        <f t="shared" si="117"/>
        <v>3.3845427837777562</v>
      </c>
      <c r="AI347">
        <f t="shared" si="120"/>
        <v>12.033929897876465</v>
      </c>
    </row>
    <row r="348" spans="1:35" x14ac:dyDescent="0.3">
      <c r="A348">
        <v>2021</v>
      </c>
      <c r="B348" t="s">
        <v>364</v>
      </c>
      <c r="C348" t="s">
        <v>365</v>
      </c>
      <c r="D348" t="s">
        <v>366</v>
      </c>
      <c r="E348" t="s">
        <v>367</v>
      </c>
      <c r="F348">
        <v>42</v>
      </c>
      <c r="G348" t="s">
        <v>45</v>
      </c>
      <c r="H348" t="s">
        <v>46</v>
      </c>
      <c r="I348" t="s">
        <v>327</v>
      </c>
      <c r="J348" t="s">
        <v>328</v>
      </c>
      <c r="K348" t="s">
        <v>329</v>
      </c>
      <c r="L348">
        <v>218107</v>
      </c>
      <c r="M348">
        <v>574582</v>
      </c>
      <c r="N348">
        <v>1</v>
      </c>
      <c r="O348">
        <f t="shared" si="110"/>
        <v>1.9267822736030828E-3</v>
      </c>
      <c r="P348">
        <v>10</v>
      </c>
      <c r="Q348">
        <f t="shared" si="111"/>
        <v>1.9267822736030828E-3</v>
      </c>
      <c r="R348">
        <v>0.04</v>
      </c>
      <c r="S348">
        <f t="shared" si="118"/>
        <v>0.4</v>
      </c>
      <c r="T348">
        <f t="shared" si="112"/>
        <v>3.8891589693728747E-3</v>
      </c>
      <c r="U348">
        <f t="shared" si="113"/>
        <v>-1.2046057578354313E-2</v>
      </c>
      <c r="V348">
        <f t="shared" si="114"/>
        <v>1.5599999999999999E-2</v>
      </c>
      <c r="W348">
        <v>0.1</v>
      </c>
      <c r="X348">
        <f t="shared" si="115"/>
        <v>0.15599999999999997</v>
      </c>
      <c r="Y348">
        <v>2</v>
      </c>
      <c r="Z348">
        <v>3</v>
      </c>
      <c r="AA348" t="s">
        <v>50</v>
      </c>
      <c r="AB348">
        <f t="shared" si="116"/>
        <v>12</v>
      </c>
      <c r="AC348">
        <f t="shared" si="119"/>
        <v>32</v>
      </c>
      <c r="AE348">
        <v>1</v>
      </c>
      <c r="AF348">
        <v>2</v>
      </c>
      <c r="AG348">
        <v>1.5</v>
      </c>
      <c r="AH348">
        <f t="shared" si="117"/>
        <v>2.6832815729997486</v>
      </c>
      <c r="AI348">
        <f t="shared" si="120"/>
        <v>57.243340223994636</v>
      </c>
    </row>
    <row r="349" spans="1:35" x14ac:dyDescent="0.3">
      <c r="A349">
        <v>2021</v>
      </c>
      <c r="B349" t="s">
        <v>364</v>
      </c>
      <c r="C349" t="s">
        <v>365</v>
      </c>
      <c r="D349" t="s">
        <v>366</v>
      </c>
      <c r="E349" t="s">
        <v>367</v>
      </c>
      <c r="F349">
        <v>42</v>
      </c>
      <c r="G349" t="s">
        <v>51</v>
      </c>
      <c r="H349" t="s">
        <v>52</v>
      </c>
      <c r="I349" t="s">
        <v>53</v>
      </c>
      <c r="J349" t="s">
        <v>54</v>
      </c>
      <c r="K349" t="s">
        <v>258</v>
      </c>
      <c r="L349">
        <v>233410</v>
      </c>
      <c r="M349">
        <v>110487</v>
      </c>
      <c r="N349">
        <v>1</v>
      </c>
      <c r="O349">
        <f t="shared" si="110"/>
        <v>1.9267822736030828E-3</v>
      </c>
      <c r="P349">
        <v>10</v>
      </c>
      <c r="Q349">
        <f t="shared" si="111"/>
        <v>1.9267822736030828E-3</v>
      </c>
      <c r="R349">
        <v>0.01</v>
      </c>
      <c r="S349">
        <f t="shared" si="118"/>
        <v>0.1</v>
      </c>
      <c r="T349">
        <f t="shared" si="112"/>
        <v>9.7228974234321868E-4</v>
      </c>
      <c r="U349">
        <f t="shared" si="113"/>
        <v>-1.2046057578354313E-2</v>
      </c>
      <c r="V349">
        <f t="shared" si="114"/>
        <v>1.5599999999999999E-2</v>
      </c>
      <c r="W349">
        <v>0.1</v>
      </c>
      <c r="X349">
        <f t="shared" si="115"/>
        <v>0.15599999999999997</v>
      </c>
      <c r="Y349">
        <v>2</v>
      </c>
      <c r="Z349">
        <v>3</v>
      </c>
      <c r="AA349" t="s">
        <v>50</v>
      </c>
      <c r="AB349">
        <f t="shared" si="116"/>
        <v>6</v>
      </c>
      <c r="AC349">
        <f t="shared" si="119"/>
        <v>16</v>
      </c>
      <c r="AE349">
        <v>3</v>
      </c>
      <c r="AF349">
        <v>2</v>
      </c>
      <c r="AG349">
        <v>1</v>
      </c>
      <c r="AH349">
        <f t="shared" si="117"/>
        <v>1.897366596101028</v>
      </c>
      <c r="AI349">
        <f t="shared" si="120"/>
        <v>20.238577025077632</v>
      </c>
    </row>
    <row r="350" spans="1:35" x14ac:dyDescent="0.3">
      <c r="A350">
        <v>2021</v>
      </c>
      <c r="B350" t="s">
        <v>364</v>
      </c>
      <c r="C350" t="s">
        <v>365</v>
      </c>
      <c r="D350" t="s">
        <v>366</v>
      </c>
      <c r="E350" t="s">
        <v>367</v>
      </c>
      <c r="F350">
        <v>42</v>
      </c>
      <c r="G350" t="s">
        <v>51</v>
      </c>
      <c r="H350" t="s">
        <v>52</v>
      </c>
      <c r="I350" t="s">
        <v>193</v>
      </c>
      <c r="J350" t="s">
        <v>219</v>
      </c>
      <c r="K350" t="s">
        <v>220</v>
      </c>
      <c r="L350">
        <v>233479</v>
      </c>
      <c r="M350">
        <v>110535</v>
      </c>
      <c r="N350">
        <v>1</v>
      </c>
      <c r="O350">
        <f t="shared" si="110"/>
        <v>1.9267822736030828E-3</v>
      </c>
      <c r="P350">
        <v>10</v>
      </c>
      <c r="Q350">
        <f t="shared" si="111"/>
        <v>1.9267822736030828E-3</v>
      </c>
      <c r="R350">
        <v>0.01</v>
      </c>
      <c r="S350">
        <f t="shared" si="118"/>
        <v>0.1</v>
      </c>
      <c r="T350">
        <f t="shared" si="112"/>
        <v>9.7228974234321868E-4</v>
      </c>
      <c r="U350">
        <f t="shared" si="113"/>
        <v>-1.2046057578354313E-2</v>
      </c>
      <c r="V350">
        <f t="shared" si="114"/>
        <v>1.5599999999999999E-2</v>
      </c>
      <c r="W350">
        <v>0.1</v>
      </c>
      <c r="X350">
        <f t="shared" si="115"/>
        <v>0.15599999999999997</v>
      </c>
      <c r="Y350">
        <v>2</v>
      </c>
      <c r="Z350">
        <v>3</v>
      </c>
      <c r="AA350" t="s">
        <v>50</v>
      </c>
      <c r="AB350">
        <f t="shared" si="116"/>
        <v>6</v>
      </c>
      <c r="AC350">
        <f t="shared" si="119"/>
        <v>16</v>
      </c>
      <c r="AE350">
        <v>1</v>
      </c>
      <c r="AF350">
        <v>3.14</v>
      </c>
      <c r="AG350">
        <v>1.5</v>
      </c>
      <c r="AH350">
        <f t="shared" si="117"/>
        <v>1.4894327779393071</v>
      </c>
      <c r="AI350">
        <f t="shared" si="120"/>
        <v>20.238577025077632</v>
      </c>
    </row>
    <row r="351" spans="1:35" x14ac:dyDescent="0.3">
      <c r="A351">
        <v>2021</v>
      </c>
      <c r="B351" t="s">
        <v>364</v>
      </c>
      <c r="C351" t="s">
        <v>365</v>
      </c>
      <c r="D351" t="s">
        <v>366</v>
      </c>
      <c r="E351" t="s">
        <v>367</v>
      </c>
      <c r="F351">
        <v>42</v>
      </c>
      <c r="G351" t="s">
        <v>51</v>
      </c>
      <c r="H351" t="s">
        <v>52</v>
      </c>
      <c r="I351" t="s">
        <v>53</v>
      </c>
      <c r="J351" t="s">
        <v>54</v>
      </c>
      <c r="K351" t="s">
        <v>342</v>
      </c>
      <c r="L351">
        <v>233412</v>
      </c>
      <c r="M351">
        <v>110472</v>
      </c>
      <c r="N351">
        <v>1</v>
      </c>
      <c r="O351">
        <f t="shared" si="110"/>
        <v>1.9267822736030828E-3</v>
      </c>
      <c r="P351">
        <v>10</v>
      </c>
      <c r="Q351">
        <f t="shared" si="111"/>
        <v>1.9267822736030828E-3</v>
      </c>
      <c r="R351">
        <v>5.0000000000000001E-3</v>
      </c>
      <c r="S351">
        <f>R351*10</f>
        <v>0.05</v>
      </c>
      <c r="T351">
        <f t="shared" si="112"/>
        <v>4.8614487117160934E-4</v>
      </c>
      <c r="U351">
        <f t="shared" si="113"/>
        <v>-1.2046057578354313E-2</v>
      </c>
      <c r="V351">
        <f t="shared" si="114"/>
        <v>1.5599999999999999E-2</v>
      </c>
      <c r="W351">
        <v>0.1</v>
      </c>
      <c r="X351">
        <f t="shared" si="115"/>
        <v>0.15599999999999997</v>
      </c>
      <c r="Y351">
        <v>2</v>
      </c>
      <c r="Z351">
        <v>3</v>
      </c>
      <c r="AA351" t="s">
        <v>50</v>
      </c>
      <c r="AB351">
        <f t="shared" si="116"/>
        <v>4.2426406871192848</v>
      </c>
      <c r="AC351">
        <f t="shared" si="119"/>
        <v>11.313708498984759</v>
      </c>
      <c r="AE351">
        <v>3</v>
      </c>
      <c r="AF351">
        <v>2</v>
      </c>
      <c r="AG351">
        <v>1</v>
      </c>
      <c r="AH351">
        <f t="shared" si="117"/>
        <v>1.1281809279259187</v>
      </c>
      <c r="AI351">
        <f t="shared" si="120"/>
        <v>12.033929897876465</v>
      </c>
    </row>
    <row r="352" spans="1:35" x14ac:dyDescent="0.3">
      <c r="A352">
        <v>2021</v>
      </c>
      <c r="B352" t="s">
        <v>364</v>
      </c>
      <c r="C352" t="s">
        <v>365</v>
      </c>
      <c r="D352" t="s">
        <v>366</v>
      </c>
      <c r="E352" t="s">
        <v>367</v>
      </c>
      <c r="F352">
        <v>42</v>
      </c>
      <c r="G352" t="s">
        <v>22</v>
      </c>
      <c r="H352" t="s">
        <v>67</v>
      </c>
      <c r="I352" t="s">
        <v>84</v>
      </c>
      <c r="J352" t="s">
        <v>85</v>
      </c>
      <c r="K352" t="s">
        <v>199</v>
      </c>
      <c r="L352">
        <v>227130</v>
      </c>
      <c r="M352">
        <v>130599</v>
      </c>
      <c r="N352">
        <v>3</v>
      </c>
      <c r="O352">
        <f t="shared" si="110"/>
        <v>5.7803468208092483E-3</v>
      </c>
      <c r="P352">
        <v>30</v>
      </c>
      <c r="Q352">
        <f t="shared" si="111"/>
        <v>5.7803468208092483E-3</v>
      </c>
      <c r="R352">
        <v>0.01</v>
      </c>
      <c r="S352">
        <f t="shared" si="118"/>
        <v>0.1</v>
      </c>
      <c r="T352">
        <f t="shared" si="112"/>
        <v>9.7228974234321868E-4</v>
      </c>
      <c r="U352">
        <f t="shared" si="113"/>
        <v>-2.9787812684958261E-2</v>
      </c>
      <c r="V352">
        <f t="shared" si="114"/>
        <v>1.5599999999999999E-2</v>
      </c>
      <c r="W352">
        <v>0.1</v>
      </c>
      <c r="X352">
        <f t="shared" si="115"/>
        <v>0.15599999999999997</v>
      </c>
      <c r="Y352">
        <v>2</v>
      </c>
      <c r="Z352">
        <v>2</v>
      </c>
      <c r="AA352" t="s">
        <v>50</v>
      </c>
      <c r="AB352">
        <f t="shared" si="116"/>
        <v>6.9282032302755097</v>
      </c>
      <c r="AC352">
        <f t="shared" si="119"/>
        <v>27.712812921102039</v>
      </c>
      <c r="AE352">
        <v>1</v>
      </c>
      <c r="AF352">
        <v>2</v>
      </c>
      <c r="AG352">
        <v>1</v>
      </c>
      <c r="AH352">
        <f t="shared" si="117"/>
        <v>0.83235829005756345</v>
      </c>
      <c r="AI352">
        <f t="shared" si="120"/>
        <v>26.635465281842031</v>
      </c>
    </row>
    <row r="353" spans="1:36" x14ac:dyDescent="0.3">
      <c r="A353">
        <v>2021</v>
      </c>
      <c r="B353" t="s">
        <v>364</v>
      </c>
      <c r="C353" t="s">
        <v>365</v>
      </c>
      <c r="D353" t="s">
        <v>366</v>
      </c>
      <c r="E353" t="s">
        <v>367</v>
      </c>
      <c r="F353">
        <v>42</v>
      </c>
      <c r="G353" t="s">
        <v>22</v>
      </c>
      <c r="H353" t="s">
        <v>56</v>
      </c>
      <c r="I353" t="s">
        <v>167</v>
      </c>
      <c r="J353" t="s">
        <v>168</v>
      </c>
      <c r="K353" t="s">
        <v>352</v>
      </c>
      <c r="L353">
        <v>227446</v>
      </c>
      <c r="M353">
        <v>334417</v>
      </c>
      <c r="N353">
        <v>1</v>
      </c>
      <c r="O353">
        <f t="shared" si="110"/>
        <v>1.9267822736030828E-3</v>
      </c>
      <c r="P353">
        <v>10</v>
      </c>
      <c r="Q353">
        <f t="shared" si="111"/>
        <v>1.9267822736030828E-3</v>
      </c>
      <c r="R353">
        <v>1.5</v>
      </c>
      <c r="S353">
        <f t="shared" si="118"/>
        <v>15</v>
      </c>
      <c r="T353">
        <f t="shared" si="112"/>
        <v>0.14584346135148279</v>
      </c>
      <c r="U353">
        <f t="shared" si="113"/>
        <v>-1.2046057578354313E-2</v>
      </c>
      <c r="V353">
        <f t="shared" si="114"/>
        <v>1.5599999999999999E-2</v>
      </c>
      <c r="W353">
        <v>0.1</v>
      </c>
      <c r="X353">
        <f t="shared" si="115"/>
        <v>0.15599999999999997</v>
      </c>
      <c r="Y353">
        <v>3</v>
      </c>
      <c r="Z353">
        <v>1</v>
      </c>
      <c r="AA353" t="s">
        <v>60</v>
      </c>
      <c r="AB353">
        <f t="shared" si="116"/>
        <v>36.742346141747674</v>
      </c>
      <c r="AC353">
        <f t="shared" si="119"/>
        <v>195.95917942265424</v>
      </c>
      <c r="AE353">
        <v>3</v>
      </c>
      <c r="AF353">
        <v>4</v>
      </c>
      <c r="AG353">
        <v>2.5</v>
      </c>
      <c r="AH353">
        <f t="shared" si="117"/>
        <v>406.62090162443013</v>
      </c>
      <c r="AI353">
        <f t="shared" si="120"/>
        <v>867.45792346545102</v>
      </c>
    </row>
    <row r="354" spans="1:36" x14ac:dyDescent="0.3">
      <c r="A354">
        <v>2021</v>
      </c>
      <c r="B354" t="s">
        <v>364</v>
      </c>
      <c r="C354" t="s">
        <v>365</v>
      </c>
      <c r="D354" t="s">
        <v>366</v>
      </c>
      <c r="E354" t="s">
        <v>367</v>
      </c>
      <c r="F354">
        <v>42</v>
      </c>
      <c r="G354" t="s">
        <v>22</v>
      </c>
      <c r="H354" t="s">
        <v>56</v>
      </c>
      <c r="I354" t="s">
        <v>57</v>
      </c>
      <c r="J354" t="s">
        <v>58</v>
      </c>
      <c r="K354" t="s">
        <v>59</v>
      </c>
      <c r="L354">
        <v>227394</v>
      </c>
      <c r="M354">
        <v>130100</v>
      </c>
      <c r="N354">
        <v>5</v>
      </c>
      <c r="O354">
        <f t="shared" si="110"/>
        <v>9.6339113680154135E-3</v>
      </c>
      <c r="P354">
        <v>50</v>
      </c>
      <c r="Q354">
        <f t="shared" si="111"/>
        <v>9.6339113680154135E-3</v>
      </c>
      <c r="R354">
        <v>0.01</v>
      </c>
      <c r="S354">
        <f t="shared" si="118"/>
        <v>0.1</v>
      </c>
      <c r="T354">
        <f t="shared" si="112"/>
        <v>9.7228974234321868E-4</v>
      </c>
      <c r="U354">
        <f t="shared" si="113"/>
        <v>-4.4725105691057684E-2</v>
      </c>
      <c r="V354">
        <f t="shared" si="114"/>
        <v>1.5599999999999999E-2</v>
      </c>
      <c r="W354">
        <v>0.1</v>
      </c>
      <c r="X354">
        <f t="shared" si="115"/>
        <v>0.15599999999999997</v>
      </c>
      <c r="Y354">
        <v>3</v>
      </c>
      <c r="Z354">
        <v>2</v>
      </c>
      <c r="AA354" t="s">
        <v>60</v>
      </c>
      <c r="AB354">
        <f t="shared" si="116"/>
        <v>13.416407864998739</v>
      </c>
      <c r="AC354">
        <f t="shared" si="119"/>
        <v>35.777087639996637</v>
      </c>
      <c r="AE354">
        <v>1</v>
      </c>
      <c r="AF354">
        <v>3</v>
      </c>
      <c r="AG354">
        <v>2</v>
      </c>
      <c r="AH354">
        <f t="shared" si="117"/>
        <v>2.8372248270095266</v>
      </c>
      <c r="AI354">
        <f t="shared" si="120"/>
        <v>30.26373148810162</v>
      </c>
    </row>
    <row r="355" spans="1:36" x14ac:dyDescent="0.3">
      <c r="A355">
        <v>2021</v>
      </c>
      <c r="B355" t="s">
        <v>364</v>
      </c>
      <c r="C355" t="s">
        <v>365</v>
      </c>
      <c r="D355" t="s">
        <v>366</v>
      </c>
      <c r="E355" t="s">
        <v>367</v>
      </c>
      <c r="F355">
        <v>42</v>
      </c>
      <c r="G355" t="s">
        <v>22</v>
      </c>
      <c r="H355" t="s">
        <v>96</v>
      </c>
      <c r="I355" t="s">
        <v>97</v>
      </c>
      <c r="J355" t="s">
        <v>110</v>
      </c>
      <c r="K355" t="s">
        <v>111</v>
      </c>
      <c r="L355" t="s">
        <v>112</v>
      </c>
      <c r="M355">
        <v>157576</v>
      </c>
      <c r="N355">
        <v>1</v>
      </c>
      <c r="O355">
        <f t="shared" si="110"/>
        <v>1.9267822736030828E-3</v>
      </c>
      <c r="P355">
        <v>10</v>
      </c>
      <c r="Q355">
        <f t="shared" si="111"/>
        <v>1.9267822736030828E-3</v>
      </c>
      <c r="R355">
        <v>5.0000000000000001E-3</v>
      </c>
      <c r="S355">
        <f t="shared" si="118"/>
        <v>0.05</v>
      </c>
      <c r="T355">
        <f t="shared" si="112"/>
        <v>4.8614487117160934E-4</v>
      </c>
      <c r="U355">
        <f t="shared" si="113"/>
        <v>-1.2046057578354313E-2</v>
      </c>
      <c r="V355">
        <f t="shared" si="114"/>
        <v>1.5599999999999999E-2</v>
      </c>
      <c r="W355">
        <v>0.1</v>
      </c>
      <c r="X355">
        <f t="shared" si="115"/>
        <v>0.15599999999999997</v>
      </c>
      <c r="Y355">
        <v>3</v>
      </c>
      <c r="Z355">
        <v>1</v>
      </c>
      <c r="AA355" t="s">
        <v>100</v>
      </c>
      <c r="AB355">
        <f t="shared" si="116"/>
        <v>2.1213203435596424</v>
      </c>
      <c r="AC355">
        <f t="shared" si="119"/>
        <v>11.313708498984759</v>
      </c>
      <c r="AE355">
        <v>3</v>
      </c>
      <c r="AF355">
        <v>3</v>
      </c>
      <c r="AG355">
        <v>4</v>
      </c>
      <c r="AH355">
        <f t="shared" si="117"/>
        <v>6.7690855675555124</v>
      </c>
      <c r="AI355">
        <f t="shared" si="120"/>
        <v>12.033929897876465</v>
      </c>
    </row>
    <row r="356" spans="1:36" x14ac:dyDescent="0.3">
      <c r="A356">
        <v>2021</v>
      </c>
      <c r="B356" t="s">
        <v>364</v>
      </c>
      <c r="C356" t="s">
        <v>365</v>
      </c>
      <c r="D356" t="s">
        <v>366</v>
      </c>
      <c r="E356" t="s">
        <v>367</v>
      </c>
      <c r="F356">
        <v>42</v>
      </c>
      <c r="G356" t="s">
        <v>22</v>
      </c>
      <c r="H356" t="s">
        <v>96</v>
      </c>
      <c r="I356" t="s">
        <v>97</v>
      </c>
      <c r="J356" t="s">
        <v>98</v>
      </c>
      <c r="K356" t="s">
        <v>101</v>
      </c>
      <c r="L356">
        <v>227337</v>
      </c>
      <c r="M356">
        <v>131157</v>
      </c>
      <c r="N356">
        <v>3</v>
      </c>
      <c r="O356">
        <f t="shared" si="110"/>
        <v>5.7803468208092483E-3</v>
      </c>
      <c r="P356">
        <v>30</v>
      </c>
      <c r="Q356">
        <f t="shared" si="111"/>
        <v>5.7803468208092483E-3</v>
      </c>
      <c r="R356">
        <v>5.0000000000000001E-3</v>
      </c>
      <c r="S356">
        <f t="shared" si="118"/>
        <v>0.05</v>
      </c>
      <c r="T356">
        <f t="shared" si="112"/>
        <v>4.8614487117160934E-4</v>
      </c>
      <c r="U356">
        <f t="shared" si="113"/>
        <v>-2.9787812684958261E-2</v>
      </c>
      <c r="V356">
        <f t="shared" si="114"/>
        <v>1.5599999999999999E-2</v>
      </c>
      <c r="W356">
        <v>0.1</v>
      </c>
      <c r="X356">
        <f t="shared" si="115"/>
        <v>0.15599999999999997</v>
      </c>
      <c r="Y356">
        <v>3</v>
      </c>
      <c r="Z356">
        <v>2</v>
      </c>
      <c r="AA356" t="s">
        <v>100</v>
      </c>
      <c r="AB356">
        <f t="shared" si="116"/>
        <v>7.3484692283495345</v>
      </c>
      <c r="AC356">
        <f t="shared" si="119"/>
        <v>19.595917942265427</v>
      </c>
      <c r="AE356">
        <v>2.5</v>
      </c>
      <c r="AF356">
        <v>3</v>
      </c>
      <c r="AG356">
        <v>2</v>
      </c>
      <c r="AH356">
        <f t="shared" si="117"/>
        <v>3.7119240028798259</v>
      </c>
      <c r="AI356">
        <f t="shared" si="120"/>
        <v>15.837542412287256</v>
      </c>
    </row>
    <row r="357" spans="1:36" x14ac:dyDescent="0.3">
      <c r="A357">
        <v>2021</v>
      </c>
      <c r="B357" t="s">
        <v>364</v>
      </c>
      <c r="C357" t="s">
        <v>365</v>
      </c>
      <c r="D357" t="s">
        <v>366</v>
      </c>
      <c r="E357" t="s">
        <v>367</v>
      </c>
      <c r="F357">
        <v>42</v>
      </c>
      <c r="G357" t="s">
        <v>22</v>
      </c>
      <c r="H357" t="s">
        <v>96</v>
      </c>
      <c r="I357" t="s">
        <v>97</v>
      </c>
      <c r="J357" t="s">
        <v>239</v>
      </c>
      <c r="K357" t="s">
        <v>240</v>
      </c>
      <c r="L357">
        <v>227343</v>
      </c>
      <c r="M357">
        <v>131168</v>
      </c>
      <c r="N357">
        <v>1</v>
      </c>
      <c r="O357">
        <f t="shared" si="110"/>
        <v>1.9267822736030828E-3</v>
      </c>
      <c r="P357">
        <v>10</v>
      </c>
      <c r="Q357">
        <f t="shared" si="111"/>
        <v>1.9267822736030828E-3</v>
      </c>
      <c r="R357">
        <v>5.0000000000000001E-3</v>
      </c>
      <c r="S357">
        <f t="shared" si="118"/>
        <v>0.05</v>
      </c>
      <c r="T357">
        <f t="shared" si="112"/>
        <v>4.8614487117160934E-4</v>
      </c>
      <c r="U357">
        <f t="shared" si="113"/>
        <v>-1.2046057578354313E-2</v>
      </c>
      <c r="V357">
        <f t="shared" si="114"/>
        <v>1.5599999999999999E-2</v>
      </c>
      <c r="W357">
        <v>0.1</v>
      </c>
      <c r="X357">
        <f t="shared" si="115"/>
        <v>0.15599999999999997</v>
      </c>
      <c r="Y357">
        <v>3</v>
      </c>
      <c r="Z357">
        <v>1</v>
      </c>
      <c r="AA357" t="s">
        <v>100</v>
      </c>
      <c r="AB357">
        <f t="shared" si="116"/>
        <v>2.1213203435596424</v>
      </c>
      <c r="AC357">
        <f t="shared" si="119"/>
        <v>11.313708498984759</v>
      </c>
      <c r="AE357">
        <v>2.5</v>
      </c>
      <c r="AF357">
        <v>3</v>
      </c>
      <c r="AG357">
        <v>2</v>
      </c>
      <c r="AH357">
        <f t="shared" si="117"/>
        <v>2.8204523198147964</v>
      </c>
      <c r="AI357">
        <f t="shared" si="120"/>
        <v>12.033929897876465</v>
      </c>
    </row>
    <row r="358" spans="1:36" s="4" customFormat="1" x14ac:dyDescent="0.3">
      <c r="N358" s="4">
        <f>SUM(N321:N357)</f>
        <v>519</v>
      </c>
      <c r="O358" s="4">
        <f>SUM(O321:O357)</f>
        <v>1.0000000000000004</v>
      </c>
      <c r="P358" s="4">
        <f t="shared" ref="P358:AI358" si="121">SUM(P321:P357)</f>
        <v>5190</v>
      </c>
      <c r="Q358" s="4">
        <f t="shared" si="121"/>
        <v>1.0000000000000004</v>
      </c>
      <c r="R358" s="4">
        <f t="shared" si="121"/>
        <v>10.285</v>
      </c>
      <c r="S358" s="4">
        <f t="shared" si="121"/>
        <v>102.84999999999997</v>
      </c>
      <c r="T358" s="4">
        <f t="shared" si="121"/>
        <v>1.0000000000000004</v>
      </c>
      <c r="U358" s="4">
        <f>-SUM(U321:U357)</f>
        <v>2.1596301540270049</v>
      </c>
      <c r="Y358" s="4">
        <v>4</v>
      </c>
      <c r="Z358" s="4">
        <v>4</v>
      </c>
      <c r="AB358" s="4">
        <f t="shared" si="121"/>
        <v>4070.141057169491</v>
      </c>
      <c r="AC358" s="4">
        <f t="shared" si="121"/>
        <v>8388.8165192812503</v>
      </c>
      <c r="AD358" s="4">
        <f>AB358/AC358</f>
        <v>0.48518656330299842</v>
      </c>
      <c r="AE358" s="4">
        <v>4</v>
      </c>
      <c r="AF358" s="4">
        <v>4</v>
      </c>
      <c r="AG358" s="4">
        <v>4</v>
      </c>
      <c r="AH358" s="4">
        <f t="shared" si="121"/>
        <v>1735.0080812940669</v>
      </c>
      <c r="AI358" s="4">
        <f t="shared" si="121"/>
        <v>13403.338329044023</v>
      </c>
      <c r="AJ358" s="4">
        <f>AH358/AI358</f>
        <v>0.1294459662735242</v>
      </c>
    </row>
    <row r="359" spans="1:36" x14ac:dyDescent="0.3">
      <c r="A359">
        <v>2023</v>
      </c>
      <c r="B359" t="s">
        <v>383</v>
      </c>
      <c r="C359" t="s">
        <v>384</v>
      </c>
      <c r="D359" t="s">
        <v>385</v>
      </c>
      <c r="E359" t="s">
        <v>386</v>
      </c>
      <c r="F359">
        <v>10</v>
      </c>
      <c r="G359" t="s">
        <v>22</v>
      </c>
      <c r="I359" t="s">
        <v>105</v>
      </c>
      <c r="J359" t="s">
        <v>106</v>
      </c>
      <c r="K359" t="s">
        <v>107</v>
      </c>
      <c r="L359">
        <v>227839</v>
      </c>
      <c r="M359">
        <v>130980</v>
      </c>
      <c r="N359">
        <v>17</v>
      </c>
      <c r="O359">
        <f t="shared" ref="O359:O373" si="122">N359/$N$374</f>
        <v>0.19540229885057472</v>
      </c>
      <c r="P359">
        <v>170</v>
      </c>
      <c r="Q359">
        <f t="shared" ref="Q359:Q373" si="123">P359/$P$374</f>
        <v>0.19540229885057472</v>
      </c>
      <c r="R359">
        <v>0.06</v>
      </c>
      <c r="S359">
        <f>R359*10</f>
        <v>0.6</v>
      </c>
      <c r="T359">
        <f t="shared" ref="T359:T373" si="124">S359/$S$374</f>
        <v>9.9999999999999992E-2</v>
      </c>
      <c r="U359">
        <f t="shared" ref="U359:U373" si="125">O359*LN(O359)</f>
        <v>-0.31903231227784196</v>
      </c>
      <c r="V359">
        <f t="shared" ref="V359:V373" si="126">15.6/1000</f>
        <v>1.5599999999999999E-2</v>
      </c>
      <c r="W359">
        <v>0.1</v>
      </c>
      <c r="X359">
        <f t="shared" ref="X359:X373" si="127">V359/W359</f>
        <v>0.15599999999999997</v>
      </c>
      <c r="Y359">
        <v>4</v>
      </c>
      <c r="Z359">
        <v>4</v>
      </c>
      <c r="AA359" t="s">
        <v>27</v>
      </c>
      <c r="AB359">
        <f t="shared" ref="AB359:AB373" si="128">(SQRT(S359/P359))*P359*Z359*Y359</f>
        <v>161.59207901379324</v>
      </c>
      <c r="AC359">
        <f t="shared" si="119"/>
        <v>161.59207901379324</v>
      </c>
      <c r="AE359">
        <v>2</v>
      </c>
      <c r="AF359">
        <v>3</v>
      </c>
      <c r="AG359">
        <v>3</v>
      </c>
      <c r="AH359">
        <f t="shared" ref="AH359:AH373" si="129">((S359/P359)^0.75)*P359*AE359*AF359*AG359</f>
        <v>44.309635069785735</v>
      </c>
      <c r="AI359">
        <f t="shared" si="120"/>
        <v>157.54536913701594</v>
      </c>
    </row>
    <row r="360" spans="1:36" x14ac:dyDescent="0.3">
      <c r="A360">
        <v>2023</v>
      </c>
      <c r="B360" t="s">
        <v>383</v>
      </c>
      <c r="C360" t="s">
        <v>384</v>
      </c>
      <c r="D360" t="s">
        <v>385</v>
      </c>
      <c r="E360" t="s">
        <v>386</v>
      </c>
      <c r="F360">
        <v>10</v>
      </c>
      <c r="G360" t="s">
        <v>22</v>
      </c>
      <c r="H360" t="s">
        <v>67</v>
      </c>
      <c r="I360" t="s">
        <v>68</v>
      </c>
      <c r="J360" t="s">
        <v>69</v>
      </c>
      <c r="K360" t="s">
        <v>190</v>
      </c>
      <c r="L360">
        <v>226797</v>
      </c>
      <c r="M360">
        <v>130116</v>
      </c>
      <c r="N360">
        <v>8</v>
      </c>
      <c r="O360">
        <f t="shared" si="122"/>
        <v>9.1954022988505746E-2</v>
      </c>
      <c r="P360">
        <v>80</v>
      </c>
      <c r="Q360">
        <f t="shared" si="123"/>
        <v>9.1954022988505746E-2</v>
      </c>
      <c r="R360">
        <v>0.16</v>
      </c>
      <c r="S360">
        <f t="shared" ref="S360:S373" si="130">R360*10</f>
        <v>1.6</v>
      </c>
      <c r="T360">
        <f t="shared" si="124"/>
        <v>0.26666666666666666</v>
      </c>
      <c r="U360">
        <f t="shared" si="125"/>
        <v>-0.21944520248043659</v>
      </c>
      <c r="V360">
        <f t="shared" si="126"/>
        <v>1.5599999999999999E-2</v>
      </c>
      <c r="W360">
        <v>0.1</v>
      </c>
      <c r="X360">
        <f t="shared" si="127"/>
        <v>0.15599999999999997</v>
      </c>
      <c r="Y360">
        <v>4</v>
      </c>
      <c r="Z360">
        <v>3</v>
      </c>
      <c r="AA360" t="s">
        <v>27</v>
      </c>
      <c r="AB360">
        <f t="shared" si="128"/>
        <v>135.76450198781711</v>
      </c>
      <c r="AC360">
        <f t="shared" si="119"/>
        <v>181.01933598375615</v>
      </c>
      <c r="AE360">
        <v>2</v>
      </c>
      <c r="AF360">
        <v>2</v>
      </c>
      <c r="AG360">
        <v>2</v>
      </c>
      <c r="AH360">
        <f t="shared" si="129"/>
        <v>34.037093740447936</v>
      </c>
      <c r="AI360">
        <f t="shared" si="120"/>
        <v>272.29674992358349</v>
      </c>
    </row>
    <row r="361" spans="1:36" x14ac:dyDescent="0.3">
      <c r="A361">
        <v>2023</v>
      </c>
      <c r="B361" t="s">
        <v>383</v>
      </c>
      <c r="C361" t="s">
        <v>384</v>
      </c>
      <c r="D361" t="s">
        <v>385</v>
      </c>
      <c r="E361" t="s">
        <v>386</v>
      </c>
      <c r="F361">
        <v>10</v>
      </c>
      <c r="G361" t="s">
        <v>22</v>
      </c>
      <c r="H361" t="s">
        <v>67</v>
      </c>
      <c r="I361" t="s">
        <v>224</v>
      </c>
      <c r="J361" t="s">
        <v>225</v>
      </c>
      <c r="K361" t="s">
        <v>226</v>
      </c>
      <c r="L361">
        <v>227033</v>
      </c>
      <c r="M361">
        <v>130362</v>
      </c>
      <c r="N361">
        <v>1</v>
      </c>
      <c r="O361">
        <f t="shared" si="122"/>
        <v>1.1494252873563218E-2</v>
      </c>
      <c r="P361">
        <v>10</v>
      </c>
      <c r="Q361">
        <f t="shared" si="123"/>
        <v>1.1494252873563218E-2</v>
      </c>
      <c r="R361">
        <v>0.21</v>
      </c>
      <c r="S361">
        <f t="shared" si="130"/>
        <v>2.1</v>
      </c>
      <c r="T361">
        <f t="shared" si="124"/>
        <v>0.35000000000000003</v>
      </c>
      <c r="U361">
        <f t="shared" si="125"/>
        <v>-5.1332277225914755E-2</v>
      </c>
      <c r="V361">
        <f t="shared" si="126"/>
        <v>1.5599999999999999E-2</v>
      </c>
      <c r="W361">
        <v>0.1</v>
      </c>
      <c r="X361">
        <f t="shared" si="127"/>
        <v>0.15599999999999997</v>
      </c>
      <c r="Y361">
        <v>4</v>
      </c>
      <c r="Z361">
        <v>3</v>
      </c>
      <c r="AA361" t="s">
        <v>27</v>
      </c>
      <c r="AB361">
        <f t="shared" si="128"/>
        <v>54.990908339470089</v>
      </c>
      <c r="AC361">
        <f t="shared" si="119"/>
        <v>73.321211119293451</v>
      </c>
      <c r="AE361">
        <v>3</v>
      </c>
      <c r="AF361">
        <v>2</v>
      </c>
      <c r="AG361">
        <v>1</v>
      </c>
      <c r="AH361">
        <f t="shared" si="129"/>
        <v>18.612971888945125</v>
      </c>
      <c r="AI361">
        <f t="shared" si="120"/>
        <v>198.53836681541469</v>
      </c>
    </row>
    <row r="362" spans="1:36" x14ac:dyDescent="0.3">
      <c r="A362">
        <v>2023</v>
      </c>
      <c r="B362" t="s">
        <v>383</v>
      </c>
      <c r="C362" t="s">
        <v>384</v>
      </c>
      <c r="D362" t="s">
        <v>385</v>
      </c>
      <c r="E362" t="s">
        <v>386</v>
      </c>
      <c r="F362">
        <v>10</v>
      </c>
      <c r="G362" t="s">
        <v>22</v>
      </c>
      <c r="I362" t="s">
        <v>392</v>
      </c>
      <c r="J362" t="s">
        <v>393</v>
      </c>
      <c r="K362" t="s">
        <v>394</v>
      </c>
      <c r="L362">
        <v>227855</v>
      </c>
      <c r="M362">
        <v>130537</v>
      </c>
      <c r="N362">
        <v>1</v>
      </c>
      <c r="O362">
        <f t="shared" si="122"/>
        <v>1.1494252873563218E-2</v>
      </c>
      <c r="P362">
        <v>10</v>
      </c>
      <c r="Q362">
        <f t="shared" si="123"/>
        <v>1.1494252873563218E-2</v>
      </c>
      <c r="R362">
        <v>0.01</v>
      </c>
      <c r="S362">
        <f t="shared" si="130"/>
        <v>0.1</v>
      </c>
      <c r="T362">
        <f t="shared" si="124"/>
        <v>1.6666666666666666E-2</v>
      </c>
      <c r="U362">
        <f t="shared" si="125"/>
        <v>-5.1332277225914755E-2</v>
      </c>
      <c r="V362">
        <f t="shared" si="126"/>
        <v>1.5599999999999999E-2</v>
      </c>
      <c r="W362">
        <v>0.1</v>
      </c>
      <c r="X362">
        <f t="shared" si="127"/>
        <v>0.15599999999999997</v>
      </c>
      <c r="Y362">
        <v>4</v>
      </c>
      <c r="Z362">
        <v>3</v>
      </c>
      <c r="AA362" t="s">
        <v>27</v>
      </c>
      <c r="AB362">
        <f t="shared" si="128"/>
        <v>12</v>
      </c>
      <c r="AC362">
        <f t="shared" si="119"/>
        <v>16</v>
      </c>
      <c r="AE362">
        <v>3</v>
      </c>
      <c r="AF362">
        <v>3</v>
      </c>
      <c r="AG362">
        <v>4</v>
      </c>
      <c r="AH362">
        <f t="shared" si="129"/>
        <v>11.384199576606168</v>
      </c>
      <c r="AI362">
        <f t="shared" si="120"/>
        <v>20.238577025077632</v>
      </c>
    </row>
    <row r="363" spans="1:36" x14ac:dyDescent="0.3">
      <c r="A363">
        <v>2023</v>
      </c>
      <c r="B363" t="s">
        <v>383</v>
      </c>
      <c r="C363" t="s">
        <v>384</v>
      </c>
      <c r="D363" t="s">
        <v>385</v>
      </c>
      <c r="E363" t="s">
        <v>386</v>
      </c>
      <c r="F363">
        <v>10</v>
      </c>
      <c r="K363" t="s">
        <v>389</v>
      </c>
      <c r="L363">
        <v>3000107</v>
      </c>
      <c r="M363">
        <v>2036</v>
      </c>
      <c r="N363">
        <v>1</v>
      </c>
      <c r="O363">
        <f t="shared" si="122"/>
        <v>1.1494252873563218E-2</v>
      </c>
      <c r="P363">
        <v>10</v>
      </c>
      <c r="Q363">
        <f t="shared" si="123"/>
        <v>1.1494252873563218E-2</v>
      </c>
      <c r="R363">
        <v>5.0000000000000001E-3</v>
      </c>
      <c r="S363">
        <f t="shared" si="130"/>
        <v>0.05</v>
      </c>
      <c r="T363">
        <f t="shared" si="124"/>
        <v>8.3333333333333332E-3</v>
      </c>
      <c r="U363">
        <f t="shared" si="125"/>
        <v>-5.1332277225914755E-2</v>
      </c>
      <c r="V363">
        <f t="shared" si="126"/>
        <v>1.5599999999999999E-2</v>
      </c>
      <c r="W363">
        <v>0.1</v>
      </c>
      <c r="X363">
        <f t="shared" si="127"/>
        <v>0.15599999999999997</v>
      </c>
      <c r="Y363">
        <v>4</v>
      </c>
      <c r="Z363">
        <v>3</v>
      </c>
      <c r="AA363" t="s">
        <v>27</v>
      </c>
      <c r="AB363">
        <f t="shared" si="128"/>
        <v>8.4852813742385695</v>
      </c>
      <c r="AC363">
        <f t="shared" si="119"/>
        <v>11.313708498984759</v>
      </c>
      <c r="AE363">
        <v>1</v>
      </c>
      <c r="AF363">
        <v>4</v>
      </c>
      <c r="AG363">
        <v>2.5</v>
      </c>
      <c r="AH363">
        <f t="shared" si="129"/>
        <v>1.8803015465431976</v>
      </c>
      <c r="AI363">
        <f t="shared" si="120"/>
        <v>12.033929897876465</v>
      </c>
    </row>
    <row r="364" spans="1:36" x14ac:dyDescent="0.3">
      <c r="A364">
        <v>2023</v>
      </c>
      <c r="B364" t="s">
        <v>383</v>
      </c>
      <c r="C364" t="s">
        <v>384</v>
      </c>
      <c r="D364" t="s">
        <v>385</v>
      </c>
      <c r="E364" t="s">
        <v>386</v>
      </c>
      <c r="F364">
        <v>10</v>
      </c>
      <c r="G364" t="s">
        <v>22</v>
      </c>
      <c r="H364" t="s">
        <v>56</v>
      </c>
      <c r="I364" t="s">
        <v>90</v>
      </c>
      <c r="J364" t="s">
        <v>117</v>
      </c>
      <c r="K364" t="s">
        <v>118</v>
      </c>
      <c r="L364">
        <v>227496</v>
      </c>
      <c r="M364">
        <v>131573</v>
      </c>
      <c r="N364">
        <v>4</v>
      </c>
      <c r="O364">
        <f t="shared" si="122"/>
        <v>4.5977011494252873E-2</v>
      </c>
      <c r="P364">
        <v>40</v>
      </c>
      <c r="Q364">
        <f t="shared" si="123"/>
        <v>4.5977011494252873E-2</v>
      </c>
      <c r="R364">
        <v>0.04</v>
      </c>
      <c r="S364">
        <f t="shared" si="130"/>
        <v>0.4</v>
      </c>
      <c r="T364">
        <f t="shared" si="124"/>
        <v>6.6666666666666666E-2</v>
      </c>
      <c r="U364">
        <f t="shared" si="125"/>
        <v>-0.14159143712803185</v>
      </c>
      <c r="V364">
        <f t="shared" si="126"/>
        <v>1.5599999999999999E-2</v>
      </c>
      <c r="W364">
        <v>0.1</v>
      </c>
      <c r="X364">
        <f t="shared" si="127"/>
        <v>0.15599999999999997</v>
      </c>
      <c r="Y364">
        <v>3</v>
      </c>
      <c r="Z364">
        <v>1</v>
      </c>
      <c r="AA364" t="s">
        <v>93</v>
      </c>
      <c r="AB364">
        <f t="shared" si="128"/>
        <v>12</v>
      </c>
      <c r="AC364">
        <f t="shared" si="119"/>
        <v>64</v>
      </c>
      <c r="AE364">
        <v>3</v>
      </c>
      <c r="AF364">
        <v>3</v>
      </c>
      <c r="AG364">
        <v>1</v>
      </c>
      <c r="AH364">
        <f t="shared" si="129"/>
        <v>11.384199576606168</v>
      </c>
      <c r="AI364">
        <f t="shared" si="120"/>
        <v>80.954308100310527</v>
      </c>
    </row>
    <row r="365" spans="1:36" x14ac:dyDescent="0.3">
      <c r="A365">
        <v>2023</v>
      </c>
      <c r="B365" t="s">
        <v>383</v>
      </c>
      <c r="C365" t="s">
        <v>384</v>
      </c>
      <c r="D365" t="s">
        <v>385</v>
      </c>
      <c r="E365" t="s">
        <v>386</v>
      </c>
      <c r="F365">
        <v>10</v>
      </c>
      <c r="G365" t="s">
        <v>22</v>
      </c>
      <c r="H365" t="s">
        <v>56</v>
      </c>
      <c r="I365" t="s">
        <v>132</v>
      </c>
      <c r="J365" t="s">
        <v>175</v>
      </c>
      <c r="K365" t="s">
        <v>176</v>
      </c>
      <c r="L365">
        <v>227433</v>
      </c>
      <c r="M365">
        <v>152269</v>
      </c>
      <c r="N365">
        <v>11</v>
      </c>
      <c r="O365">
        <f t="shared" si="122"/>
        <v>0.12643678160919541</v>
      </c>
      <c r="P365">
        <v>110</v>
      </c>
      <c r="Q365">
        <f t="shared" si="123"/>
        <v>0.12643678160919541</v>
      </c>
      <c r="R365">
        <v>0.02</v>
      </c>
      <c r="S365">
        <f t="shared" si="130"/>
        <v>0.2</v>
      </c>
      <c r="T365">
        <f t="shared" si="124"/>
        <v>3.3333333333333333E-2</v>
      </c>
      <c r="U365">
        <f t="shared" si="125"/>
        <v>-0.26147288855653272</v>
      </c>
      <c r="V365">
        <f t="shared" si="126"/>
        <v>1.5599999999999999E-2</v>
      </c>
      <c r="W365">
        <v>0.1</v>
      </c>
      <c r="X365">
        <f t="shared" si="127"/>
        <v>0.15599999999999997</v>
      </c>
      <c r="Y365">
        <v>2</v>
      </c>
      <c r="Z365">
        <v>2</v>
      </c>
      <c r="AA365" t="s">
        <v>50</v>
      </c>
      <c r="AB365">
        <f t="shared" si="128"/>
        <v>18.761663039293719</v>
      </c>
      <c r="AC365">
        <f t="shared" si="119"/>
        <v>75.046652157174876</v>
      </c>
      <c r="AE365">
        <v>2.5</v>
      </c>
      <c r="AF365">
        <v>2.2000000000000002</v>
      </c>
      <c r="AG365">
        <v>2</v>
      </c>
      <c r="AH365">
        <f t="shared" si="129"/>
        <v>10.654016209285915</v>
      </c>
      <c r="AI365">
        <f t="shared" si="120"/>
        <v>61.987003399481679</v>
      </c>
    </row>
    <row r="366" spans="1:36" x14ac:dyDescent="0.3">
      <c r="A366">
        <v>2023</v>
      </c>
      <c r="B366" t="s">
        <v>383</v>
      </c>
      <c r="C366" t="s">
        <v>384</v>
      </c>
      <c r="D366" t="s">
        <v>385</v>
      </c>
      <c r="E366" t="s">
        <v>386</v>
      </c>
      <c r="F366">
        <v>10</v>
      </c>
      <c r="G366" t="s">
        <v>22</v>
      </c>
      <c r="H366" t="s">
        <v>96</v>
      </c>
      <c r="I366" t="s">
        <v>312</v>
      </c>
      <c r="J366" t="s">
        <v>313</v>
      </c>
      <c r="K366" t="s">
        <v>314</v>
      </c>
      <c r="L366">
        <v>227369</v>
      </c>
      <c r="M366">
        <v>131576</v>
      </c>
      <c r="N366">
        <v>19</v>
      </c>
      <c r="O366">
        <f t="shared" si="122"/>
        <v>0.21839080459770116</v>
      </c>
      <c r="P366">
        <v>190</v>
      </c>
      <c r="Q366">
        <f t="shared" si="123"/>
        <v>0.21839080459770116</v>
      </c>
      <c r="R366">
        <v>0.02</v>
      </c>
      <c r="S366">
        <f t="shared" si="130"/>
        <v>0.2</v>
      </c>
      <c r="T366">
        <f t="shared" si="124"/>
        <v>3.3333333333333333E-2</v>
      </c>
      <c r="U366">
        <f t="shared" si="125"/>
        <v>-0.33227486954338764</v>
      </c>
      <c r="V366">
        <f t="shared" si="126"/>
        <v>1.5599999999999999E-2</v>
      </c>
      <c r="W366">
        <v>0.1</v>
      </c>
      <c r="X366">
        <f t="shared" si="127"/>
        <v>0.15599999999999997</v>
      </c>
      <c r="Y366">
        <v>2</v>
      </c>
      <c r="Z366">
        <v>2</v>
      </c>
      <c r="AA366" t="s">
        <v>50</v>
      </c>
      <c r="AB366">
        <f t="shared" si="128"/>
        <v>24.657656011875908</v>
      </c>
      <c r="AC366">
        <f t="shared" si="119"/>
        <v>98.63062404750363</v>
      </c>
      <c r="AE366">
        <v>3</v>
      </c>
      <c r="AF366">
        <v>3</v>
      </c>
      <c r="AG366">
        <v>1</v>
      </c>
      <c r="AH366">
        <f t="shared" si="129"/>
        <v>9.9931730120166282</v>
      </c>
      <c r="AI366">
        <f t="shared" si="120"/>
        <v>71.062563641007131</v>
      </c>
    </row>
    <row r="367" spans="1:36" x14ac:dyDescent="0.3">
      <c r="A367">
        <v>2023</v>
      </c>
      <c r="B367" t="s">
        <v>383</v>
      </c>
      <c r="C367" t="s">
        <v>384</v>
      </c>
      <c r="D367" t="s">
        <v>385</v>
      </c>
      <c r="E367" t="s">
        <v>386</v>
      </c>
      <c r="F367">
        <v>10</v>
      </c>
      <c r="G367" t="s">
        <v>79</v>
      </c>
      <c r="H367" t="s">
        <v>215</v>
      </c>
      <c r="I367" t="s">
        <v>216</v>
      </c>
      <c r="J367" t="s">
        <v>217</v>
      </c>
      <c r="K367" t="s">
        <v>218</v>
      </c>
      <c r="L367">
        <v>218266</v>
      </c>
      <c r="M367">
        <v>139410</v>
      </c>
      <c r="N367">
        <v>6</v>
      </c>
      <c r="O367">
        <f t="shared" si="122"/>
        <v>6.8965517241379309E-2</v>
      </c>
      <c r="P367">
        <v>60</v>
      </c>
      <c r="Q367">
        <f t="shared" si="123"/>
        <v>6.8965517241379309E-2</v>
      </c>
      <c r="R367">
        <v>0.02</v>
      </c>
      <c r="S367">
        <f t="shared" si="130"/>
        <v>0.2</v>
      </c>
      <c r="T367">
        <f t="shared" si="124"/>
        <v>3.3333333333333333E-2</v>
      </c>
      <c r="U367">
        <f t="shared" si="125"/>
        <v>-0.18442404478803645</v>
      </c>
      <c r="V367">
        <f t="shared" si="126"/>
        <v>1.5599999999999999E-2</v>
      </c>
      <c r="W367">
        <v>0.1</v>
      </c>
      <c r="X367">
        <f t="shared" si="127"/>
        <v>0.15599999999999997</v>
      </c>
      <c r="Y367">
        <v>2</v>
      </c>
      <c r="Z367">
        <v>2</v>
      </c>
      <c r="AA367" t="s">
        <v>50</v>
      </c>
      <c r="AB367">
        <f t="shared" si="128"/>
        <v>13.856406460551019</v>
      </c>
      <c r="AC367">
        <f t="shared" si="119"/>
        <v>55.425625842204077</v>
      </c>
      <c r="AE367">
        <v>2.5</v>
      </c>
      <c r="AF367">
        <v>1</v>
      </c>
      <c r="AG367">
        <v>2</v>
      </c>
      <c r="AH367">
        <f t="shared" si="129"/>
        <v>4.1617914502878168</v>
      </c>
      <c r="AI367">
        <f t="shared" si="120"/>
        <v>53.270930563684061</v>
      </c>
    </row>
    <row r="368" spans="1:36" x14ac:dyDescent="0.3">
      <c r="A368">
        <v>2023</v>
      </c>
      <c r="B368" t="s">
        <v>383</v>
      </c>
      <c r="C368" t="s">
        <v>384</v>
      </c>
      <c r="D368" t="s">
        <v>385</v>
      </c>
      <c r="E368" t="s">
        <v>386</v>
      </c>
      <c r="F368">
        <v>10</v>
      </c>
      <c r="I368" t="s">
        <v>230</v>
      </c>
      <c r="J368" t="s">
        <v>231</v>
      </c>
      <c r="K368" t="s">
        <v>232</v>
      </c>
      <c r="L368">
        <v>233581</v>
      </c>
      <c r="M368">
        <v>128549</v>
      </c>
      <c r="N368">
        <v>2</v>
      </c>
      <c r="O368">
        <f t="shared" si="122"/>
        <v>2.2988505747126436E-2</v>
      </c>
      <c r="P368">
        <v>20</v>
      </c>
      <c r="Q368">
        <f t="shared" si="123"/>
        <v>2.2988505747126436E-2</v>
      </c>
      <c r="R368">
        <v>0.01</v>
      </c>
      <c r="S368">
        <f t="shared" si="130"/>
        <v>0.1</v>
      </c>
      <c r="T368">
        <f t="shared" si="124"/>
        <v>1.6666666666666666E-2</v>
      </c>
      <c r="U368">
        <f t="shared" si="125"/>
        <v>-8.6730136507922717E-2</v>
      </c>
      <c r="V368">
        <f t="shared" si="126"/>
        <v>1.5599999999999999E-2</v>
      </c>
      <c r="W368">
        <v>0.1</v>
      </c>
      <c r="X368">
        <f t="shared" si="127"/>
        <v>0.15599999999999997</v>
      </c>
      <c r="Y368">
        <v>2</v>
      </c>
      <c r="Z368">
        <v>1</v>
      </c>
      <c r="AA368" t="s">
        <v>50</v>
      </c>
      <c r="AB368">
        <f t="shared" si="128"/>
        <v>2.8284271247461898</v>
      </c>
      <c r="AC368">
        <f t="shared" si="119"/>
        <v>22.627416997969519</v>
      </c>
      <c r="AE368">
        <v>3</v>
      </c>
      <c r="AF368">
        <v>2</v>
      </c>
      <c r="AG368">
        <v>1</v>
      </c>
      <c r="AH368">
        <f t="shared" si="129"/>
        <v>2.2563618558518375</v>
      </c>
      <c r="AI368">
        <f t="shared" si="120"/>
        <v>24.067859795752931</v>
      </c>
    </row>
    <row r="369" spans="1:36" x14ac:dyDescent="0.3">
      <c r="A369">
        <v>2023</v>
      </c>
      <c r="B369" t="s">
        <v>383</v>
      </c>
      <c r="C369" t="s">
        <v>384</v>
      </c>
      <c r="D369" t="s">
        <v>385</v>
      </c>
      <c r="E369" t="s">
        <v>386</v>
      </c>
      <c r="F369">
        <v>10</v>
      </c>
      <c r="G369" t="s">
        <v>79</v>
      </c>
      <c r="H369" t="s">
        <v>113</v>
      </c>
      <c r="I369" t="s">
        <v>123</v>
      </c>
      <c r="J369" t="s">
        <v>124</v>
      </c>
      <c r="K369" t="s">
        <v>125</v>
      </c>
      <c r="L369">
        <v>218310</v>
      </c>
      <c r="M369">
        <v>141435</v>
      </c>
      <c r="N369">
        <v>8</v>
      </c>
      <c r="O369">
        <f t="shared" si="122"/>
        <v>9.1954022988505746E-2</v>
      </c>
      <c r="P369">
        <v>80</v>
      </c>
      <c r="Q369">
        <f t="shared" si="123"/>
        <v>9.1954022988505746E-2</v>
      </c>
      <c r="R369">
        <v>0.02</v>
      </c>
      <c r="S369">
        <f t="shared" si="130"/>
        <v>0.2</v>
      </c>
      <c r="T369">
        <f t="shared" si="124"/>
        <v>3.3333333333333333E-2</v>
      </c>
      <c r="U369">
        <f t="shared" si="125"/>
        <v>-0.21944520248043659</v>
      </c>
      <c r="V369">
        <f t="shared" si="126"/>
        <v>1.5599999999999999E-2</v>
      </c>
      <c r="W369">
        <v>0.1</v>
      </c>
      <c r="X369">
        <f t="shared" si="127"/>
        <v>0.15599999999999997</v>
      </c>
      <c r="Y369">
        <v>2</v>
      </c>
      <c r="Z369">
        <v>2</v>
      </c>
      <c r="AA369" t="s">
        <v>50</v>
      </c>
      <c r="AB369">
        <f t="shared" si="128"/>
        <v>16</v>
      </c>
      <c r="AC369">
        <f t="shared" si="119"/>
        <v>64</v>
      </c>
      <c r="AE369">
        <v>1</v>
      </c>
      <c r="AF369">
        <v>1</v>
      </c>
      <c r="AG369">
        <v>2</v>
      </c>
      <c r="AH369">
        <f t="shared" si="129"/>
        <v>1.7888543819998317</v>
      </c>
      <c r="AI369">
        <f t="shared" si="120"/>
        <v>57.243340223994615</v>
      </c>
    </row>
    <row r="370" spans="1:36" x14ac:dyDescent="0.3">
      <c r="A370">
        <v>2023</v>
      </c>
      <c r="B370" t="s">
        <v>383</v>
      </c>
      <c r="C370" t="s">
        <v>384</v>
      </c>
      <c r="D370" t="s">
        <v>385</v>
      </c>
      <c r="E370" t="s">
        <v>386</v>
      </c>
      <c r="F370">
        <v>10</v>
      </c>
      <c r="G370" t="s">
        <v>61</v>
      </c>
      <c r="H370" t="s">
        <v>62</v>
      </c>
      <c r="I370" t="s">
        <v>397</v>
      </c>
      <c r="J370" t="s">
        <v>398</v>
      </c>
      <c r="K370" t="s">
        <v>399</v>
      </c>
      <c r="L370">
        <v>217844</v>
      </c>
      <c r="M370">
        <v>128539</v>
      </c>
      <c r="N370">
        <v>1</v>
      </c>
      <c r="O370">
        <f t="shared" si="122"/>
        <v>1.1494252873563218E-2</v>
      </c>
      <c r="P370">
        <v>10</v>
      </c>
      <c r="Q370">
        <f t="shared" si="123"/>
        <v>1.1494252873563218E-2</v>
      </c>
      <c r="R370">
        <v>0.01</v>
      </c>
      <c r="S370">
        <f t="shared" si="130"/>
        <v>0.1</v>
      </c>
      <c r="T370">
        <f t="shared" si="124"/>
        <v>1.6666666666666666E-2</v>
      </c>
      <c r="U370">
        <f t="shared" si="125"/>
        <v>-5.1332277225914755E-2</v>
      </c>
      <c r="V370">
        <f t="shared" si="126"/>
        <v>1.5599999999999999E-2</v>
      </c>
      <c r="W370">
        <v>0.1</v>
      </c>
      <c r="X370">
        <f t="shared" si="127"/>
        <v>0.15599999999999997</v>
      </c>
      <c r="Y370">
        <v>2</v>
      </c>
      <c r="Z370">
        <v>2</v>
      </c>
      <c r="AA370" t="s">
        <v>50</v>
      </c>
      <c r="AB370">
        <f t="shared" si="128"/>
        <v>4</v>
      </c>
      <c r="AC370">
        <f t="shared" si="119"/>
        <v>16</v>
      </c>
      <c r="AE370">
        <v>1.5</v>
      </c>
      <c r="AF370">
        <v>1.5</v>
      </c>
      <c r="AG370">
        <v>2.5</v>
      </c>
      <c r="AH370">
        <f t="shared" si="129"/>
        <v>1.7787811838447136</v>
      </c>
      <c r="AI370">
        <f t="shared" si="120"/>
        <v>20.238577025077632</v>
      </c>
    </row>
    <row r="371" spans="1:36" x14ac:dyDescent="0.3">
      <c r="A371">
        <v>2023</v>
      </c>
      <c r="B371" t="s">
        <v>383</v>
      </c>
      <c r="C371" t="s">
        <v>384</v>
      </c>
      <c r="D371" t="s">
        <v>385</v>
      </c>
      <c r="E371" t="s">
        <v>386</v>
      </c>
      <c r="F371">
        <v>10</v>
      </c>
      <c r="G371" t="s">
        <v>22</v>
      </c>
      <c r="I371" t="s">
        <v>145</v>
      </c>
      <c r="J371" t="s">
        <v>387</v>
      </c>
      <c r="K371" t="s">
        <v>388</v>
      </c>
      <c r="L371">
        <v>227759</v>
      </c>
      <c r="M371">
        <v>129892</v>
      </c>
      <c r="N371">
        <v>3</v>
      </c>
      <c r="O371">
        <f t="shared" si="122"/>
        <v>3.4482758620689655E-2</v>
      </c>
      <c r="P371">
        <v>30</v>
      </c>
      <c r="Q371">
        <f t="shared" si="123"/>
        <v>3.4482758620689655E-2</v>
      </c>
      <c r="R371">
        <v>5.0000000000000001E-3</v>
      </c>
      <c r="S371">
        <f t="shared" si="130"/>
        <v>0.05</v>
      </c>
      <c r="T371">
        <f t="shared" si="124"/>
        <v>8.3333333333333332E-3</v>
      </c>
      <c r="U371">
        <f t="shared" si="125"/>
        <v>-0.11611364930987841</v>
      </c>
      <c r="V371">
        <f t="shared" si="126"/>
        <v>1.5599999999999999E-2</v>
      </c>
      <c r="W371">
        <v>0.1</v>
      </c>
      <c r="X371">
        <f t="shared" si="127"/>
        <v>0.15599999999999997</v>
      </c>
      <c r="Y371">
        <v>3</v>
      </c>
      <c r="Z371">
        <v>2</v>
      </c>
      <c r="AA371" t="s">
        <v>60</v>
      </c>
      <c r="AB371">
        <f t="shared" si="128"/>
        <v>7.3484692283495345</v>
      </c>
      <c r="AC371">
        <f t="shared" si="119"/>
        <v>19.595917942265427</v>
      </c>
      <c r="AE371">
        <v>2.88</v>
      </c>
      <c r="AF371">
        <v>4</v>
      </c>
      <c r="AG371">
        <v>2</v>
      </c>
      <c r="AH371">
        <f t="shared" si="129"/>
        <v>5.7015152684234121</v>
      </c>
      <c r="AI371">
        <f t="shared" si="120"/>
        <v>15.837542412287256</v>
      </c>
    </row>
    <row r="372" spans="1:36" x14ac:dyDescent="0.3">
      <c r="A372">
        <v>2023</v>
      </c>
      <c r="B372" t="s">
        <v>383</v>
      </c>
      <c r="C372" t="s">
        <v>384</v>
      </c>
      <c r="D372" t="s">
        <v>385</v>
      </c>
      <c r="E372" t="s">
        <v>386</v>
      </c>
      <c r="F372">
        <v>10</v>
      </c>
      <c r="G372" t="s">
        <v>22</v>
      </c>
      <c r="H372" t="s">
        <v>96</v>
      </c>
      <c r="I372" t="s">
        <v>97</v>
      </c>
      <c r="J372" t="s">
        <v>395</v>
      </c>
      <c r="K372" t="s">
        <v>396</v>
      </c>
      <c r="L372">
        <v>6009213</v>
      </c>
      <c r="M372">
        <v>131191</v>
      </c>
      <c r="N372">
        <v>2</v>
      </c>
      <c r="O372">
        <f t="shared" si="122"/>
        <v>2.2988505747126436E-2</v>
      </c>
      <c r="P372">
        <v>20</v>
      </c>
      <c r="Q372">
        <f t="shared" si="123"/>
        <v>2.2988505747126436E-2</v>
      </c>
      <c r="R372">
        <v>5.0000000000000001E-3</v>
      </c>
      <c r="S372">
        <f t="shared" si="130"/>
        <v>0.05</v>
      </c>
      <c r="T372">
        <f t="shared" si="124"/>
        <v>8.3333333333333332E-3</v>
      </c>
      <c r="U372">
        <f t="shared" si="125"/>
        <v>-8.6730136507922717E-2</v>
      </c>
      <c r="V372">
        <f t="shared" si="126"/>
        <v>1.5599999999999999E-2</v>
      </c>
      <c r="W372">
        <v>0.1</v>
      </c>
      <c r="X372">
        <f t="shared" si="127"/>
        <v>0.15599999999999997</v>
      </c>
      <c r="Y372">
        <v>3</v>
      </c>
      <c r="Z372">
        <v>2</v>
      </c>
      <c r="AA372" t="s">
        <v>100</v>
      </c>
      <c r="AB372">
        <f t="shared" si="128"/>
        <v>6</v>
      </c>
      <c r="AC372">
        <f t="shared" si="119"/>
        <v>16</v>
      </c>
      <c r="AE372">
        <v>2.75</v>
      </c>
      <c r="AF372">
        <v>2</v>
      </c>
      <c r="AG372">
        <v>2</v>
      </c>
      <c r="AH372">
        <f t="shared" si="129"/>
        <v>2.4596747752497685</v>
      </c>
      <c r="AI372">
        <f t="shared" si="120"/>
        <v>14.310835055998654</v>
      </c>
    </row>
    <row r="373" spans="1:36" x14ac:dyDescent="0.3">
      <c r="A373">
        <v>2023</v>
      </c>
      <c r="B373" t="s">
        <v>383</v>
      </c>
      <c r="C373" t="s">
        <v>384</v>
      </c>
      <c r="D373" t="s">
        <v>385</v>
      </c>
      <c r="E373" t="s">
        <v>386</v>
      </c>
      <c r="F373">
        <v>10</v>
      </c>
      <c r="G373" t="s">
        <v>22</v>
      </c>
      <c r="H373" t="s">
        <v>96</v>
      </c>
      <c r="I373" t="s">
        <v>97</v>
      </c>
      <c r="J373" t="s">
        <v>390</v>
      </c>
      <c r="K373" t="s">
        <v>391</v>
      </c>
      <c r="L373">
        <v>227325</v>
      </c>
      <c r="M373">
        <v>131141</v>
      </c>
      <c r="N373">
        <v>3</v>
      </c>
      <c r="O373">
        <f t="shared" si="122"/>
        <v>3.4482758620689655E-2</v>
      </c>
      <c r="P373">
        <v>30</v>
      </c>
      <c r="Q373">
        <f t="shared" si="123"/>
        <v>3.4482758620689655E-2</v>
      </c>
      <c r="R373">
        <v>5.0000000000000001E-3</v>
      </c>
      <c r="S373">
        <f t="shared" si="130"/>
        <v>0.05</v>
      </c>
      <c r="T373">
        <f t="shared" si="124"/>
        <v>8.3333333333333332E-3</v>
      </c>
      <c r="U373">
        <f t="shared" si="125"/>
        <v>-0.11611364930987841</v>
      </c>
      <c r="V373">
        <f t="shared" si="126"/>
        <v>1.5599999999999999E-2</v>
      </c>
      <c r="W373">
        <v>0.1</v>
      </c>
      <c r="X373">
        <f t="shared" si="127"/>
        <v>0.15599999999999997</v>
      </c>
      <c r="Y373">
        <v>3</v>
      </c>
      <c r="Z373">
        <v>1</v>
      </c>
      <c r="AA373" t="s">
        <v>100</v>
      </c>
      <c r="AB373">
        <f t="shared" si="128"/>
        <v>3.6742346141747673</v>
      </c>
      <c r="AC373">
        <f t="shared" si="119"/>
        <v>19.595917942265427</v>
      </c>
      <c r="AE373">
        <v>1</v>
      </c>
      <c r="AF373">
        <v>1</v>
      </c>
      <c r="AG373">
        <v>2</v>
      </c>
      <c r="AH373">
        <f t="shared" si="129"/>
        <v>0.49492320038397675</v>
      </c>
      <c r="AI373">
        <f t="shared" si="120"/>
        <v>15.837542412287256</v>
      </c>
    </row>
    <row r="374" spans="1:36" s="4" customFormat="1" x14ac:dyDescent="0.3">
      <c r="N374" s="4">
        <f>SUM(N359:N373)</f>
        <v>87</v>
      </c>
      <c r="O374" s="4">
        <f>SUM(O359:O373)</f>
        <v>0.99999999999999989</v>
      </c>
      <c r="P374" s="4">
        <f t="shared" ref="P374:AI374" si="131">SUM(P359:P373)</f>
        <v>870</v>
      </c>
      <c r="Q374" s="4">
        <f t="shared" si="131"/>
        <v>0.99999999999999989</v>
      </c>
      <c r="R374" s="4">
        <f t="shared" si="131"/>
        <v>0.60000000000000009</v>
      </c>
      <c r="S374" s="4">
        <f t="shared" si="131"/>
        <v>6</v>
      </c>
      <c r="T374" s="4">
        <f t="shared" si="131"/>
        <v>1</v>
      </c>
      <c r="U374" s="4">
        <f>-SUM(U359:U373)</f>
        <v>2.288702637793965</v>
      </c>
      <c r="Y374" s="4">
        <v>4</v>
      </c>
      <c r="Z374" s="4">
        <v>4</v>
      </c>
      <c r="AB374" s="4">
        <f t="shared" si="131"/>
        <v>481.9596271943102</v>
      </c>
      <c r="AC374" s="4">
        <f t="shared" si="131"/>
        <v>894.16848954521038</v>
      </c>
      <c r="AD374" s="4">
        <f>AB374/AC374</f>
        <v>0.53900314407125127</v>
      </c>
      <c r="AE374" s="4">
        <v>4</v>
      </c>
      <c r="AF374" s="4">
        <v>4</v>
      </c>
      <c r="AG374" s="4">
        <v>4</v>
      </c>
      <c r="AH374" s="4">
        <f t="shared" si="131"/>
        <v>160.8974927362782</v>
      </c>
      <c r="AI374" s="4">
        <f t="shared" si="131"/>
        <v>1075.4634954288501</v>
      </c>
      <c r="AJ374" s="4">
        <f>AH374/AI374</f>
        <v>0.14960758168004482</v>
      </c>
    </row>
    <row r="375" spans="1:36" x14ac:dyDescent="0.3">
      <c r="A375">
        <v>2023</v>
      </c>
      <c r="B375" t="s">
        <v>383</v>
      </c>
      <c r="C375" t="s">
        <v>400</v>
      </c>
      <c r="D375" t="s">
        <v>401</v>
      </c>
      <c r="E375" t="s">
        <v>402</v>
      </c>
      <c r="F375">
        <v>12</v>
      </c>
      <c r="G375" t="s">
        <v>22</v>
      </c>
      <c r="I375" t="s">
        <v>105</v>
      </c>
      <c r="J375" t="s">
        <v>106</v>
      </c>
      <c r="K375" t="s">
        <v>107</v>
      </c>
      <c r="L375">
        <v>227839</v>
      </c>
      <c r="M375">
        <v>130980</v>
      </c>
      <c r="N375">
        <v>159</v>
      </c>
      <c r="O375">
        <f t="shared" ref="O375:O391" si="132">N375/$N$392</f>
        <v>0.63855421686746983</v>
      </c>
      <c r="P375">
        <v>1590</v>
      </c>
      <c r="Q375">
        <f t="shared" ref="Q375:Q391" si="133">P375/$P$392</f>
        <v>0.63855421686746983</v>
      </c>
      <c r="R375">
        <v>1.22</v>
      </c>
      <c r="S375">
        <f>R375*10</f>
        <v>12.2</v>
      </c>
      <c r="T375">
        <f t="shared" ref="T375:T391" si="134">S375/$S$392</f>
        <v>0.32317880794701997</v>
      </c>
      <c r="U375">
        <f t="shared" ref="U375:U391" si="135">O375*LN(O375)</f>
        <v>-0.28642266018020768</v>
      </c>
      <c r="V375">
        <f t="shared" ref="V375:V391" si="136">15.6/1000</f>
        <v>1.5599999999999999E-2</v>
      </c>
      <c r="W375">
        <v>0.1</v>
      </c>
      <c r="X375">
        <f t="shared" ref="X375:X391" si="137">V375/W375</f>
        <v>0.15599999999999997</v>
      </c>
      <c r="Y375">
        <v>4</v>
      </c>
      <c r="Z375">
        <v>4</v>
      </c>
      <c r="AA375" t="s">
        <v>27</v>
      </c>
      <c r="AB375">
        <f t="shared" ref="AB375:AB391" si="138">(SQRT(S375/P375))*P375*Z375*Y375</f>
        <v>2228.4272480832751</v>
      </c>
      <c r="AC375">
        <f t="shared" si="119"/>
        <v>2228.4272480832751</v>
      </c>
      <c r="AE375">
        <v>2</v>
      </c>
      <c r="AF375">
        <v>3</v>
      </c>
      <c r="AG375">
        <v>3</v>
      </c>
      <c r="AH375">
        <f t="shared" ref="AH375:AH391" si="139">((S375/P375)^0.75)*P375*AE375*AF375*AG375</f>
        <v>741.97907762885961</v>
      </c>
      <c r="AI375">
        <f t="shared" si="120"/>
        <v>2638.1478315692784</v>
      </c>
    </row>
    <row r="376" spans="1:36" x14ac:dyDescent="0.3">
      <c r="A376">
        <v>2023</v>
      </c>
      <c r="B376" t="s">
        <v>383</v>
      </c>
      <c r="C376" t="s">
        <v>400</v>
      </c>
      <c r="D376" t="s">
        <v>401</v>
      </c>
      <c r="E376" t="s">
        <v>402</v>
      </c>
      <c r="F376">
        <v>12</v>
      </c>
      <c r="G376" t="s">
        <v>22</v>
      </c>
      <c r="H376" t="s">
        <v>67</v>
      </c>
      <c r="I376" t="s">
        <v>224</v>
      </c>
      <c r="J376" t="s">
        <v>225</v>
      </c>
      <c r="K376" t="s">
        <v>226</v>
      </c>
      <c r="L376">
        <v>227033</v>
      </c>
      <c r="M376">
        <v>130362</v>
      </c>
      <c r="N376">
        <v>4</v>
      </c>
      <c r="O376">
        <f t="shared" si="132"/>
        <v>1.6064257028112448E-2</v>
      </c>
      <c r="P376">
        <v>40</v>
      </c>
      <c r="Q376">
        <f t="shared" si="133"/>
        <v>1.6064257028112448E-2</v>
      </c>
      <c r="R376">
        <v>0.48</v>
      </c>
      <c r="S376">
        <f t="shared" ref="S376:S391" si="140">R376*10</f>
        <v>4.8</v>
      </c>
      <c r="T376">
        <f t="shared" si="134"/>
        <v>0.12715231788079476</v>
      </c>
      <c r="U376">
        <f t="shared" si="135"/>
        <v>-6.6363992535659708E-2</v>
      </c>
      <c r="V376">
        <f t="shared" si="136"/>
        <v>1.5599999999999999E-2</v>
      </c>
      <c r="W376">
        <v>0.1</v>
      </c>
      <c r="X376">
        <f t="shared" si="137"/>
        <v>0.15599999999999997</v>
      </c>
      <c r="Y376">
        <v>4</v>
      </c>
      <c r="Z376">
        <v>3</v>
      </c>
      <c r="AA376" t="s">
        <v>27</v>
      </c>
      <c r="AB376">
        <f t="shared" si="138"/>
        <v>166.27687752661222</v>
      </c>
      <c r="AC376">
        <f t="shared" si="119"/>
        <v>221.70250336881628</v>
      </c>
      <c r="AE376">
        <v>3</v>
      </c>
      <c r="AF376">
        <v>2</v>
      </c>
      <c r="AG376">
        <v>1</v>
      </c>
      <c r="AH376">
        <f t="shared" si="139"/>
        <v>48.932474251597128</v>
      </c>
      <c r="AI376">
        <f t="shared" si="120"/>
        <v>521.94639201703603</v>
      </c>
    </row>
    <row r="377" spans="1:36" x14ac:dyDescent="0.3">
      <c r="A377">
        <v>2023</v>
      </c>
      <c r="B377" t="s">
        <v>383</v>
      </c>
      <c r="C377" t="s">
        <v>400</v>
      </c>
      <c r="D377" t="s">
        <v>401</v>
      </c>
      <c r="E377" t="s">
        <v>402</v>
      </c>
      <c r="F377">
        <v>12</v>
      </c>
      <c r="K377" t="s">
        <v>389</v>
      </c>
      <c r="L377">
        <v>3000107</v>
      </c>
      <c r="M377">
        <v>2036</v>
      </c>
      <c r="N377">
        <v>1</v>
      </c>
      <c r="O377">
        <f t="shared" si="132"/>
        <v>4.0160642570281121E-3</v>
      </c>
      <c r="P377">
        <v>10</v>
      </c>
      <c r="Q377">
        <f t="shared" si="133"/>
        <v>4.0160642570281121E-3</v>
      </c>
      <c r="R377">
        <v>5.0000000000000001E-3</v>
      </c>
      <c r="S377">
        <f t="shared" si="140"/>
        <v>0.05</v>
      </c>
      <c r="T377">
        <f t="shared" si="134"/>
        <v>1.3245033112582788E-3</v>
      </c>
      <c r="U377">
        <f t="shared" si="135"/>
        <v>-2.2158445367328139E-2</v>
      </c>
      <c r="V377">
        <f t="shared" si="136"/>
        <v>1.5599999999999999E-2</v>
      </c>
      <c r="W377">
        <v>0.1</v>
      </c>
      <c r="X377">
        <f t="shared" si="137"/>
        <v>0.15599999999999997</v>
      </c>
      <c r="Y377">
        <v>4</v>
      </c>
      <c r="Z377">
        <v>3</v>
      </c>
      <c r="AA377" t="s">
        <v>27</v>
      </c>
      <c r="AB377">
        <f t="shared" si="138"/>
        <v>8.4852813742385695</v>
      </c>
      <c r="AC377">
        <f t="shared" si="119"/>
        <v>11.313708498984759</v>
      </c>
      <c r="AE377">
        <v>1</v>
      </c>
      <c r="AF377">
        <v>4</v>
      </c>
      <c r="AG377">
        <v>2.5</v>
      </c>
      <c r="AH377">
        <f t="shared" si="139"/>
        <v>1.8803015465431976</v>
      </c>
      <c r="AI377">
        <f t="shared" si="120"/>
        <v>12.033929897876465</v>
      </c>
    </row>
    <row r="378" spans="1:36" x14ac:dyDescent="0.3">
      <c r="A378">
        <v>2023</v>
      </c>
      <c r="B378" t="s">
        <v>383</v>
      </c>
      <c r="C378" t="s">
        <v>400</v>
      </c>
      <c r="D378" t="s">
        <v>401</v>
      </c>
      <c r="E378" t="s">
        <v>402</v>
      </c>
      <c r="F378">
        <v>12</v>
      </c>
      <c r="G378" t="s">
        <v>79</v>
      </c>
      <c r="H378" t="s">
        <v>80</v>
      </c>
      <c r="I378" t="s">
        <v>81</v>
      </c>
      <c r="J378" t="s">
        <v>177</v>
      </c>
      <c r="K378" t="s">
        <v>178</v>
      </c>
      <c r="L378">
        <v>218350</v>
      </c>
      <c r="M378">
        <v>141662</v>
      </c>
      <c r="N378">
        <v>12</v>
      </c>
      <c r="O378">
        <f t="shared" si="132"/>
        <v>4.8192771084337352E-2</v>
      </c>
      <c r="P378">
        <v>120</v>
      </c>
      <c r="Q378">
        <f t="shared" si="133"/>
        <v>4.8192771084337352E-2</v>
      </c>
      <c r="R378">
        <v>0.04</v>
      </c>
      <c r="S378">
        <f t="shared" si="140"/>
        <v>0.4</v>
      </c>
      <c r="T378">
        <f t="shared" si="134"/>
        <v>1.059602649006623E-2</v>
      </c>
      <c r="U378">
        <f t="shared" si="135"/>
        <v>-0.14614680706875699</v>
      </c>
      <c r="V378">
        <f t="shared" si="136"/>
        <v>1.5599999999999999E-2</v>
      </c>
      <c r="W378">
        <v>0.1</v>
      </c>
      <c r="X378">
        <f t="shared" si="137"/>
        <v>0.15599999999999997</v>
      </c>
      <c r="Y378">
        <v>3</v>
      </c>
      <c r="Z378">
        <v>2</v>
      </c>
      <c r="AA378" t="s">
        <v>93</v>
      </c>
      <c r="AB378">
        <f t="shared" si="138"/>
        <v>41.569219381653056</v>
      </c>
      <c r="AC378">
        <f t="shared" si="119"/>
        <v>110.85125168440815</v>
      </c>
      <c r="AE378">
        <v>3</v>
      </c>
      <c r="AF378">
        <v>3</v>
      </c>
      <c r="AG378">
        <v>3</v>
      </c>
      <c r="AH378">
        <f t="shared" si="139"/>
        <v>44.947347663108424</v>
      </c>
      <c r="AI378">
        <f t="shared" si="120"/>
        <v>106.54186112736812</v>
      </c>
    </row>
    <row r="379" spans="1:36" x14ac:dyDescent="0.3">
      <c r="A379">
        <v>2023</v>
      </c>
      <c r="B379" t="s">
        <v>383</v>
      </c>
      <c r="C379" t="s">
        <v>400</v>
      </c>
      <c r="D379" t="s">
        <v>401</v>
      </c>
      <c r="E379" t="s">
        <v>402</v>
      </c>
      <c r="F379">
        <v>12</v>
      </c>
      <c r="G379" t="s">
        <v>22</v>
      </c>
      <c r="H379" t="s">
        <v>56</v>
      </c>
      <c r="I379" t="s">
        <v>90</v>
      </c>
      <c r="J379" t="s">
        <v>270</v>
      </c>
      <c r="K379" t="s">
        <v>271</v>
      </c>
      <c r="L379">
        <v>227539</v>
      </c>
      <c r="M379">
        <v>131500</v>
      </c>
      <c r="N379">
        <v>1</v>
      </c>
      <c r="O379">
        <f t="shared" si="132"/>
        <v>4.0160642570281121E-3</v>
      </c>
      <c r="P379">
        <v>10</v>
      </c>
      <c r="Q379">
        <f t="shared" si="133"/>
        <v>4.0160642570281121E-3</v>
      </c>
      <c r="R379">
        <v>5.0000000000000001E-3</v>
      </c>
      <c r="S379">
        <f t="shared" si="140"/>
        <v>0.05</v>
      </c>
      <c r="T379">
        <f t="shared" si="134"/>
        <v>1.3245033112582788E-3</v>
      </c>
      <c r="U379">
        <f t="shared" si="135"/>
        <v>-2.2158445367328139E-2</v>
      </c>
      <c r="V379">
        <f t="shared" si="136"/>
        <v>1.5599999999999999E-2</v>
      </c>
      <c r="W379">
        <v>0.1</v>
      </c>
      <c r="X379">
        <f t="shared" si="137"/>
        <v>0.15599999999999997</v>
      </c>
      <c r="Y379">
        <v>3</v>
      </c>
      <c r="Z379">
        <v>1</v>
      </c>
      <c r="AA379" t="s">
        <v>93</v>
      </c>
      <c r="AB379">
        <f t="shared" si="138"/>
        <v>2.1213203435596424</v>
      </c>
      <c r="AC379">
        <f t="shared" si="119"/>
        <v>11.313708498984759</v>
      </c>
      <c r="AE379">
        <v>1</v>
      </c>
      <c r="AF379">
        <v>3</v>
      </c>
      <c r="AG379">
        <v>2</v>
      </c>
      <c r="AH379">
        <f t="shared" si="139"/>
        <v>1.1281809279259187</v>
      </c>
      <c r="AI379">
        <f t="shared" si="120"/>
        <v>12.033929897876465</v>
      </c>
    </row>
    <row r="380" spans="1:36" x14ac:dyDescent="0.3">
      <c r="A380">
        <v>2023</v>
      </c>
      <c r="B380" t="s">
        <v>383</v>
      </c>
      <c r="C380" t="s">
        <v>400</v>
      </c>
      <c r="D380" t="s">
        <v>401</v>
      </c>
      <c r="E380" t="s">
        <v>402</v>
      </c>
      <c r="F380">
        <v>12</v>
      </c>
      <c r="G380" t="s">
        <v>406</v>
      </c>
      <c r="H380" t="s">
        <v>407</v>
      </c>
      <c r="I380" t="s">
        <v>408</v>
      </c>
      <c r="J380" t="s">
        <v>409</v>
      </c>
      <c r="K380" t="s">
        <v>410</v>
      </c>
      <c r="L380">
        <v>239380</v>
      </c>
      <c r="M380">
        <v>117452</v>
      </c>
      <c r="N380">
        <v>2</v>
      </c>
      <c r="O380">
        <f t="shared" si="132"/>
        <v>8.0321285140562242E-3</v>
      </c>
      <c r="P380">
        <v>20</v>
      </c>
      <c r="Q380">
        <f t="shared" si="133"/>
        <v>8.0321285140562242E-3</v>
      </c>
      <c r="R380">
        <v>0.05</v>
      </c>
      <c r="S380">
        <f t="shared" si="140"/>
        <v>0.5</v>
      </c>
      <c r="T380">
        <f t="shared" si="134"/>
        <v>1.3245033112582787E-2</v>
      </c>
      <c r="U380">
        <f t="shared" si="135"/>
        <v>-3.8749443501243062E-2</v>
      </c>
      <c r="V380">
        <f t="shared" si="136"/>
        <v>1.5599999999999999E-2</v>
      </c>
      <c r="W380">
        <v>0.1</v>
      </c>
      <c r="X380">
        <f t="shared" si="137"/>
        <v>0.15599999999999997</v>
      </c>
      <c r="Y380">
        <v>1</v>
      </c>
      <c r="Z380">
        <v>1</v>
      </c>
      <c r="AA380" t="s">
        <v>66</v>
      </c>
      <c r="AB380">
        <f t="shared" si="138"/>
        <v>3.1622776601683795</v>
      </c>
      <c r="AC380">
        <f t="shared" si="119"/>
        <v>50.596442562694072</v>
      </c>
      <c r="AE380">
        <v>1</v>
      </c>
      <c r="AF380">
        <v>2</v>
      </c>
      <c r="AG380">
        <v>1</v>
      </c>
      <c r="AH380">
        <f t="shared" si="139"/>
        <v>2.5148668593658705</v>
      </c>
      <c r="AI380">
        <f t="shared" si="120"/>
        <v>80.475739499707856</v>
      </c>
    </row>
    <row r="381" spans="1:36" x14ac:dyDescent="0.3">
      <c r="A381">
        <v>2023</v>
      </c>
      <c r="B381" t="s">
        <v>383</v>
      </c>
      <c r="C381" t="s">
        <v>400</v>
      </c>
      <c r="D381" t="s">
        <v>401</v>
      </c>
      <c r="E381" t="s">
        <v>402</v>
      </c>
      <c r="F381">
        <v>12</v>
      </c>
      <c r="I381" t="s">
        <v>230</v>
      </c>
      <c r="J381" t="s">
        <v>231</v>
      </c>
      <c r="K381" t="s">
        <v>232</v>
      </c>
      <c r="L381">
        <v>233581</v>
      </c>
      <c r="M381">
        <v>128549</v>
      </c>
      <c r="N381">
        <v>40</v>
      </c>
      <c r="O381">
        <f t="shared" si="132"/>
        <v>0.1606425702811245</v>
      </c>
      <c r="P381">
        <v>400</v>
      </c>
      <c r="Q381">
        <f t="shared" si="133"/>
        <v>0.1606425702811245</v>
      </c>
      <c r="R381">
        <v>0.48</v>
      </c>
      <c r="S381">
        <f t="shared" si="140"/>
        <v>4.8</v>
      </c>
      <c r="T381">
        <f t="shared" si="134"/>
        <v>0.12715231788079476</v>
      </c>
      <c r="U381">
        <f t="shared" si="135"/>
        <v>-0.29374673772703153</v>
      </c>
      <c r="V381">
        <f t="shared" si="136"/>
        <v>1.5599999999999999E-2</v>
      </c>
      <c r="W381">
        <v>0.1</v>
      </c>
      <c r="X381">
        <f t="shared" si="137"/>
        <v>0.15599999999999997</v>
      </c>
      <c r="Y381">
        <v>2</v>
      </c>
      <c r="Z381">
        <v>1</v>
      </c>
      <c r="AA381" t="s">
        <v>50</v>
      </c>
      <c r="AB381">
        <f t="shared" si="138"/>
        <v>87.635609200826579</v>
      </c>
      <c r="AC381">
        <f t="shared" si="119"/>
        <v>701.08487360661263</v>
      </c>
      <c r="AE381">
        <v>3</v>
      </c>
      <c r="AF381">
        <v>2</v>
      </c>
      <c r="AG381">
        <v>1</v>
      </c>
      <c r="AH381">
        <f t="shared" si="139"/>
        <v>87.015611443874917</v>
      </c>
      <c r="AI381">
        <f t="shared" si="120"/>
        <v>928.16652206799904</v>
      </c>
    </row>
    <row r="382" spans="1:36" x14ac:dyDescent="0.3">
      <c r="A382">
        <v>2023</v>
      </c>
      <c r="B382" t="s">
        <v>383</v>
      </c>
      <c r="C382" t="s">
        <v>400</v>
      </c>
      <c r="D382" t="s">
        <v>401</v>
      </c>
      <c r="E382" t="s">
        <v>402</v>
      </c>
      <c r="F382">
        <v>12</v>
      </c>
      <c r="G382" t="s">
        <v>45</v>
      </c>
      <c r="H382" t="s">
        <v>326</v>
      </c>
      <c r="I382" t="s">
        <v>411</v>
      </c>
      <c r="J382" t="s">
        <v>412</v>
      </c>
      <c r="K382" t="s">
        <v>413</v>
      </c>
      <c r="L382">
        <v>250051</v>
      </c>
      <c r="M382">
        <v>890057</v>
      </c>
      <c r="N382">
        <v>1</v>
      </c>
      <c r="O382">
        <f t="shared" si="132"/>
        <v>4.0160642570281121E-3</v>
      </c>
      <c r="P382">
        <v>10</v>
      </c>
      <c r="Q382">
        <f t="shared" si="133"/>
        <v>4.0160642570281121E-3</v>
      </c>
      <c r="R382">
        <v>1.05</v>
      </c>
      <c r="S382">
        <f t="shared" si="140"/>
        <v>10.5</v>
      </c>
      <c r="T382">
        <f t="shared" si="134"/>
        <v>0.2781456953642385</v>
      </c>
      <c r="U382">
        <f t="shared" si="135"/>
        <v>-2.2158445367328139E-2</v>
      </c>
      <c r="V382">
        <f t="shared" si="136"/>
        <v>1.5599999999999999E-2</v>
      </c>
      <c r="W382">
        <v>0.1</v>
      </c>
      <c r="X382">
        <f t="shared" si="137"/>
        <v>0.15599999999999997</v>
      </c>
      <c r="Y382">
        <v>2</v>
      </c>
      <c r="Z382">
        <v>2</v>
      </c>
      <c r="AA382" t="s">
        <v>50</v>
      </c>
      <c r="AB382">
        <f t="shared" si="138"/>
        <v>40.987803063838399</v>
      </c>
      <c r="AC382">
        <f t="shared" si="119"/>
        <v>163.9512122553536</v>
      </c>
      <c r="AE382">
        <v>1</v>
      </c>
      <c r="AF382">
        <v>2</v>
      </c>
      <c r="AG382">
        <v>1</v>
      </c>
      <c r="AH382">
        <f t="shared" si="139"/>
        <v>20.745407495884557</v>
      </c>
      <c r="AI382">
        <f t="shared" si="120"/>
        <v>663.85303986830581</v>
      </c>
    </row>
    <row r="383" spans="1:36" x14ac:dyDescent="0.3">
      <c r="A383">
        <v>2023</v>
      </c>
      <c r="B383" t="s">
        <v>383</v>
      </c>
      <c r="C383" t="s">
        <v>400</v>
      </c>
      <c r="D383" t="s">
        <v>401</v>
      </c>
      <c r="E383" t="s">
        <v>402</v>
      </c>
      <c r="F383">
        <v>12</v>
      </c>
      <c r="G383" t="s">
        <v>79</v>
      </c>
      <c r="H383" t="s">
        <v>80</v>
      </c>
      <c r="I383" t="s">
        <v>81</v>
      </c>
      <c r="J383" t="s">
        <v>82</v>
      </c>
      <c r="K383" t="s">
        <v>83</v>
      </c>
      <c r="L383">
        <v>218348</v>
      </c>
      <c r="M383">
        <v>954693</v>
      </c>
      <c r="N383">
        <v>1</v>
      </c>
      <c r="O383">
        <f t="shared" si="132"/>
        <v>4.0160642570281121E-3</v>
      </c>
      <c r="P383">
        <v>10</v>
      </c>
      <c r="Q383">
        <f t="shared" si="133"/>
        <v>4.0160642570281121E-3</v>
      </c>
      <c r="R383">
        <v>0.04</v>
      </c>
      <c r="S383">
        <f t="shared" si="140"/>
        <v>0.4</v>
      </c>
      <c r="T383">
        <f t="shared" si="134"/>
        <v>1.059602649006623E-2</v>
      </c>
      <c r="U383">
        <f t="shared" si="135"/>
        <v>-2.2158445367328139E-2</v>
      </c>
      <c r="V383">
        <f t="shared" si="136"/>
        <v>1.5599999999999999E-2</v>
      </c>
      <c r="W383">
        <v>0.1</v>
      </c>
      <c r="X383">
        <f t="shared" si="137"/>
        <v>0.15599999999999997</v>
      </c>
      <c r="Y383">
        <v>2</v>
      </c>
      <c r="Z383">
        <v>2</v>
      </c>
      <c r="AA383" t="s">
        <v>50</v>
      </c>
      <c r="AB383">
        <f t="shared" si="138"/>
        <v>8</v>
      </c>
      <c r="AC383">
        <f t="shared" si="119"/>
        <v>32</v>
      </c>
      <c r="AE383">
        <v>2.5</v>
      </c>
      <c r="AF383">
        <v>2</v>
      </c>
      <c r="AG383">
        <v>2.5</v>
      </c>
      <c r="AH383">
        <f t="shared" si="139"/>
        <v>11.180339887498953</v>
      </c>
      <c r="AI383">
        <f t="shared" si="120"/>
        <v>57.243340223994636</v>
      </c>
    </row>
    <row r="384" spans="1:36" x14ac:dyDescent="0.3">
      <c r="A384">
        <v>2023</v>
      </c>
      <c r="B384" t="s">
        <v>383</v>
      </c>
      <c r="C384" t="s">
        <v>400</v>
      </c>
      <c r="D384" t="s">
        <v>401</v>
      </c>
      <c r="E384" t="s">
        <v>402</v>
      </c>
      <c r="F384">
        <v>12</v>
      </c>
      <c r="G384" t="s">
        <v>79</v>
      </c>
      <c r="H384" t="s">
        <v>305</v>
      </c>
      <c r="I384" t="s">
        <v>306</v>
      </c>
      <c r="J384" t="s">
        <v>307</v>
      </c>
      <c r="K384" t="s">
        <v>308</v>
      </c>
      <c r="L384">
        <v>218300</v>
      </c>
      <c r="M384">
        <v>140737</v>
      </c>
      <c r="N384">
        <v>5</v>
      </c>
      <c r="O384">
        <f t="shared" si="132"/>
        <v>2.0080321285140562E-2</v>
      </c>
      <c r="P384">
        <v>50</v>
      </c>
      <c r="Q384">
        <f t="shared" si="133"/>
        <v>2.0080321285140562E-2</v>
      </c>
      <c r="R384">
        <v>0.14000000000000001</v>
      </c>
      <c r="S384">
        <f t="shared" si="140"/>
        <v>1.4000000000000001</v>
      </c>
      <c r="T384">
        <f t="shared" si="134"/>
        <v>3.7086092715231805E-2</v>
      </c>
      <c r="U384">
        <f t="shared" si="135"/>
        <v>-7.8474196466478061E-2</v>
      </c>
      <c r="V384">
        <f t="shared" si="136"/>
        <v>1.5599999999999999E-2</v>
      </c>
      <c r="W384">
        <v>0.1</v>
      </c>
      <c r="X384">
        <f t="shared" si="137"/>
        <v>0.15599999999999997</v>
      </c>
      <c r="Y384">
        <v>2</v>
      </c>
      <c r="Z384">
        <v>2</v>
      </c>
      <c r="AA384" t="s">
        <v>50</v>
      </c>
      <c r="AB384">
        <f t="shared" si="138"/>
        <v>33.46640106136303</v>
      </c>
      <c r="AC384">
        <f t="shared" si="119"/>
        <v>133.86560424545212</v>
      </c>
      <c r="AE384">
        <v>3</v>
      </c>
      <c r="AF384">
        <v>1</v>
      </c>
      <c r="AG384">
        <v>1</v>
      </c>
      <c r="AH384">
        <f t="shared" si="139"/>
        <v>10.267383471132922</v>
      </c>
      <c r="AI384">
        <f t="shared" si="120"/>
        <v>219.03751405083565</v>
      </c>
    </row>
    <row r="385" spans="1:36" x14ac:dyDescent="0.3">
      <c r="A385">
        <v>2023</v>
      </c>
      <c r="B385" t="s">
        <v>383</v>
      </c>
      <c r="C385" t="s">
        <v>400</v>
      </c>
      <c r="D385" t="s">
        <v>401</v>
      </c>
      <c r="E385" t="s">
        <v>402</v>
      </c>
      <c r="F385">
        <v>12</v>
      </c>
      <c r="G385" t="s">
        <v>45</v>
      </c>
      <c r="H385" t="s">
        <v>71</v>
      </c>
      <c r="I385" t="s">
        <v>403</v>
      </c>
      <c r="J385" t="s">
        <v>404</v>
      </c>
      <c r="K385" t="s">
        <v>405</v>
      </c>
      <c r="L385">
        <v>217941</v>
      </c>
      <c r="M385">
        <v>138760</v>
      </c>
      <c r="N385">
        <v>1</v>
      </c>
      <c r="O385">
        <f t="shared" si="132"/>
        <v>4.0160642570281121E-3</v>
      </c>
      <c r="P385">
        <v>10</v>
      </c>
      <c r="Q385">
        <f t="shared" si="133"/>
        <v>4.0160642570281121E-3</v>
      </c>
      <c r="R385">
        <v>0.18</v>
      </c>
      <c r="S385">
        <f t="shared" si="140"/>
        <v>1.7999999999999998</v>
      </c>
      <c r="T385">
        <f t="shared" si="134"/>
        <v>4.7682119205298024E-2</v>
      </c>
      <c r="U385">
        <f t="shared" si="135"/>
        <v>-2.2158445367328139E-2</v>
      </c>
      <c r="V385">
        <f t="shared" si="136"/>
        <v>1.5599999999999999E-2</v>
      </c>
      <c r="W385">
        <v>0.1</v>
      </c>
      <c r="X385">
        <f t="shared" si="137"/>
        <v>0.15599999999999997</v>
      </c>
      <c r="Y385">
        <v>2</v>
      </c>
      <c r="Z385">
        <v>3</v>
      </c>
      <c r="AA385" t="s">
        <v>50</v>
      </c>
      <c r="AB385">
        <f t="shared" si="138"/>
        <v>25.45584412271571</v>
      </c>
      <c r="AC385">
        <f t="shared" si="119"/>
        <v>67.882250993908556</v>
      </c>
      <c r="AE385">
        <v>1</v>
      </c>
      <c r="AF385">
        <v>2</v>
      </c>
      <c r="AG385">
        <v>1.5</v>
      </c>
      <c r="AH385">
        <f t="shared" si="139"/>
        <v>8.290402832874431</v>
      </c>
      <c r="AI385">
        <f t="shared" si="120"/>
        <v>176.86192710132121</v>
      </c>
    </row>
    <row r="386" spans="1:36" x14ac:dyDescent="0.3">
      <c r="A386">
        <v>2023</v>
      </c>
      <c r="B386" t="s">
        <v>383</v>
      </c>
      <c r="C386" t="s">
        <v>400</v>
      </c>
      <c r="D386" t="s">
        <v>401</v>
      </c>
      <c r="E386" t="s">
        <v>402</v>
      </c>
      <c r="F386">
        <v>12</v>
      </c>
      <c r="G386" t="s">
        <v>22</v>
      </c>
      <c r="H386" t="s">
        <v>56</v>
      </c>
      <c r="I386" t="s">
        <v>132</v>
      </c>
      <c r="J386" t="s">
        <v>133</v>
      </c>
      <c r="K386" t="s">
        <v>134</v>
      </c>
      <c r="L386">
        <v>227416</v>
      </c>
      <c r="M386">
        <v>129955</v>
      </c>
      <c r="N386">
        <v>4</v>
      </c>
      <c r="O386">
        <f t="shared" si="132"/>
        <v>1.6064257028112448E-2</v>
      </c>
      <c r="P386">
        <v>40</v>
      </c>
      <c r="Q386">
        <f t="shared" si="133"/>
        <v>1.6064257028112448E-2</v>
      </c>
      <c r="R386">
        <v>0.01</v>
      </c>
      <c r="S386">
        <f t="shared" si="140"/>
        <v>0.1</v>
      </c>
      <c r="T386">
        <f t="shared" si="134"/>
        <v>2.6490066225165576E-3</v>
      </c>
      <c r="U386">
        <f t="shared" si="135"/>
        <v>-6.6363992535659708E-2</v>
      </c>
      <c r="V386">
        <f t="shared" si="136"/>
        <v>1.5599999999999999E-2</v>
      </c>
      <c r="W386">
        <v>0.1</v>
      </c>
      <c r="X386">
        <f t="shared" si="137"/>
        <v>0.15599999999999997</v>
      </c>
      <c r="Y386">
        <v>2</v>
      </c>
      <c r="Z386">
        <v>2</v>
      </c>
      <c r="AA386" t="s">
        <v>50</v>
      </c>
      <c r="AB386">
        <f t="shared" si="138"/>
        <v>8</v>
      </c>
      <c r="AC386">
        <f t="shared" si="119"/>
        <v>32</v>
      </c>
      <c r="AE386">
        <v>3</v>
      </c>
      <c r="AF386">
        <v>3</v>
      </c>
      <c r="AG386">
        <v>2</v>
      </c>
      <c r="AH386">
        <f t="shared" si="139"/>
        <v>8.0498447189992426</v>
      </c>
      <c r="AI386">
        <f t="shared" si="120"/>
        <v>28.621670111997307</v>
      </c>
    </row>
    <row r="387" spans="1:36" x14ac:dyDescent="0.3">
      <c r="A387">
        <v>2023</v>
      </c>
      <c r="B387" t="s">
        <v>383</v>
      </c>
      <c r="C387" t="s">
        <v>400</v>
      </c>
      <c r="D387" t="s">
        <v>401</v>
      </c>
      <c r="E387" t="s">
        <v>402</v>
      </c>
      <c r="F387">
        <v>12</v>
      </c>
      <c r="G387" t="s">
        <v>61</v>
      </c>
      <c r="H387" t="s">
        <v>62</v>
      </c>
      <c r="I387" t="s">
        <v>397</v>
      </c>
      <c r="J387" t="s">
        <v>398</v>
      </c>
      <c r="K387" t="s">
        <v>399</v>
      </c>
      <c r="L387">
        <v>217844</v>
      </c>
      <c r="M387">
        <v>128539</v>
      </c>
      <c r="N387">
        <v>1</v>
      </c>
      <c r="O387">
        <f t="shared" si="132"/>
        <v>4.0160642570281121E-3</v>
      </c>
      <c r="P387">
        <v>10</v>
      </c>
      <c r="Q387">
        <f t="shared" si="133"/>
        <v>4.0160642570281121E-3</v>
      </c>
      <c r="R387">
        <v>0.05</v>
      </c>
      <c r="S387">
        <f t="shared" si="140"/>
        <v>0.5</v>
      </c>
      <c r="T387">
        <f t="shared" si="134"/>
        <v>1.3245033112582787E-2</v>
      </c>
      <c r="U387">
        <f t="shared" si="135"/>
        <v>-2.2158445367328139E-2</v>
      </c>
      <c r="V387">
        <f t="shared" si="136"/>
        <v>1.5599999999999999E-2</v>
      </c>
      <c r="W387">
        <v>0.1</v>
      </c>
      <c r="X387">
        <f t="shared" si="137"/>
        <v>0.15599999999999997</v>
      </c>
      <c r="Y387">
        <v>2</v>
      </c>
      <c r="Z387">
        <v>2</v>
      </c>
      <c r="AA387" t="s">
        <v>50</v>
      </c>
      <c r="AB387">
        <f t="shared" si="138"/>
        <v>8.9442719099991592</v>
      </c>
      <c r="AC387">
        <f t="shared" ref="AC387:AC450" si="141">(SQRT(S387/P387))*P387*4*4</f>
        <v>35.777087639996637</v>
      </c>
      <c r="AE387">
        <v>1.5</v>
      </c>
      <c r="AF387">
        <v>1.5</v>
      </c>
      <c r="AG387">
        <v>2.5</v>
      </c>
      <c r="AH387">
        <f t="shared" si="139"/>
        <v>5.947713356853173</v>
      </c>
      <c r="AI387">
        <f t="shared" ref="AI387:AI450" si="142">((S387/P387)^0.75)*P387*4*4*4</f>
        <v>67.671760860196102</v>
      </c>
    </row>
    <row r="388" spans="1:36" x14ac:dyDescent="0.3">
      <c r="A388">
        <v>2023</v>
      </c>
      <c r="B388" t="s">
        <v>383</v>
      </c>
      <c r="C388" t="s">
        <v>400</v>
      </c>
      <c r="D388" t="s">
        <v>401</v>
      </c>
      <c r="E388" t="s">
        <v>402</v>
      </c>
      <c r="F388">
        <v>12</v>
      </c>
      <c r="G388" t="s">
        <v>79</v>
      </c>
      <c r="H388" t="s">
        <v>215</v>
      </c>
      <c r="I388" t="s">
        <v>216</v>
      </c>
      <c r="J388" t="s">
        <v>217</v>
      </c>
      <c r="K388" t="s">
        <v>218</v>
      </c>
      <c r="L388">
        <v>218266</v>
      </c>
      <c r="M388">
        <v>139410</v>
      </c>
      <c r="N388">
        <v>10</v>
      </c>
      <c r="O388">
        <f t="shared" si="132"/>
        <v>4.0160642570281124E-2</v>
      </c>
      <c r="P388">
        <v>100</v>
      </c>
      <c r="Q388">
        <f t="shared" si="133"/>
        <v>4.0160642570281124E-2</v>
      </c>
      <c r="R388">
        <v>0.01</v>
      </c>
      <c r="S388">
        <f t="shared" si="140"/>
        <v>0.1</v>
      </c>
      <c r="T388">
        <f t="shared" si="134"/>
        <v>2.6490066225165576E-3</v>
      </c>
      <c r="U388">
        <f t="shared" si="135"/>
        <v>-0.12911115676589002</v>
      </c>
      <c r="V388">
        <f t="shared" si="136"/>
        <v>1.5599999999999999E-2</v>
      </c>
      <c r="W388">
        <v>0.1</v>
      </c>
      <c r="X388">
        <f t="shared" si="137"/>
        <v>0.15599999999999997</v>
      </c>
      <c r="Y388">
        <v>2</v>
      </c>
      <c r="Z388">
        <v>2</v>
      </c>
      <c r="AA388" t="s">
        <v>50</v>
      </c>
      <c r="AB388">
        <f t="shared" si="138"/>
        <v>12.649110640673516</v>
      </c>
      <c r="AC388">
        <f t="shared" si="141"/>
        <v>50.596442562694065</v>
      </c>
      <c r="AE388">
        <v>2.5</v>
      </c>
      <c r="AF388">
        <v>1</v>
      </c>
      <c r="AG388">
        <v>2</v>
      </c>
      <c r="AH388">
        <f t="shared" si="139"/>
        <v>2.811706625951746</v>
      </c>
      <c r="AI388">
        <f t="shared" si="142"/>
        <v>35.989844812182348</v>
      </c>
    </row>
    <row r="389" spans="1:36" x14ac:dyDescent="0.3">
      <c r="A389">
        <v>2023</v>
      </c>
      <c r="B389" t="s">
        <v>383</v>
      </c>
      <c r="C389" t="s">
        <v>400</v>
      </c>
      <c r="D389" t="s">
        <v>401</v>
      </c>
      <c r="E389" t="s">
        <v>402</v>
      </c>
      <c r="F389">
        <v>12</v>
      </c>
      <c r="G389" t="s">
        <v>22</v>
      </c>
      <c r="H389" t="s">
        <v>96</v>
      </c>
      <c r="I389" t="s">
        <v>312</v>
      </c>
      <c r="J389" t="s">
        <v>313</v>
      </c>
      <c r="K389" t="s">
        <v>314</v>
      </c>
      <c r="L389">
        <v>227369</v>
      </c>
      <c r="M389">
        <v>131576</v>
      </c>
      <c r="N389">
        <v>4</v>
      </c>
      <c r="O389">
        <f t="shared" si="132"/>
        <v>1.6064257028112448E-2</v>
      </c>
      <c r="P389">
        <v>40</v>
      </c>
      <c r="Q389">
        <f t="shared" si="133"/>
        <v>1.6064257028112448E-2</v>
      </c>
      <c r="R389">
        <v>5.0000000000000001E-3</v>
      </c>
      <c r="S389">
        <f t="shared" si="140"/>
        <v>0.05</v>
      </c>
      <c r="T389">
        <f t="shared" si="134"/>
        <v>1.3245033112582788E-3</v>
      </c>
      <c r="U389">
        <f t="shared" si="135"/>
        <v>-6.6363992535659708E-2</v>
      </c>
      <c r="V389">
        <f t="shared" si="136"/>
        <v>1.5599999999999999E-2</v>
      </c>
      <c r="W389">
        <v>0.1</v>
      </c>
      <c r="X389">
        <f t="shared" si="137"/>
        <v>0.15599999999999997</v>
      </c>
      <c r="Y389">
        <v>2</v>
      </c>
      <c r="Z389">
        <v>2</v>
      </c>
      <c r="AA389" t="s">
        <v>50</v>
      </c>
      <c r="AB389">
        <f t="shared" si="138"/>
        <v>5.6568542494923797</v>
      </c>
      <c r="AC389">
        <f t="shared" si="141"/>
        <v>22.627416997969519</v>
      </c>
      <c r="AE389">
        <v>3</v>
      </c>
      <c r="AF389">
        <v>3</v>
      </c>
      <c r="AG389">
        <v>1</v>
      </c>
      <c r="AH389">
        <f t="shared" si="139"/>
        <v>2.3932331536252454</v>
      </c>
      <c r="AI389">
        <f t="shared" si="142"/>
        <v>17.018546870223968</v>
      </c>
    </row>
    <row r="390" spans="1:36" x14ac:dyDescent="0.3">
      <c r="A390">
        <v>2023</v>
      </c>
      <c r="B390" t="s">
        <v>383</v>
      </c>
      <c r="C390" t="s">
        <v>400</v>
      </c>
      <c r="D390" t="s">
        <v>401</v>
      </c>
      <c r="E390" t="s">
        <v>402</v>
      </c>
      <c r="F390">
        <v>12</v>
      </c>
      <c r="G390" t="s">
        <v>22</v>
      </c>
      <c r="I390" t="s">
        <v>145</v>
      </c>
      <c r="J390" t="s">
        <v>387</v>
      </c>
      <c r="K390" t="s">
        <v>388</v>
      </c>
      <c r="L390">
        <v>227759</v>
      </c>
      <c r="M390">
        <v>129892</v>
      </c>
      <c r="N390">
        <v>1</v>
      </c>
      <c r="O390">
        <f t="shared" si="132"/>
        <v>4.0160642570281121E-3</v>
      </c>
      <c r="P390">
        <v>10</v>
      </c>
      <c r="Q390">
        <f t="shared" si="133"/>
        <v>4.0160642570281121E-3</v>
      </c>
      <c r="R390">
        <v>5.0000000000000001E-3</v>
      </c>
      <c r="S390">
        <f t="shared" si="140"/>
        <v>0.05</v>
      </c>
      <c r="T390">
        <f t="shared" si="134"/>
        <v>1.3245033112582788E-3</v>
      </c>
      <c r="U390">
        <f t="shared" si="135"/>
        <v>-2.2158445367328139E-2</v>
      </c>
      <c r="V390">
        <f t="shared" si="136"/>
        <v>1.5599999999999999E-2</v>
      </c>
      <c r="W390">
        <v>0.1</v>
      </c>
      <c r="X390">
        <f t="shared" si="137"/>
        <v>0.15599999999999997</v>
      </c>
      <c r="Y390">
        <v>3</v>
      </c>
      <c r="Z390">
        <v>2</v>
      </c>
      <c r="AA390" t="s">
        <v>60</v>
      </c>
      <c r="AB390">
        <f t="shared" si="138"/>
        <v>4.2426406871192848</v>
      </c>
      <c r="AC390">
        <f t="shared" si="141"/>
        <v>11.313708498984759</v>
      </c>
      <c r="AE390">
        <v>2.88</v>
      </c>
      <c r="AF390">
        <v>4</v>
      </c>
      <c r="AG390">
        <v>2</v>
      </c>
      <c r="AH390">
        <f t="shared" si="139"/>
        <v>4.3322147632355277</v>
      </c>
      <c r="AI390">
        <f t="shared" si="142"/>
        <v>12.033929897876465</v>
      </c>
    </row>
    <row r="391" spans="1:36" x14ac:dyDescent="0.3">
      <c r="A391">
        <v>2023</v>
      </c>
      <c r="B391" t="s">
        <v>383</v>
      </c>
      <c r="C391" t="s">
        <v>400</v>
      </c>
      <c r="D391" t="s">
        <v>401</v>
      </c>
      <c r="E391" t="s">
        <v>402</v>
      </c>
      <c r="F391">
        <v>12</v>
      </c>
      <c r="G391" t="s">
        <v>22</v>
      </c>
      <c r="H391" t="s">
        <v>96</v>
      </c>
      <c r="I391" t="s">
        <v>97</v>
      </c>
      <c r="J391" t="s">
        <v>98</v>
      </c>
      <c r="K391" t="s">
        <v>101</v>
      </c>
      <c r="L391">
        <v>227337</v>
      </c>
      <c r="M391">
        <v>131157</v>
      </c>
      <c r="N391">
        <v>2</v>
      </c>
      <c r="O391">
        <f t="shared" si="132"/>
        <v>8.0321285140562242E-3</v>
      </c>
      <c r="P391">
        <v>20</v>
      </c>
      <c r="Q391">
        <f t="shared" si="133"/>
        <v>8.0321285140562242E-3</v>
      </c>
      <c r="R391">
        <v>5.0000000000000001E-3</v>
      </c>
      <c r="S391">
        <f t="shared" si="140"/>
        <v>0.05</v>
      </c>
      <c r="T391">
        <f t="shared" si="134"/>
        <v>1.3245033112582788E-3</v>
      </c>
      <c r="U391">
        <f t="shared" si="135"/>
        <v>-3.8749443501243062E-2</v>
      </c>
      <c r="V391">
        <f t="shared" si="136"/>
        <v>1.5599999999999999E-2</v>
      </c>
      <c r="W391">
        <v>0.1</v>
      </c>
      <c r="X391">
        <f t="shared" si="137"/>
        <v>0.15599999999999997</v>
      </c>
      <c r="Y391">
        <v>3</v>
      </c>
      <c r="Z391">
        <v>2</v>
      </c>
      <c r="AA391" t="s">
        <v>100</v>
      </c>
      <c r="AB391">
        <f t="shared" si="138"/>
        <v>6</v>
      </c>
      <c r="AC391">
        <f t="shared" si="141"/>
        <v>16</v>
      </c>
      <c r="AE391">
        <v>2.5</v>
      </c>
      <c r="AF391">
        <v>3</v>
      </c>
      <c r="AG391">
        <v>2</v>
      </c>
      <c r="AH391">
        <f t="shared" si="139"/>
        <v>3.3541019662496847</v>
      </c>
      <c r="AI391">
        <f t="shared" si="142"/>
        <v>14.310835055998654</v>
      </c>
    </row>
    <row r="392" spans="1:36" s="4" customFormat="1" x14ac:dyDescent="0.3">
      <c r="N392" s="4">
        <f>SUM(N375:N391)</f>
        <v>249</v>
      </c>
      <c r="O392" s="4">
        <f>SUM(O375:O391)</f>
        <v>1.0000000000000004</v>
      </c>
      <c r="P392" s="4">
        <f t="shared" ref="P392:AI392" si="143">SUM(P375:P391)</f>
        <v>2490</v>
      </c>
      <c r="Q392" s="4">
        <f t="shared" si="143"/>
        <v>1.0000000000000004</v>
      </c>
      <c r="R392" s="4">
        <f t="shared" si="143"/>
        <v>3.7749999999999995</v>
      </c>
      <c r="S392" s="4">
        <f t="shared" si="143"/>
        <v>37.749999999999986</v>
      </c>
      <c r="T392" s="4">
        <f t="shared" si="143"/>
        <v>1.0000000000000002</v>
      </c>
      <c r="U392" s="4">
        <f>-SUM(U375:U391)</f>
        <v>1.3656015403891262</v>
      </c>
      <c r="Y392" s="4">
        <v>4</v>
      </c>
      <c r="Z392" s="4">
        <v>4</v>
      </c>
      <c r="AB392" s="4">
        <f>SUM(AB375:AB391)</f>
        <v>2691.0807593055347</v>
      </c>
      <c r="AC392" s="4">
        <f>SUM(AC375:AC391)</f>
        <v>3901.3034594981359</v>
      </c>
      <c r="AD392" s="4">
        <f>AB392/AC392</f>
        <v>0.68979016558012529</v>
      </c>
      <c r="AE392" s="4">
        <v>4</v>
      </c>
      <c r="AF392" s="4">
        <v>4</v>
      </c>
      <c r="AG392" s="4">
        <v>4</v>
      </c>
      <c r="AH392" s="4">
        <f t="shared" si="143"/>
        <v>1005.7702085935806</v>
      </c>
      <c r="AI392" s="4">
        <f t="shared" si="143"/>
        <v>5591.9886149300746</v>
      </c>
      <c r="AJ392" s="4">
        <f>AH392/AI392</f>
        <v>0.17985913024004921</v>
      </c>
    </row>
    <row r="393" spans="1:36" x14ac:dyDescent="0.3">
      <c r="A393">
        <v>2023</v>
      </c>
      <c r="B393" t="s">
        <v>414</v>
      </c>
      <c r="C393" t="s">
        <v>365</v>
      </c>
      <c r="D393" t="s">
        <v>366</v>
      </c>
      <c r="E393" t="s">
        <v>367</v>
      </c>
      <c r="F393">
        <v>42</v>
      </c>
      <c r="G393" t="s">
        <v>28</v>
      </c>
      <c r="H393" t="s">
        <v>29</v>
      </c>
      <c r="I393" t="s">
        <v>30</v>
      </c>
      <c r="J393" t="s">
        <v>31</v>
      </c>
      <c r="K393" t="s">
        <v>185</v>
      </c>
      <c r="L393" t="s">
        <v>112</v>
      </c>
      <c r="M393" t="s">
        <v>112</v>
      </c>
      <c r="N393">
        <v>50</v>
      </c>
      <c r="O393">
        <f t="shared" ref="O393:O431" si="144">N393/$N$432</f>
        <v>0.117096018735363</v>
      </c>
      <c r="P393">
        <v>500</v>
      </c>
      <c r="Q393">
        <f t="shared" ref="Q393:Q431" si="145">P393/$P$432</f>
        <v>0.117096018735363</v>
      </c>
      <c r="R393">
        <v>1.33</v>
      </c>
      <c r="S393">
        <f>R393*10</f>
        <v>13.3</v>
      </c>
      <c r="T393">
        <f t="shared" ref="T393:T431" si="146">S393/$S$432</f>
        <v>0.13970588235294124</v>
      </c>
      <c r="U393">
        <f t="shared" ref="U393:U431" si="147">O393*LN(O393)</f>
        <v>-0.25114297515228085</v>
      </c>
      <c r="V393">
        <f t="shared" ref="V393:V431" si="148">15.6/1000</f>
        <v>1.5599999999999999E-2</v>
      </c>
      <c r="W393">
        <v>0.1</v>
      </c>
      <c r="X393">
        <f t="shared" ref="X393:X431" si="149">V393/W393</f>
        <v>0.15599999999999997</v>
      </c>
      <c r="Y393">
        <v>4</v>
      </c>
      <c r="Z393">
        <v>3</v>
      </c>
      <c r="AA393" t="s">
        <v>27</v>
      </c>
      <c r="AB393">
        <f t="shared" ref="AB393:AB431" si="150">(SQRT(S393/P393))*P393*Z393*Y393</f>
        <v>978.57038581800555</v>
      </c>
      <c r="AC393">
        <f t="shared" si="141"/>
        <v>1304.7605144240074</v>
      </c>
      <c r="AE393">
        <v>2</v>
      </c>
      <c r="AF393">
        <v>4</v>
      </c>
      <c r="AG393">
        <v>3</v>
      </c>
      <c r="AH393">
        <f t="shared" ref="AH393:AH431" si="151">((S393/P393)^0.75)*P393*AE393*AF393*AG393</f>
        <v>790.39188653870588</v>
      </c>
      <c r="AI393">
        <f t="shared" si="142"/>
        <v>2107.711697436549</v>
      </c>
    </row>
    <row r="394" spans="1:36" x14ac:dyDescent="0.3">
      <c r="A394">
        <v>2023</v>
      </c>
      <c r="B394" t="s">
        <v>414</v>
      </c>
      <c r="C394" t="s">
        <v>365</v>
      </c>
      <c r="D394" t="s">
        <v>366</v>
      </c>
      <c r="E394" t="s">
        <v>367</v>
      </c>
      <c r="F394">
        <v>42</v>
      </c>
      <c r="G394" t="s">
        <v>22</v>
      </c>
      <c r="H394" t="s">
        <v>67</v>
      </c>
      <c r="I394" t="s">
        <v>224</v>
      </c>
      <c r="J394" t="s">
        <v>225</v>
      </c>
      <c r="K394" t="s">
        <v>226</v>
      </c>
      <c r="L394">
        <v>227033</v>
      </c>
      <c r="M394">
        <v>130362</v>
      </c>
      <c r="N394">
        <v>3</v>
      </c>
      <c r="O394">
        <f t="shared" si="144"/>
        <v>7.0257611241217799E-3</v>
      </c>
      <c r="P394">
        <v>30</v>
      </c>
      <c r="Q394">
        <f t="shared" si="145"/>
        <v>7.0257611241217799E-3</v>
      </c>
      <c r="R394">
        <v>0.09</v>
      </c>
      <c r="S394">
        <f t="shared" ref="S394:S431" si="152">R394*10</f>
        <v>0.89999999999999991</v>
      </c>
      <c r="T394">
        <f t="shared" si="146"/>
        <v>9.4537815126050431E-3</v>
      </c>
      <c r="U394">
        <f t="shared" si="147"/>
        <v>-3.4834930149137106E-2</v>
      </c>
      <c r="V394">
        <f t="shared" si="148"/>
        <v>1.5599999999999999E-2</v>
      </c>
      <c r="W394">
        <v>0.1</v>
      </c>
      <c r="X394">
        <f t="shared" si="149"/>
        <v>0.15599999999999997</v>
      </c>
      <c r="Y394">
        <v>4</v>
      </c>
      <c r="Z394">
        <v>3</v>
      </c>
      <c r="AA394" t="s">
        <v>27</v>
      </c>
      <c r="AB394">
        <f t="shared" si="150"/>
        <v>62.35382907247957</v>
      </c>
      <c r="AC394">
        <f t="shared" si="141"/>
        <v>83.138438763306098</v>
      </c>
      <c r="AE394">
        <v>3</v>
      </c>
      <c r="AF394">
        <v>2</v>
      </c>
      <c r="AG394">
        <v>1</v>
      </c>
      <c r="AH394">
        <f t="shared" si="151"/>
        <v>12.975181636327676</v>
      </c>
      <c r="AI394">
        <f t="shared" si="142"/>
        <v>138.40193745416187</v>
      </c>
    </row>
    <row r="395" spans="1:36" x14ac:dyDescent="0.3">
      <c r="A395">
        <v>2023</v>
      </c>
      <c r="B395" t="s">
        <v>414</v>
      </c>
      <c r="C395" t="s">
        <v>365</v>
      </c>
      <c r="D395" t="s">
        <v>366</v>
      </c>
      <c r="E395" t="s">
        <v>367</v>
      </c>
      <c r="F395">
        <v>42</v>
      </c>
      <c r="K395" t="s">
        <v>75</v>
      </c>
      <c r="L395">
        <v>5000018</v>
      </c>
      <c r="M395">
        <v>152391</v>
      </c>
      <c r="N395">
        <v>8</v>
      </c>
      <c r="O395">
        <f t="shared" si="144"/>
        <v>1.873536299765808E-2</v>
      </c>
      <c r="P395">
        <v>80</v>
      </c>
      <c r="Q395">
        <f t="shared" si="145"/>
        <v>1.873536299765808E-2</v>
      </c>
      <c r="R395">
        <v>0.02</v>
      </c>
      <c r="S395">
        <f t="shared" si="152"/>
        <v>0.2</v>
      </c>
      <c r="T395">
        <f t="shared" si="146"/>
        <v>2.1008403361344546E-3</v>
      </c>
      <c r="U395">
        <f t="shared" si="147"/>
        <v>-7.4516954970469104E-2</v>
      </c>
      <c r="V395">
        <f t="shared" si="148"/>
        <v>1.5599999999999999E-2</v>
      </c>
      <c r="W395">
        <v>0.1</v>
      </c>
      <c r="X395">
        <f t="shared" si="149"/>
        <v>0.15599999999999997</v>
      </c>
      <c r="Y395">
        <v>4</v>
      </c>
      <c r="Z395">
        <v>3</v>
      </c>
      <c r="AA395" t="s">
        <v>27</v>
      </c>
      <c r="AB395">
        <f t="shared" si="150"/>
        <v>48</v>
      </c>
      <c r="AC395">
        <f t="shared" si="141"/>
        <v>64</v>
      </c>
      <c r="AE395">
        <v>2</v>
      </c>
      <c r="AF395">
        <v>2</v>
      </c>
      <c r="AG395">
        <v>2</v>
      </c>
      <c r="AH395">
        <f t="shared" si="151"/>
        <v>7.1554175279993268</v>
      </c>
      <c r="AI395">
        <f t="shared" si="142"/>
        <v>57.243340223994615</v>
      </c>
    </row>
    <row r="396" spans="1:36" x14ac:dyDescent="0.3">
      <c r="A396">
        <v>2023</v>
      </c>
      <c r="B396" t="s">
        <v>414</v>
      </c>
      <c r="C396" t="s">
        <v>365</v>
      </c>
      <c r="D396" t="s">
        <v>366</v>
      </c>
      <c r="E396" t="s">
        <v>367</v>
      </c>
      <c r="F396">
        <v>42</v>
      </c>
      <c r="G396" t="s">
        <v>22</v>
      </c>
      <c r="I396" t="s">
        <v>392</v>
      </c>
      <c r="J396" t="s">
        <v>393</v>
      </c>
      <c r="K396" t="s">
        <v>394</v>
      </c>
      <c r="L396">
        <v>227855</v>
      </c>
      <c r="M396">
        <v>130537</v>
      </c>
      <c r="N396">
        <v>1</v>
      </c>
      <c r="O396">
        <f t="shared" si="144"/>
        <v>2.34192037470726E-3</v>
      </c>
      <c r="P396">
        <v>10</v>
      </c>
      <c r="Q396">
        <f t="shared" si="145"/>
        <v>2.34192037470726E-3</v>
      </c>
      <c r="R396">
        <v>5.0000000000000001E-3</v>
      </c>
      <c r="S396">
        <f t="shared" si="152"/>
        <v>0.05</v>
      </c>
      <c r="T396">
        <f t="shared" si="146"/>
        <v>5.2521008403361364E-4</v>
      </c>
      <c r="U396">
        <f t="shared" si="147"/>
        <v>-1.4184505885781323E-2</v>
      </c>
      <c r="V396">
        <f t="shared" si="148"/>
        <v>1.5599999999999999E-2</v>
      </c>
      <c r="W396">
        <v>0.1</v>
      </c>
      <c r="X396">
        <f t="shared" si="149"/>
        <v>0.15599999999999997</v>
      </c>
      <c r="Y396">
        <v>4</v>
      </c>
      <c r="Z396">
        <v>3</v>
      </c>
      <c r="AA396" t="s">
        <v>27</v>
      </c>
      <c r="AB396">
        <f t="shared" si="150"/>
        <v>8.4852813742385695</v>
      </c>
      <c r="AC396">
        <f t="shared" si="141"/>
        <v>11.313708498984759</v>
      </c>
      <c r="AE396">
        <v>3</v>
      </c>
      <c r="AF396">
        <v>3</v>
      </c>
      <c r="AG396">
        <v>4</v>
      </c>
      <c r="AH396">
        <f t="shared" si="151"/>
        <v>6.7690855675555124</v>
      </c>
      <c r="AI396">
        <f t="shared" si="142"/>
        <v>12.033929897876465</v>
      </c>
    </row>
    <row r="397" spans="1:36" x14ac:dyDescent="0.3">
      <c r="A397">
        <v>2023</v>
      </c>
      <c r="B397" t="s">
        <v>414</v>
      </c>
      <c r="C397" t="s">
        <v>365</v>
      </c>
      <c r="D397" t="s">
        <v>366</v>
      </c>
      <c r="E397" t="s">
        <v>367</v>
      </c>
      <c r="F397">
        <v>42</v>
      </c>
      <c r="G397" t="s">
        <v>22</v>
      </c>
      <c r="H397" t="s">
        <v>23</v>
      </c>
      <c r="I397" t="s">
        <v>24</v>
      </c>
      <c r="J397" t="s">
        <v>25</v>
      </c>
      <c r="K397" t="s">
        <v>26</v>
      </c>
      <c r="L397">
        <v>227229</v>
      </c>
      <c r="M397">
        <v>146469</v>
      </c>
      <c r="N397">
        <v>1</v>
      </c>
      <c r="O397">
        <f t="shared" si="144"/>
        <v>2.34192037470726E-3</v>
      </c>
      <c r="P397">
        <v>10</v>
      </c>
      <c r="Q397">
        <f t="shared" si="145"/>
        <v>2.34192037470726E-3</v>
      </c>
      <c r="R397">
        <v>0.02</v>
      </c>
      <c r="S397">
        <f t="shared" si="152"/>
        <v>0.2</v>
      </c>
      <c r="T397">
        <f t="shared" si="146"/>
        <v>2.1008403361344546E-3</v>
      </c>
      <c r="U397">
        <f t="shared" si="147"/>
        <v>-1.4184505885781323E-2</v>
      </c>
      <c r="V397">
        <f t="shared" si="148"/>
        <v>1.5599999999999999E-2</v>
      </c>
      <c r="W397">
        <v>0.1</v>
      </c>
      <c r="X397">
        <f t="shared" si="149"/>
        <v>0.15599999999999997</v>
      </c>
      <c r="Y397">
        <v>4</v>
      </c>
      <c r="Z397">
        <v>3</v>
      </c>
      <c r="AA397" t="s">
        <v>27</v>
      </c>
      <c r="AB397">
        <f t="shared" si="150"/>
        <v>16.970562748477139</v>
      </c>
      <c r="AC397">
        <f t="shared" si="141"/>
        <v>22.627416997969519</v>
      </c>
      <c r="AE397">
        <v>1.38</v>
      </c>
      <c r="AF397">
        <v>2</v>
      </c>
      <c r="AG397">
        <v>3.5</v>
      </c>
      <c r="AH397">
        <f t="shared" si="151"/>
        <v>5.1374738364488604</v>
      </c>
      <c r="AI397">
        <f t="shared" si="142"/>
        <v>34.037093740447936</v>
      </c>
    </row>
    <row r="398" spans="1:36" x14ac:dyDescent="0.3">
      <c r="A398">
        <v>2023</v>
      </c>
      <c r="B398" t="s">
        <v>414</v>
      </c>
      <c r="C398" t="s">
        <v>365</v>
      </c>
      <c r="D398" t="s">
        <v>366</v>
      </c>
      <c r="E398" t="s">
        <v>367</v>
      </c>
      <c r="F398">
        <v>42</v>
      </c>
      <c r="G398" t="s">
        <v>22</v>
      </c>
      <c r="H398" t="s">
        <v>67</v>
      </c>
      <c r="I398" t="s">
        <v>68</v>
      </c>
      <c r="J398" t="s">
        <v>69</v>
      </c>
      <c r="K398" t="s">
        <v>190</v>
      </c>
      <c r="L398">
        <v>226797</v>
      </c>
      <c r="M398">
        <v>130116</v>
      </c>
      <c r="N398">
        <v>1</v>
      </c>
      <c r="O398">
        <f t="shared" si="144"/>
        <v>2.34192037470726E-3</v>
      </c>
      <c r="P398">
        <v>10</v>
      </c>
      <c r="Q398">
        <f t="shared" si="145"/>
        <v>2.34192037470726E-3</v>
      </c>
      <c r="R398">
        <v>0.01</v>
      </c>
      <c r="S398">
        <f t="shared" si="152"/>
        <v>0.1</v>
      </c>
      <c r="T398">
        <f t="shared" si="146"/>
        <v>1.0504201680672273E-3</v>
      </c>
      <c r="U398">
        <f t="shared" si="147"/>
        <v>-1.4184505885781323E-2</v>
      </c>
      <c r="V398">
        <f t="shared" si="148"/>
        <v>1.5599999999999999E-2</v>
      </c>
      <c r="W398">
        <v>0.1</v>
      </c>
      <c r="X398">
        <f t="shared" si="149"/>
        <v>0.15599999999999997</v>
      </c>
      <c r="Y398">
        <v>4</v>
      </c>
      <c r="Z398">
        <v>3</v>
      </c>
      <c r="AA398" t="s">
        <v>27</v>
      </c>
      <c r="AB398">
        <f t="shared" si="150"/>
        <v>12</v>
      </c>
      <c r="AC398">
        <f t="shared" si="141"/>
        <v>16</v>
      </c>
      <c r="AE398">
        <v>2</v>
      </c>
      <c r="AF398">
        <v>2</v>
      </c>
      <c r="AG398">
        <v>2</v>
      </c>
      <c r="AH398">
        <f t="shared" si="151"/>
        <v>2.529822128134704</v>
      </c>
      <c r="AI398">
        <f t="shared" si="142"/>
        <v>20.238577025077632</v>
      </c>
    </row>
    <row r="399" spans="1:36" x14ac:dyDescent="0.3">
      <c r="A399">
        <v>2023</v>
      </c>
      <c r="B399" t="s">
        <v>414</v>
      </c>
      <c r="C399" t="s">
        <v>365</v>
      </c>
      <c r="D399" t="s">
        <v>366</v>
      </c>
      <c r="E399" t="s">
        <v>367</v>
      </c>
      <c r="F399">
        <v>42</v>
      </c>
      <c r="G399" t="s">
        <v>22</v>
      </c>
      <c r="H399" t="s">
        <v>163</v>
      </c>
      <c r="I399" t="s">
        <v>164</v>
      </c>
      <c r="J399" t="s">
        <v>165</v>
      </c>
      <c r="K399" t="s">
        <v>166</v>
      </c>
      <c r="L399" t="s">
        <v>112</v>
      </c>
      <c r="M399">
        <v>129837</v>
      </c>
      <c r="N399">
        <v>1</v>
      </c>
      <c r="O399">
        <f t="shared" si="144"/>
        <v>2.34192037470726E-3</v>
      </c>
      <c r="P399">
        <v>10</v>
      </c>
      <c r="Q399">
        <f t="shared" si="145"/>
        <v>2.34192037470726E-3</v>
      </c>
      <c r="R399">
        <v>5.0000000000000001E-3</v>
      </c>
      <c r="S399">
        <f t="shared" si="152"/>
        <v>0.05</v>
      </c>
      <c r="T399">
        <f t="shared" si="146"/>
        <v>5.2521008403361364E-4</v>
      </c>
      <c r="U399">
        <f t="shared" si="147"/>
        <v>-1.4184505885781323E-2</v>
      </c>
      <c r="V399">
        <f t="shared" si="148"/>
        <v>1.5599999999999999E-2</v>
      </c>
      <c r="W399">
        <v>0.1</v>
      </c>
      <c r="X399">
        <f t="shared" si="149"/>
        <v>0.15599999999999997</v>
      </c>
      <c r="Y399">
        <v>4</v>
      </c>
      <c r="Z399">
        <v>3</v>
      </c>
      <c r="AA399" t="s">
        <v>27</v>
      </c>
      <c r="AB399">
        <f t="shared" si="150"/>
        <v>8.4852813742385695</v>
      </c>
      <c r="AC399">
        <f t="shared" si="141"/>
        <v>11.313708498984759</v>
      </c>
      <c r="AE399">
        <v>3</v>
      </c>
      <c r="AF399">
        <v>2</v>
      </c>
      <c r="AG399">
        <v>1</v>
      </c>
      <c r="AH399">
        <f t="shared" si="151"/>
        <v>1.1281809279259187</v>
      </c>
      <c r="AI399">
        <f t="shared" si="142"/>
        <v>12.033929897876465</v>
      </c>
    </row>
    <row r="400" spans="1:36" x14ac:dyDescent="0.3">
      <c r="A400">
        <v>2023</v>
      </c>
      <c r="B400" t="s">
        <v>414</v>
      </c>
      <c r="C400" t="s">
        <v>365</v>
      </c>
      <c r="D400" t="s">
        <v>366</v>
      </c>
      <c r="E400" t="s">
        <v>367</v>
      </c>
      <c r="F400">
        <v>42</v>
      </c>
      <c r="G400" t="s">
        <v>22</v>
      </c>
      <c r="H400" t="s">
        <v>67</v>
      </c>
      <c r="I400" t="s">
        <v>196</v>
      </c>
      <c r="K400" t="s">
        <v>196</v>
      </c>
      <c r="L400">
        <v>2000496</v>
      </c>
      <c r="M400">
        <v>939</v>
      </c>
      <c r="N400">
        <v>1</v>
      </c>
      <c r="O400">
        <f t="shared" si="144"/>
        <v>2.34192037470726E-3</v>
      </c>
      <c r="P400">
        <v>10</v>
      </c>
      <c r="Q400">
        <f t="shared" si="145"/>
        <v>2.34192037470726E-3</v>
      </c>
      <c r="R400">
        <v>5.0000000000000001E-3</v>
      </c>
      <c r="S400">
        <f t="shared" si="152"/>
        <v>0.05</v>
      </c>
      <c r="T400">
        <f t="shared" si="146"/>
        <v>5.2521008403361364E-4</v>
      </c>
      <c r="U400">
        <f t="shared" si="147"/>
        <v>-1.4184505885781323E-2</v>
      </c>
      <c r="V400">
        <f t="shared" si="148"/>
        <v>1.5599999999999999E-2</v>
      </c>
      <c r="W400">
        <v>0.1</v>
      </c>
      <c r="X400">
        <f t="shared" si="149"/>
        <v>0.15599999999999997</v>
      </c>
      <c r="Y400">
        <v>3.7916666666666701</v>
      </c>
      <c r="Z400">
        <v>2.875</v>
      </c>
      <c r="AA400" t="s">
        <v>27</v>
      </c>
      <c r="AB400">
        <f t="shared" si="150"/>
        <v>7.7082004844971106</v>
      </c>
      <c r="AC400">
        <f t="shared" si="141"/>
        <v>11.313708498984759</v>
      </c>
      <c r="AE400">
        <v>1.45</v>
      </c>
      <c r="AF400">
        <v>2.0550000000000002</v>
      </c>
      <c r="AG400">
        <v>1.6666666666666701</v>
      </c>
      <c r="AH400">
        <f t="shared" si="151"/>
        <v>0.93380475555201747</v>
      </c>
      <c r="AI400">
        <f t="shared" si="142"/>
        <v>12.033929897876465</v>
      </c>
    </row>
    <row r="401" spans="1:35" x14ac:dyDescent="0.3">
      <c r="A401">
        <v>2023</v>
      </c>
      <c r="B401" t="s">
        <v>414</v>
      </c>
      <c r="C401" t="s">
        <v>365</v>
      </c>
      <c r="D401" t="s">
        <v>366</v>
      </c>
      <c r="E401" t="s">
        <v>367</v>
      </c>
      <c r="F401">
        <v>42</v>
      </c>
      <c r="G401" t="s">
        <v>22</v>
      </c>
      <c r="H401" t="s">
        <v>67</v>
      </c>
      <c r="I401" t="s">
        <v>372</v>
      </c>
      <c r="J401" t="s">
        <v>373</v>
      </c>
      <c r="K401" t="s">
        <v>374</v>
      </c>
      <c r="L401">
        <v>226734</v>
      </c>
      <c r="M401">
        <v>130641</v>
      </c>
      <c r="N401">
        <v>1</v>
      </c>
      <c r="O401">
        <f t="shared" si="144"/>
        <v>2.34192037470726E-3</v>
      </c>
      <c r="P401">
        <v>10</v>
      </c>
      <c r="Q401">
        <f t="shared" si="145"/>
        <v>2.34192037470726E-3</v>
      </c>
      <c r="R401">
        <v>5.0000000000000001E-3</v>
      </c>
      <c r="S401">
        <f t="shared" si="152"/>
        <v>0.05</v>
      </c>
      <c r="T401">
        <f t="shared" si="146"/>
        <v>5.2521008403361364E-4</v>
      </c>
      <c r="U401">
        <f t="shared" si="147"/>
        <v>-1.4184505885781323E-2</v>
      </c>
      <c r="V401">
        <f t="shared" si="148"/>
        <v>1.5599999999999999E-2</v>
      </c>
      <c r="W401">
        <v>0.1</v>
      </c>
      <c r="X401">
        <f t="shared" si="149"/>
        <v>0.15599999999999997</v>
      </c>
      <c r="Y401">
        <v>4</v>
      </c>
      <c r="Z401">
        <v>3</v>
      </c>
      <c r="AA401" t="s">
        <v>27</v>
      </c>
      <c r="AB401">
        <f t="shared" si="150"/>
        <v>8.4852813742385695</v>
      </c>
      <c r="AC401">
        <f t="shared" si="141"/>
        <v>11.313708498984759</v>
      </c>
      <c r="AE401">
        <v>1</v>
      </c>
      <c r="AF401">
        <v>2</v>
      </c>
      <c r="AG401">
        <v>1</v>
      </c>
      <c r="AH401">
        <f t="shared" si="151"/>
        <v>0.37606030930863954</v>
      </c>
      <c r="AI401">
        <f t="shared" si="142"/>
        <v>12.033929897876465</v>
      </c>
    </row>
    <row r="402" spans="1:35" x14ac:dyDescent="0.3">
      <c r="A402">
        <v>2023</v>
      </c>
      <c r="B402" t="s">
        <v>414</v>
      </c>
      <c r="C402" t="s">
        <v>365</v>
      </c>
      <c r="D402" t="s">
        <v>366</v>
      </c>
      <c r="E402" t="s">
        <v>367</v>
      </c>
      <c r="F402">
        <v>42</v>
      </c>
      <c r="G402" t="s">
        <v>22</v>
      </c>
      <c r="H402" t="s">
        <v>67</v>
      </c>
      <c r="I402" t="s">
        <v>76</v>
      </c>
      <c r="J402" t="s">
        <v>77</v>
      </c>
      <c r="K402" t="s">
        <v>78</v>
      </c>
      <c r="L402">
        <v>226852</v>
      </c>
      <c r="M402">
        <v>710680</v>
      </c>
      <c r="N402">
        <v>1</v>
      </c>
      <c r="O402">
        <f t="shared" si="144"/>
        <v>2.34192037470726E-3</v>
      </c>
      <c r="P402">
        <v>10</v>
      </c>
      <c r="Q402">
        <f t="shared" si="145"/>
        <v>2.34192037470726E-3</v>
      </c>
      <c r="R402">
        <v>5.0000000000000001E-3</v>
      </c>
      <c r="S402">
        <f t="shared" si="152"/>
        <v>0.05</v>
      </c>
      <c r="T402">
        <f t="shared" si="146"/>
        <v>5.2521008403361364E-4</v>
      </c>
      <c r="U402">
        <f t="shared" si="147"/>
        <v>-1.4184505885781323E-2</v>
      </c>
      <c r="V402">
        <f t="shared" si="148"/>
        <v>1.5599999999999999E-2</v>
      </c>
      <c r="W402">
        <v>0.1</v>
      </c>
      <c r="X402">
        <f t="shared" si="149"/>
        <v>0.15599999999999997</v>
      </c>
      <c r="Y402">
        <v>4</v>
      </c>
      <c r="Z402">
        <v>3</v>
      </c>
      <c r="AA402" t="s">
        <v>27</v>
      </c>
      <c r="AB402">
        <f t="shared" si="150"/>
        <v>8.4852813742385695</v>
      </c>
      <c r="AC402">
        <f t="shared" si="141"/>
        <v>11.313708498984759</v>
      </c>
      <c r="AE402">
        <v>1</v>
      </c>
      <c r="AF402">
        <v>2</v>
      </c>
      <c r="AG402">
        <v>1</v>
      </c>
      <c r="AH402">
        <f t="shared" si="151"/>
        <v>0.37606030930863954</v>
      </c>
      <c r="AI402">
        <f t="shared" si="142"/>
        <v>12.033929897876465</v>
      </c>
    </row>
    <row r="403" spans="1:35" x14ac:dyDescent="0.3">
      <c r="A403">
        <v>2023</v>
      </c>
      <c r="B403" t="s">
        <v>414</v>
      </c>
      <c r="C403" t="s">
        <v>365</v>
      </c>
      <c r="D403" t="s">
        <v>366</v>
      </c>
      <c r="E403" t="s">
        <v>367</v>
      </c>
      <c r="F403">
        <v>42</v>
      </c>
      <c r="G403" t="s">
        <v>79</v>
      </c>
      <c r="H403" t="s">
        <v>80</v>
      </c>
      <c r="I403" t="s">
        <v>81</v>
      </c>
      <c r="J403" t="s">
        <v>177</v>
      </c>
      <c r="K403" t="s">
        <v>178</v>
      </c>
      <c r="L403">
        <v>218350</v>
      </c>
      <c r="M403">
        <v>141662</v>
      </c>
      <c r="N403">
        <v>15</v>
      </c>
      <c r="O403">
        <f t="shared" si="144"/>
        <v>3.5128805620608897E-2</v>
      </c>
      <c r="P403">
        <v>150</v>
      </c>
      <c r="Q403">
        <f t="shared" si="145"/>
        <v>3.5128805620608897E-2</v>
      </c>
      <c r="R403">
        <v>0.09</v>
      </c>
      <c r="S403">
        <f t="shared" si="152"/>
        <v>0.89999999999999991</v>
      </c>
      <c r="T403">
        <f t="shared" si="146"/>
        <v>9.4537815126050431E-3</v>
      </c>
      <c r="U403">
        <f t="shared" si="147"/>
        <v>-0.11763701916134946</v>
      </c>
      <c r="V403">
        <f t="shared" si="148"/>
        <v>1.5599999999999999E-2</v>
      </c>
      <c r="W403">
        <v>0.1</v>
      </c>
      <c r="X403">
        <f t="shared" si="149"/>
        <v>0.15599999999999997</v>
      </c>
      <c r="Y403">
        <v>3</v>
      </c>
      <c r="Z403">
        <v>2</v>
      </c>
      <c r="AA403" t="s">
        <v>93</v>
      </c>
      <c r="AB403">
        <f t="shared" si="150"/>
        <v>69.713700231733498</v>
      </c>
      <c r="AC403">
        <f t="shared" si="141"/>
        <v>185.903200617956</v>
      </c>
      <c r="AE403">
        <v>3</v>
      </c>
      <c r="AF403">
        <v>3</v>
      </c>
      <c r="AG403">
        <v>3</v>
      </c>
      <c r="AH403">
        <f t="shared" si="151"/>
        <v>87.310899207029451</v>
      </c>
      <c r="AI403">
        <f t="shared" si="142"/>
        <v>206.95916849073649</v>
      </c>
    </row>
    <row r="404" spans="1:35" x14ac:dyDescent="0.3">
      <c r="A404">
        <v>2023</v>
      </c>
      <c r="B404" t="s">
        <v>414</v>
      </c>
      <c r="C404" t="s">
        <v>365</v>
      </c>
      <c r="D404" t="s">
        <v>366</v>
      </c>
      <c r="E404" t="s">
        <v>367</v>
      </c>
      <c r="F404">
        <v>42</v>
      </c>
      <c r="G404" t="s">
        <v>22</v>
      </c>
      <c r="H404" t="s">
        <v>135</v>
      </c>
      <c r="I404" t="s">
        <v>142</v>
      </c>
      <c r="J404" t="s">
        <v>143</v>
      </c>
      <c r="K404" t="s">
        <v>144</v>
      </c>
      <c r="L404">
        <v>227556</v>
      </c>
      <c r="M404">
        <v>146950</v>
      </c>
      <c r="N404">
        <v>2</v>
      </c>
      <c r="O404">
        <f t="shared" si="144"/>
        <v>4.6838407494145199E-3</v>
      </c>
      <c r="P404">
        <v>20</v>
      </c>
      <c r="Q404">
        <f t="shared" si="145"/>
        <v>4.6838407494145199E-3</v>
      </c>
      <c r="R404">
        <v>5.0000000000000001E-3</v>
      </c>
      <c r="S404">
        <f t="shared" si="152"/>
        <v>0.05</v>
      </c>
      <c r="T404">
        <f t="shared" si="146"/>
        <v>5.2521008403361364E-4</v>
      </c>
      <c r="U404">
        <f t="shared" si="147"/>
        <v>-2.5122420761914191E-2</v>
      </c>
      <c r="V404">
        <f t="shared" si="148"/>
        <v>1.5599999999999999E-2</v>
      </c>
      <c r="W404">
        <v>0.1</v>
      </c>
      <c r="X404">
        <f t="shared" si="149"/>
        <v>0.15599999999999997</v>
      </c>
      <c r="Y404">
        <v>3</v>
      </c>
      <c r="Z404">
        <v>1</v>
      </c>
      <c r="AA404" t="s">
        <v>93</v>
      </c>
      <c r="AB404">
        <f t="shared" si="150"/>
        <v>3</v>
      </c>
      <c r="AC404">
        <f t="shared" si="141"/>
        <v>16</v>
      </c>
      <c r="AE404">
        <v>3</v>
      </c>
      <c r="AF404">
        <v>3</v>
      </c>
      <c r="AG404">
        <v>1</v>
      </c>
      <c r="AH404">
        <f t="shared" si="151"/>
        <v>2.0124611797498106</v>
      </c>
      <c r="AI404">
        <f t="shared" si="142"/>
        <v>14.310835055998654</v>
      </c>
    </row>
    <row r="405" spans="1:35" x14ac:dyDescent="0.3">
      <c r="A405">
        <v>2023</v>
      </c>
      <c r="B405" t="s">
        <v>414</v>
      </c>
      <c r="C405" t="s">
        <v>365</v>
      </c>
      <c r="D405" t="s">
        <v>366</v>
      </c>
      <c r="E405" t="s">
        <v>367</v>
      </c>
      <c r="F405">
        <v>42</v>
      </c>
      <c r="G405" t="s">
        <v>94</v>
      </c>
      <c r="H405" t="s">
        <v>95</v>
      </c>
      <c r="J405" t="s">
        <v>95</v>
      </c>
      <c r="K405" t="s">
        <v>95</v>
      </c>
      <c r="L405">
        <v>4000019</v>
      </c>
      <c r="M405">
        <v>2853</v>
      </c>
      <c r="N405">
        <v>1</v>
      </c>
      <c r="O405">
        <f t="shared" si="144"/>
        <v>2.34192037470726E-3</v>
      </c>
      <c r="P405">
        <v>10</v>
      </c>
      <c r="Q405">
        <f t="shared" si="145"/>
        <v>2.34192037470726E-3</v>
      </c>
      <c r="R405">
        <v>0.06</v>
      </c>
      <c r="S405">
        <f t="shared" si="152"/>
        <v>0.6</v>
      </c>
      <c r="T405">
        <f t="shared" si="146"/>
        <v>6.3025210084033624E-3</v>
      </c>
      <c r="U405">
        <f t="shared" si="147"/>
        <v>-1.4184505885781323E-2</v>
      </c>
      <c r="V405">
        <f t="shared" si="148"/>
        <v>1.5599999999999999E-2</v>
      </c>
      <c r="W405">
        <v>0.1</v>
      </c>
      <c r="X405">
        <f t="shared" si="149"/>
        <v>0.15599999999999997</v>
      </c>
      <c r="Y405">
        <v>1</v>
      </c>
      <c r="Z405">
        <v>2</v>
      </c>
      <c r="AA405" t="s">
        <v>66</v>
      </c>
      <c r="AB405">
        <f t="shared" si="150"/>
        <v>4.8989794855663558</v>
      </c>
      <c r="AC405">
        <f t="shared" si="141"/>
        <v>39.191835884530846</v>
      </c>
      <c r="AE405">
        <v>1</v>
      </c>
      <c r="AF405">
        <v>2</v>
      </c>
      <c r="AG405">
        <v>1</v>
      </c>
      <c r="AH405">
        <f t="shared" si="151"/>
        <v>2.4246186056119474</v>
      </c>
      <c r="AI405">
        <f t="shared" si="142"/>
        <v>77.587795379582317</v>
      </c>
    </row>
    <row r="406" spans="1:35" x14ac:dyDescent="0.3">
      <c r="A406">
        <v>2023</v>
      </c>
      <c r="B406" t="s">
        <v>414</v>
      </c>
      <c r="C406" t="s">
        <v>365</v>
      </c>
      <c r="D406" t="s">
        <v>366</v>
      </c>
      <c r="E406" t="s">
        <v>367</v>
      </c>
      <c r="F406">
        <v>42</v>
      </c>
      <c r="G406" t="s">
        <v>22</v>
      </c>
      <c r="H406" t="s">
        <v>96</v>
      </c>
      <c r="I406" t="s">
        <v>312</v>
      </c>
      <c r="J406" t="s">
        <v>313</v>
      </c>
      <c r="K406" t="s">
        <v>314</v>
      </c>
      <c r="L406">
        <v>227369</v>
      </c>
      <c r="M406">
        <v>131576</v>
      </c>
      <c r="N406">
        <v>42</v>
      </c>
      <c r="O406">
        <f t="shared" si="144"/>
        <v>9.8360655737704916E-2</v>
      </c>
      <c r="P406">
        <v>420</v>
      </c>
      <c r="Q406">
        <f t="shared" si="145"/>
        <v>9.8360655737704916E-2</v>
      </c>
      <c r="R406">
        <v>1.81</v>
      </c>
      <c r="S406">
        <f t="shared" si="152"/>
        <v>18.100000000000001</v>
      </c>
      <c r="T406">
        <f t="shared" si="146"/>
        <v>0.19012605042016814</v>
      </c>
      <c r="U406">
        <f t="shared" si="147"/>
        <v>-0.22810961261756621</v>
      </c>
      <c r="V406">
        <f t="shared" si="148"/>
        <v>1.5599999999999999E-2</v>
      </c>
      <c r="W406">
        <v>0.1</v>
      </c>
      <c r="X406">
        <f t="shared" si="149"/>
        <v>0.15599999999999997</v>
      </c>
      <c r="Y406">
        <v>2</v>
      </c>
      <c r="Z406">
        <v>2</v>
      </c>
      <c r="AA406" t="s">
        <v>50</v>
      </c>
      <c r="AB406">
        <f t="shared" si="150"/>
        <v>348.75779561179706</v>
      </c>
      <c r="AC406">
        <f t="shared" si="141"/>
        <v>1395.0311824471883</v>
      </c>
      <c r="AE406">
        <v>3</v>
      </c>
      <c r="AF406">
        <v>3</v>
      </c>
      <c r="AG406">
        <v>1</v>
      </c>
      <c r="AH406">
        <f t="shared" si="151"/>
        <v>357.53104905254577</v>
      </c>
      <c r="AI406">
        <f t="shared" si="142"/>
        <v>2542.4430154847701</v>
      </c>
    </row>
    <row r="407" spans="1:35" x14ac:dyDescent="0.3">
      <c r="A407">
        <v>2023</v>
      </c>
      <c r="B407" t="s">
        <v>414</v>
      </c>
      <c r="C407" t="s">
        <v>365</v>
      </c>
      <c r="D407" t="s">
        <v>366</v>
      </c>
      <c r="E407" t="s">
        <v>367</v>
      </c>
      <c r="F407">
        <v>42</v>
      </c>
      <c r="I407" t="s">
        <v>233</v>
      </c>
      <c r="J407" t="s">
        <v>234</v>
      </c>
      <c r="K407" t="s">
        <v>235</v>
      </c>
      <c r="L407">
        <v>233593</v>
      </c>
      <c r="M407">
        <v>101160</v>
      </c>
      <c r="N407">
        <v>2</v>
      </c>
      <c r="O407">
        <f t="shared" si="144"/>
        <v>4.6838407494145199E-3</v>
      </c>
      <c r="P407">
        <v>20</v>
      </c>
      <c r="Q407">
        <f t="shared" si="145"/>
        <v>4.6838407494145199E-3</v>
      </c>
      <c r="R407">
        <v>2.7</v>
      </c>
      <c r="S407">
        <f t="shared" si="152"/>
        <v>27</v>
      </c>
      <c r="T407">
        <f t="shared" si="146"/>
        <v>0.28361344537815136</v>
      </c>
      <c r="U407">
        <f t="shared" si="147"/>
        <v>-2.5122420761914191E-2</v>
      </c>
      <c r="V407">
        <f t="shared" si="148"/>
        <v>1.5599999999999999E-2</v>
      </c>
      <c r="W407">
        <v>0.1</v>
      </c>
      <c r="X407">
        <f t="shared" si="149"/>
        <v>0.15599999999999997</v>
      </c>
      <c r="Y407">
        <v>3</v>
      </c>
      <c r="Z407">
        <v>2</v>
      </c>
      <c r="AA407" t="s">
        <v>50</v>
      </c>
      <c r="AB407">
        <f t="shared" si="150"/>
        <v>139.42740046346702</v>
      </c>
      <c r="AC407">
        <f t="shared" si="141"/>
        <v>371.80640123591206</v>
      </c>
      <c r="AE407">
        <v>2.5</v>
      </c>
      <c r="AF407">
        <v>2</v>
      </c>
      <c r="AG407">
        <v>1</v>
      </c>
      <c r="AH407">
        <f t="shared" si="151"/>
        <v>125.24209576711833</v>
      </c>
      <c r="AI407">
        <f t="shared" si="142"/>
        <v>1603.0988258191146</v>
      </c>
    </row>
    <row r="408" spans="1:35" x14ac:dyDescent="0.3">
      <c r="A408">
        <v>2023</v>
      </c>
      <c r="B408" t="s">
        <v>414</v>
      </c>
      <c r="C408" t="s">
        <v>365</v>
      </c>
      <c r="D408" t="s">
        <v>366</v>
      </c>
      <c r="E408" t="s">
        <v>367</v>
      </c>
      <c r="F408">
        <v>42</v>
      </c>
      <c r="G408" t="s">
        <v>28</v>
      </c>
      <c r="H408" t="s">
        <v>29</v>
      </c>
      <c r="I408" t="s">
        <v>279</v>
      </c>
      <c r="J408" t="s">
        <v>280</v>
      </c>
      <c r="K408" t="s">
        <v>281</v>
      </c>
      <c r="L408">
        <v>217707</v>
      </c>
      <c r="M408">
        <v>124929</v>
      </c>
      <c r="N408">
        <v>4</v>
      </c>
      <c r="O408">
        <f t="shared" si="144"/>
        <v>9.3676814988290398E-3</v>
      </c>
      <c r="P408">
        <v>40</v>
      </c>
      <c r="Q408">
        <f t="shared" si="145"/>
        <v>9.3676814988290398E-3</v>
      </c>
      <c r="R408">
        <v>1.76</v>
      </c>
      <c r="S408">
        <f t="shared" si="152"/>
        <v>17.600000000000001</v>
      </c>
      <c r="T408">
        <f t="shared" si="146"/>
        <v>0.184873949579832</v>
      </c>
      <c r="U408">
        <f t="shared" si="147"/>
        <v>-4.3751659504531464E-2</v>
      </c>
      <c r="V408">
        <f t="shared" si="148"/>
        <v>1.5599999999999999E-2</v>
      </c>
      <c r="W408">
        <v>0.1</v>
      </c>
      <c r="X408">
        <f t="shared" si="149"/>
        <v>0.15599999999999997</v>
      </c>
      <c r="Y408">
        <v>2</v>
      </c>
      <c r="Z408">
        <v>2</v>
      </c>
      <c r="AA408" t="s">
        <v>50</v>
      </c>
      <c r="AB408">
        <f t="shared" si="150"/>
        <v>106.13199329137281</v>
      </c>
      <c r="AC408">
        <f t="shared" si="141"/>
        <v>424.52797316549123</v>
      </c>
      <c r="AE408">
        <v>1</v>
      </c>
      <c r="AF408">
        <v>3</v>
      </c>
      <c r="AG408">
        <v>1</v>
      </c>
      <c r="AH408">
        <f t="shared" si="151"/>
        <v>64.829213587227514</v>
      </c>
      <c r="AI408">
        <f t="shared" si="142"/>
        <v>1383.0232231941868</v>
      </c>
    </row>
    <row r="409" spans="1:35" x14ac:dyDescent="0.3">
      <c r="A409">
        <v>2023</v>
      </c>
      <c r="B409" t="s">
        <v>414</v>
      </c>
      <c r="C409" t="s">
        <v>365</v>
      </c>
      <c r="D409" t="s">
        <v>366</v>
      </c>
      <c r="E409" t="s">
        <v>367</v>
      </c>
      <c r="F409">
        <v>42</v>
      </c>
      <c r="G409" t="s">
        <v>79</v>
      </c>
      <c r="H409" t="s">
        <v>245</v>
      </c>
      <c r="I409" t="s">
        <v>246</v>
      </c>
      <c r="J409" t="s">
        <v>247</v>
      </c>
      <c r="K409" t="s">
        <v>248</v>
      </c>
      <c r="L409">
        <v>218231</v>
      </c>
      <c r="M409">
        <v>140589</v>
      </c>
      <c r="N409">
        <v>16</v>
      </c>
      <c r="O409">
        <f t="shared" si="144"/>
        <v>3.7470725995316159E-2</v>
      </c>
      <c r="P409">
        <v>160</v>
      </c>
      <c r="Q409">
        <f t="shared" si="145"/>
        <v>3.7470725995316159E-2</v>
      </c>
      <c r="R409">
        <v>0.2</v>
      </c>
      <c r="S409">
        <f t="shared" si="152"/>
        <v>2</v>
      </c>
      <c r="T409">
        <f t="shared" si="146"/>
        <v>2.1008403361344543E-2</v>
      </c>
      <c r="U409">
        <f t="shared" si="147"/>
        <v>-0.12306118186375056</v>
      </c>
      <c r="V409">
        <f t="shared" si="148"/>
        <v>1.5599999999999999E-2</v>
      </c>
      <c r="W409">
        <v>0.1</v>
      </c>
      <c r="X409">
        <f t="shared" si="149"/>
        <v>0.15599999999999997</v>
      </c>
      <c r="Y409">
        <v>2</v>
      </c>
      <c r="Z409">
        <v>3</v>
      </c>
      <c r="AA409" t="s">
        <v>50</v>
      </c>
      <c r="AB409">
        <f t="shared" si="150"/>
        <v>107.33126291998991</v>
      </c>
      <c r="AC409">
        <f t="shared" si="141"/>
        <v>286.2167011199731</v>
      </c>
      <c r="AE409">
        <v>3</v>
      </c>
      <c r="AF409">
        <v>3</v>
      </c>
      <c r="AG409">
        <v>1</v>
      </c>
      <c r="AH409">
        <f t="shared" si="151"/>
        <v>53.832556123963954</v>
      </c>
      <c r="AI409">
        <f t="shared" si="142"/>
        <v>382.80928799263256</v>
      </c>
    </row>
    <row r="410" spans="1:35" x14ac:dyDescent="0.3">
      <c r="A410">
        <v>2023</v>
      </c>
      <c r="B410" t="s">
        <v>414</v>
      </c>
      <c r="C410" t="s">
        <v>365</v>
      </c>
      <c r="D410" t="s">
        <v>366</v>
      </c>
      <c r="E410" t="s">
        <v>367</v>
      </c>
      <c r="F410">
        <v>42</v>
      </c>
      <c r="G410" t="s">
        <v>79</v>
      </c>
      <c r="H410" t="s">
        <v>113</v>
      </c>
      <c r="I410" t="s">
        <v>123</v>
      </c>
      <c r="J410" t="s">
        <v>124</v>
      </c>
      <c r="K410" t="s">
        <v>125</v>
      </c>
      <c r="L410">
        <v>218310</v>
      </c>
      <c r="M410">
        <v>141435</v>
      </c>
      <c r="N410">
        <v>114</v>
      </c>
      <c r="O410">
        <f t="shared" si="144"/>
        <v>0.26697892271662765</v>
      </c>
      <c r="P410">
        <v>1140</v>
      </c>
      <c r="Q410">
        <f t="shared" si="145"/>
        <v>0.26697892271662765</v>
      </c>
      <c r="R410">
        <v>0.68</v>
      </c>
      <c r="S410">
        <f t="shared" si="152"/>
        <v>6.8000000000000007</v>
      </c>
      <c r="T410">
        <f t="shared" si="146"/>
        <v>7.1428571428571452E-2</v>
      </c>
      <c r="U410">
        <f t="shared" si="147"/>
        <v>-0.35256851145454499</v>
      </c>
      <c r="V410">
        <f t="shared" si="148"/>
        <v>1.5599999999999999E-2</v>
      </c>
      <c r="W410">
        <v>0.1</v>
      </c>
      <c r="X410">
        <f t="shared" si="149"/>
        <v>0.15599999999999997</v>
      </c>
      <c r="Y410">
        <v>2</v>
      </c>
      <c r="Z410">
        <v>2</v>
      </c>
      <c r="AA410" t="s">
        <v>50</v>
      </c>
      <c r="AB410">
        <f t="shared" si="150"/>
        <v>352.18177124888228</v>
      </c>
      <c r="AC410">
        <f t="shared" si="141"/>
        <v>1408.7270849955291</v>
      </c>
      <c r="AE410">
        <v>1</v>
      </c>
      <c r="AF410">
        <v>1</v>
      </c>
      <c r="AG410">
        <v>2</v>
      </c>
      <c r="AH410">
        <f t="shared" si="151"/>
        <v>48.937062074591303</v>
      </c>
      <c r="AI410">
        <f t="shared" si="142"/>
        <v>1565.9859863869217</v>
      </c>
    </row>
    <row r="411" spans="1:35" x14ac:dyDescent="0.3">
      <c r="A411">
        <v>2023</v>
      </c>
      <c r="B411" t="s">
        <v>414</v>
      </c>
      <c r="C411" t="s">
        <v>365</v>
      </c>
      <c r="D411" t="s">
        <v>366</v>
      </c>
      <c r="E411" t="s">
        <v>367</v>
      </c>
      <c r="F411">
        <v>42</v>
      </c>
      <c r="G411" t="s">
        <v>45</v>
      </c>
      <c r="H411" t="s">
        <v>46</v>
      </c>
      <c r="I411" t="s">
        <v>47</v>
      </c>
      <c r="J411" t="s">
        <v>48</v>
      </c>
      <c r="K411" t="s">
        <v>49</v>
      </c>
      <c r="L411">
        <v>218099</v>
      </c>
      <c r="M411">
        <v>139476</v>
      </c>
      <c r="N411">
        <v>16</v>
      </c>
      <c r="O411">
        <f t="shared" si="144"/>
        <v>3.7470725995316159E-2</v>
      </c>
      <c r="P411">
        <v>160</v>
      </c>
      <c r="Q411">
        <f t="shared" si="145"/>
        <v>3.7470725995316159E-2</v>
      </c>
      <c r="R411">
        <v>0.08</v>
      </c>
      <c r="S411">
        <f t="shared" si="152"/>
        <v>0.8</v>
      </c>
      <c r="T411">
        <f t="shared" si="146"/>
        <v>8.4033613445378182E-3</v>
      </c>
      <c r="U411">
        <f t="shared" si="147"/>
        <v>-0.12306118186375056</v>
      </c>
      <c r="V411">
        <f t="shared" si="148"/>
        <v>1.5599999999999999E-2</v>
      </c>
      <c r="W411">
        <v>0.1</v>
      </c>
      <c r="X411">
        <f t="shared" si="149"/>
        <v>0.15599999999999997</v>
      </c>
      <c r="Y411">
        <v>2</v>
      </c>
      <c r="Z411">
        <v>3</v>
      </c>
      <c r="AA411" t="s">
        <v>50</v>
      </c>
      <c r="AB411">
        <f t="shared" si="150"/>
        <v>67.882250993908556</v>
      </c>
      <c r="AC411">
        <f t="shared" si="141"/>
        <v>181.01933598375615</v>
      </c>
      <c r="AE411">
        <v>3</v>
      </c>
      <c r="AF411">
        <v>2</v>
      </c>
      <c r="AG411">
        <v>2</v>
      </c>
      <c r="AH411">
        <f t="shared" si="151"/>
        <v>36.101789693629399</v>
      </c>
      <c r="AI411">
        <f t="shared" si="142"/>
        <v>192.54287836602344</v>
      </c>
    </row>
    <row r="412" spans="1:35" x14ac:dyDescent="0.3">
      <c r="A412">
        <v>2023</v>
      </c>
      <c r="B412" t="s">
        <v>414</v>
      </c>
      <c r="C412" t="s">
        <v>365</v>
      </c>
      <c r="D412" t="s">
        <v>366</v>
      </c>
      <c r="E412" t="s">
        <v>367</v>
      </c>
      <c r="F412">
        <v>42</v>
      </c>
      <c r="G412" t="s">
        <v>79</v>
      </c>
      <c r="H412" t="s">
        <v>113</v>
      </c>
      <c r="I412" t="s">
        <v>114</v>
      </c>
      <c r="J412" t="s">
        <v>191</v>
      </c>
      <c r="K412" t="s">
        <v>192</v>
      </c>
      <c r="L412">
        <v>218286</v>
      </c>
      <c r="M412">
        <v>345281</v>
      </c>
      <c r="N412">
        <v>16</v>
      </c>
      <c r="O412">
        <f t="shared" si="144"/>
        <v>3.7470725995316159E-2</v>
      </c>
      <c r="P412">
        <v>160</v>
      </c>
      <c r="Q412">
        <f t="shared" si="145"/>
        <v>3.7470725995316159E-2</v>
      </c>
      <c r="R412">
        <v>0.02</v>
      </c>
      <c r="S412">
        <f t="shared" si="152"/>
        <v>0.2</v>
      </c>
      <c r="T412">
        <f t="shared" si="146"/>
        <v>2.1008403361344546E-3</v>
      </c>
      <c r="U412">
        <f t="shared" si="147"/>
        <v>-0.12306118186375056</v>
      </c>
      <c r="V412">
        <f t="shared" si="148"/>
        <v>1.5599999999999999E-2</v>
      </c>
      <c r="W412">
        <v>0.1</v>
      </c>
      <c r="X412">
        <f t="shared" si="149"/>
        <v>0.15599999999999997</v>
      </c>
      <c r="Y412">
        <v>2</v>
      </c>
      <c r="Z412">
        <v>2</v>
      </c>
      <c r="AA412" t="s">
        <v>50</v>
      </c>
      <c r="AB412">
        <f t="shared" si="150"/>
        <v>22.627416997969519</v>
      </c>
      <c r="AC412">
        <f t="shared" si="141"/>
        <v>90.509667991878075</v>
      </c>
      <c r="AE412">
        <v>2</v>
      </c>
      <c r="AF412">
        <v>4</v>
      </c>
      <c r="AG412">
        <v>3</v>
      </c>
      <c r="AH412">
        <f t="shared" si="151"/>
        <v>25.52782030533595</v>
      </c>
      <c r="AI412">
        <f t="shared" si="142"/>
        <v>68.074187480895873</v>
      </c>
    </row>
    <row r="413" spans="1:35" x14ac:dyDescent="0.3">
      <c r="A413">
        <v>2023</v>
      </c>
      <c r="B413" t="s">
        <v>414</v>
      </c>
      <c r="C413" t="s">
        <v>365</v>
      </c>
      <c r="D413" t="s">
        <v>366</v>
      </c>
      <c r="E413" t="s">
        <v>367</v>
      </c>
      <c r="F413">
        <v>42</v>
      </c>
      <c r="G413" t="s">
        <v>79</v>
      </c>
      <c r="H413" t="s">
        <v>215</v>
      </c>
      <c r="I413" t="s">
        <v>216</v>
      </c>
      <c r="J413" t="s">
        <v>217</v>
      </c>
      <c r="K413" t="s">
        <v>218</v>
      </c>
      <c r="L413">
        <v>218266</v>
      </c>
      <c r="M413">
        <v>139410</v>
      </c>
      <c r="N413">
        <v>32</v>
      </c>
      <c r="O413">
        <f t="shared" si="144"/>
        <v>7.4941451990632318E-2</v>
      </c>
      <c r="P413">
        <v>320</v>
      </c>
      <c r="Q413">
        <f t="shared" si="145"/>
        <v>7.4941451990632318E-2</v>
      </c>
      <c r="R413">
        <v>0.1</v>
      </c>
      <c r="S413">
        <f t="shared" si="152"/>
        <v>1</v>
      </c>
      <c r="T413">
        <f t="shared" si="146"/>
        <v>1.0504201680672271E-2</v>
      </c>
      <c r="U413">
        <f t="shared" si="147"/>
        <v>-0.19417690757312583</v>
      </c>
      <c r="V413">
        <f t="shared" si="148"/>
        <v>1.5599999999999999E-2</v>
      </c>
      <c r="W413">
        <v>0.1</v>
      </c>
      <c r="X413">
        <f t="shared" si="149"/>
        <v>0.15599999999999997</v>
      </c>
      <c r="Y413">
        <v>2</v>
      </c>
      <c r="Z413">
        <v>2</v>
      </c>
      <c r="AA413" t="s">
        <v>50</v>
      </c>
      <c r="AB413">
        <f t="shared" si="150"/>
        <v>71.554175279993274</v>
      </c>
      <c r="AC413">
        <f t="shared" si="141"/>
        <v>286.2167011199731</v>
      </c>
      <c r="AE413">
        <v>2.5</v>
      </c>
      <c r="AF413">
        <v>1</v>
      </c>
      <c r="AG413">
        <v>2</v>
      </c>
      <c r="AH413">
        <f t="shared" si="151"/>
        <v>21.147425268811286</v>
      </c>
      <c r="AI413">
        <f t="shared" si="142"/>
        <v>270.68704344078446</v>
      </c>
    </row>
    <row r="414" spans="1:35" x14ac:dyDescent="0.3">
      <c r="A414">
        <v>2023</v>
      </c>
      <c r="B414" t="s">
        <v>414</v>
      </c>
      <c r="C414" t="s">
        <v>365</v>
      </c>
      <c r="D414" t="s">
        <v>366</v>
      </c>
      <c r="E414" t="s">
        <v>367</v>
      </c>
      <c r="F414">
        <v>42</v>
      </c>
      <c r="G414" t="s">
        <v>45</v>
      </c>
      <c r="H414" t="s">
        <v>71</v>
      </c>
      <c r="I414" t="s">
        <v>72</v>
      </c>
      <c r="J414" t="s">
        <v>73</v>
      </c>
      <c r="K414" t="s">
        <v>74</v>
      </c>
      <c r="L414">
        <v>217978</v>
      </c>
      <c r="M414">
        <v>140129</v>
      </c>
      <c r="N414">
        <v>56</v>
      </c>
      <c r="O414">
        <f t="shared" si="144"/>
        <v>0.13114754098360656</v>
      </c>
      <c r="P414">
        <v>560</v>
      </c>
      <c r="Q414">
        <f t="shared" si="145"/>
        <v>0.13114754098360656</v>
      </c>
      <c r="R414">
        <v>0.1</v>
      </c>
      <c r="S414">
        <f t="shared" si="152"/>
        <v>1</v>
      </c>
      <c r="T414">
        <f t="shared" si="146"/>
        <v>1.0504201680672271E-2</v>
      </c>
      <c r="U414">
        <f t="shared" si="147"/>
        <v>-0.2664173537696361</v>
      </c>
      <c r="V414">
        <f t="shared" si="148"/>
        <v>1.5599999999999999E-2</v>
      </c>
      <c r="W414">
        <v>0.1</v>
      </c>
      <c r="X414">
        <f t="shared" si="149"/>
        <v>0.15599999999999997</v>
      </c>
      <c r="Y414">
        <v>2</v>
      </c>
      <c r="Z414">
        <v>3</v>
      </c>
      <c r="AA414" t="s">
        <v>50</v>
      </c>
      <c r="AB414">
        <f t="shared" si="150"/>
        <v>141.98591479439077</v>
      </c>
      <c r="AC414">
        <f t="shared" si="141"/>
        <v>378.62910611837538</v>
      </c>
      <c r="AE414">
        <v>1</v>
      </c>
      <c r="AF414">
        <v>3</v>
      </c>
      <c r="AG414">
        <v>1</v>
      </c>
      <c r="AH414">
        <f t="shared" si="151"/>
        <v>14.593795674586719</v>
      </c>
      <c r="AI414">
        <f t="shared" si="142"/>
        <v>311.33430772451669</v>
      </c>
    </row>
    <row r="415" spans="1:35" x14ac:dyDescent="0.3">
      <c r="A415">
        <v>2023</v>
      </c>
      <c r="B415" t="s">
        <v>414</v>
      </c>
      <c r="C415" t="s">
        <v>365</v>
      </c>
      <c r="D415" t="s">
        <v>366</v>
      </c>
      <c r="E415" t="s">
        <v>367</v>
      </c>
      <c r="F415">
        <v>42</v>
      </c>
      <c r="G415" t="s">
        <v>28</v>
      </c>
      <c r="H415" t="s">
        <v>29</v>
      </c>
      <c r="I415" t="s">
        <v>279</v>
      </c>
      <c r="J415" t="s">
        <v>280</v>
      </c>
      <c r="K415" t="s">
        <v>280</v>
      </c>
      <c r="L415">
        <v>1004770</v>
      </c>
      <c r="M415">
        <v>123574</v>
      </c>
      <c r="N415">
        <v>6</v>
      </c>
      <c r="O415">
        <f t="shared" si="144"/>
        <v>1.405152224824356E-2</v>
      </c>
      <c r="P415">
        <v>60</v>
      </c>
      <c r="Q415">
        <f t="shared" si="145"/>
        <v>1.405152224824356E-2</v>
      </c>
      <c r="R415">
        <v>0.12</v>
      </c>
      <c r="S415">
        <f t="shared" si="152"/>
        <v>1.2</v>
      </c>
      <c r="T415">
        <f t="shared" si="146"/>
        <v>1.2605042016806725E-2</v>
      </c>
      <c r="U415">
        <f t="shared" si="147"/>
        <v>-5.9930087269328844E-2</v>
      </c>
      <c r="V415">
        <f t="shared" si="148"/>
        <v>1.5599999999999999E-2</v>
      </c>
      <c r="W415">
        <v>0.1</v>
      </c>
      <c r="X415">
        <f t="shared" si="149"/>
        <v>0.15599999999999997</v>
      </c>
      <c r="Y415">
        <v>2</v>
      </c>
      <c r="Z415">
        <v>2</v>
      </c>
      <c r="AA415" t="s">
        <v>50</v>
      </c>
      <c r="AB415">
        <f t="shared" si="150"/>
        <v>33.941125496954278</v>
      </c>
      <c r="AC415">
        <f t="shared" si="141"/>
        <v>135.76450198781711</v>
      </c>
      <c r="AE415">
        <v>1</v>
      </c>
      <c r="AF415">
        <v>3</v>
      </c>
      <c r="AG415">
        <v>1</v>
      </c>
      <c r="AH415">
        <f t="shared" si="151"/>
        <v>9.5729326145009814</v>
      </c>
      <c r="AI415">
        <f t="shared" si="142"/>
        <v>204.2225624426876</v>
      </c>
    </row>
    <row r="416" spans="1:35" x14ac:dyDescent="0.3">
      <c r="A416">
        <v>2023</v>
      </c>
      <c r="B416" t="s">
        <v>414</v>
      </c>
      <c r="C416" t="s">
        <v>365</v>
      </c>
      <c r="D416" t="s">
        <v>366</v>
      </c>
      <c r="E416" t="s">
        <v>367</v>
      </c>
      <c r="F416">
        <v>42</v>
      </c>
      <c r="G416" t="s">
        <v>28</v>
      </c>
      <c r="H416" t="s">
        <v>29</v>
      </c>
      <c r="I416" t="s">
        <v>279</v>
      </c>
      <c r="J416" t="s">
        <v>280</v>
      </c>
      <c r="K416" t="s">
        <v>304</v>
      </c>
      <c r="L416">
        <v>217706</v>
      </c>
      <c r="M416">
        <v>124913</v>
      </c>
      <c r="N416">
        <v>1</v>
      </c>
      <c r="O416">
        <f t="shared" si="144"/>
        <v>2.34192037470726E-3</v>
      </c>
      <c r="P416">
        <v>10</v>
      </c>
      <c r="Q416">
        <f t="shared" si="145"/>
        <v>2.34192037470726E-3</v>
      </c>
      <c r="R416">
        <v>0.1</v>
      </c>
      <c r="S416">
        <f t="shared" si="152"/>
        <v>1</v>
      </c>
      <c r="T416">
        <f t="shared" si="146"/>
        <v>1.0504201680672271E-2</v>
      </c>
      <c r="U416">
        <f t="shared" si="147"/>
        <v>-1.4184505885781323E-2</v>
      </c>
      <c r="V416">
        <f t="shared" si="148"/>
        <v>1.5599999999999999E-2</v>
      </c>
      <c r="W416">
        <v>0.1</v>
      </c>
      <c r="X416">
        <f t="shared" si="149"/>
        <v>0.15599999999999997</v>
      </c>
      <c r="Y416">
        <v>2</v>
      </c>
      <c r="Z416">
        <v>2</v>
      </c>
      <c r="AA416" t="s">
        <v>50</v>
      </c>
      <c r="AB416">
        <f t="shared" si="150"/>
        <v>12.649110640673518</v>
      </c>
      <c r="AC416">
        <f t="shared" si="141"/>
        <v>50.596442562694072</v>
      </c>
      <c r="AE416">
        <v>1</v>
      </c>
      <c r="AF416">
        <v>3</v>
      </c>
      <c r="AG416">
        <v>1</v>
      </c>
      <c r="AH416">
        <f t="shared" si="151"/>
        <v>5.3348382301167687</v>
      </c>
      <c r="AI416">
        <f t="shared" si="142"/>
        <v>113.80988224249107</v>
      </c>
    </row>
    <row r="417" spans="1:36" x14ac:dyDescent="0.3">
      <c r="A417">
        <v>2023</v>
      </c>
      <c r="B417" t="s">
        <v>414</v>
      </c>
      <c r="C417" t="s">
        <v>365</v>
      </c>
      <c r="D417" t="s">
        <v>366</v>
      </c>
      <c r="E417" t="s">
        <v>367</v>
      </c>
      <c r="F417">
        <v>42</v>
      </c>
      <c r="I417" t="s">
        <v>230</v>
      </c>
      <c r="J417" t="s">
        <v>231</v>
      </c>
      <c r="K417" t="s">
        <v>232</v>
      </c>
      <c r="L417">
        <v>233581</v>
      </c>
      <c r="M417">
        <v>128549</v>
      </c>
      <c r="N417">
        <v>5</v>
      </c>
      <c r="O417">
        <f t="shared" si="144"/>
        <v>1.1709601873536301E-2</v>
      </c>
      <c r="P417">
        <v>50</v>
      </c>
      <c r="Q417">
        <f t="shared" si="145"/>
        <v>1.1709601873536301E-2</v>
      </c>
      <c r="R417">
        <v>0.02</v>
      </c>
      <c r="S417">
        <f t="shared" si="152"/>
        <v>0.2</v>
      </c>
      <c r="T417">
        <f t="shared" si="146"/>
        <v>2.1008403361344546E-3</v>
      </c>
      <c r="U417">
        <f t="shared" si="147"/>
        <v>-5.2076652234127926E-2</v>
      </c>
      <c r="V417">
        <f t="shared" si="148"/>
        <v>1.5599999999999999E-2</v>
      </c>
      <c r="W417">
        <v>0.1</v>
      </c>
      <c r="X417">
        <f t="shared" si="149"/>
        <v>0.15599999999999997</v>
      </c>
      <c r="Y417">
        <v>2</v>
      </c>
      <c r="Z417">
        <v>1</v>
      </c>
      <c r="AA417" t="s">
        <v>50</v>
      </c>
      <c r="AB417">
        <f t="shared" si="150"/>
        <v>6.3245553203367582</v>
      </c>
      <c r="AC417">
        <f t="shared" si="141"/>
        <v>50.596442562694065</v>
      </c>
      <c r="AE417">
        <v>3</v>
      </c>
      <c r="AF417">
        <v>2</v>
      </c>
      <c r="AG417">
        <v>1</v>
      </c>
      <c r="AH417">
        <f t="shared" si="151"/>
        <v>4.7716243726023055</v>
      </c>
      <c r="AI417">
        <f t="shared" si="142"/>
        <v>50.897326641091254</v>
      </c>
    </row>
    <row r="418" spans="1:36" x14ac:dyDescent="0.3">
      <c r="A418">
        <v>2023</v>
      </c>
      <c r="B418" t="s">
        <v>414</v>
      </c>
      <c r="C418" t="s">
        <v>365</v>
      </c>
      <c r="D418" t="s">
        <v>366</v>
      </c>
      <c r="E418" t="s">
        <v>367</v>
      </c>
      <c r="F418">
        <v>42</v>
      </c>
      <c r="G418" t="s">
        <v>22</v>
      </c>
      <c r="H418" t="s">
        <v>56</v>
      </c>
      <c r="I418" t="s">
        <v>132</v>
      </c>
      <c r="K418" t="s">
        <v>132</v>
      </c>
      <c r="L418">
        <v>2000535</v>
      </c>
      <c r="M418">
        <v>919</v>
      </c>
      <c r="N418">
        <v>2</v>
      </c>
      <c r="O418">
        <f t="shared" si="144"/>
        <v>4.6838407494145199E-3</v>
      </c>
      <c r="P418">
        <v>20</v>
      </c>
      <c r="Q418">
        <f t="shared" si="145"/>
        <v>4.6838407494145199E-3</v>
      </c>
      <c r="R418">
        <v>5.0000000000000001E-3</v>
      </c>
      <c r="S418">
        <f t="shared" si="152"/>
        <v>0.05</v>
      </c>
      <c r="T418">
        <f t="shared" si="146"/>
        <v>5.2521008403361364E-4</v>
      </c>
      <c r="U418">
        <f t="shared" si="147"/>
        <v>-2.5122420761914191E-2</v>
      </c>
      <c r="V418">
        <f t="shared" si="148"/>
        <v>1.5599999999999999E-2</v>
      </c>
      <c r="W418">
        <v>0.1</v>
      </c>
      <c r="X418">
        <f t="shared" si="149"/>
        <v>0.15599999999999997</v>
      </c>
      <c r="Y418">
        <v>2</v>
      </c>
      <c r="Z418">
        <v>2</v>
      </c>
      <c r="AA418" t="s">
        <v>50</v>
      </c>
      <c r="AB418">
        <f t="shared" si="150"/>
        <v>4</v>
      </c>
      <c r="AC418">
        <f t="shared" si="141"/>
        <v>16</v>
      </c>
      <c r="AE418">
        <v>2.8333333333333299</v>
      </c>
      <c r="AF418">
        <v>2.7333333333333298</v>
      </c>
      <c r="AG418">
        <v>2</v>
      </c>
      <c r="AH418">
        <f t="shared" si="151"/>
        <v>3.4634208451496655</v>
      </c>
      <c r="AI418">
        <f t="shared" si="142"/>
        <v>14.310835055998654</v>
      </c>
    </row>
    <row r="419" spans="1:36" x14ac:dyDescent="0.3">
      <c r="A419">
        <v>2023</v>
      </c>
      <c r="B419" t="s">
        <v>414</v>
      </c>
      <c r="C419" t="s">
        <v>365</v>
      </c>
      <c r="D419" t="s">
        <v>366</v>
      </c>
      <c r="E419" t="s">
        <v>367</v>
      </c>
      <c r="F419">
        <v>42</v>
      </c>
      <c r="G419" t="s">
        <v>51</v>
      </c>
      <c r="H419" t="s">
        <v>52</v>
      </c>
      <c r="I419" t="s">
        <v>53</v>
      </c>
      <c r="J419" t="s">
        <v>54</v>
      </c>
      <c r="K419" t="s">
        <v>303</v>
      </c>
      <c r="L419">
        <v>233419</v>
      </c>
      <c r="M419">
        <v>110483</v>
      </c>
      <c r="N419">
        <v>3</v>
      </c>
      <c r="O419">
        <f t="shared" si="144"/>
        <v>7.0257611241217799E-3</v>
      </c>
      <c r="P419">
        <v>30</v>
      </c>
      <c r="Q419">
        <f t="shared" si="145"/>
        <v>7.0257611241217799E-3</v>
      </c>
      <c r="R419">
        <v>0.01</v>
      </c>
      <c r="S419">
        <f t="shared" si="152"/>
        <v>0.1</v>
      </c>
      <c r="T419">
        <f t="shared" si="146"/>
        <v>1.0504201680672273E-3</v>
      </c>
      <c r="U419">
        <f t="shared" si="147"/>
        <v>-3.4834930149137106E-2</v>
      </c>
      <c r="V419">
        <f t="shared" si="148"/>
        <v>1.5599999999999999E-2</v>
      </c>
      <c r="W419">
        <v>0.1</v>
      </c>
      <c r="X419">
        <f t="shared" si="149"/>
        <v>0.15599999999999997</v>
      </c>
      <c r="Y419">
        <v>2</v>
      </c>
      <c r="Z419">
        <v>3</v>
      </c>
      <c r="AA419" t="s">
        <v>50</v>
      </c>
      <c r="AB419">
        <f t="shared" si="150"/>
        <v>10.392304845413264</v>
      </c>
      <c r="AC419">
        <f t="shared" si="141"/>
        <v>27.712812921102039</v>
      </c>
      <c r="AE419">
        <v>3</v>
      </c>
      <c r="AF419">
        <v>2</v>
      </c>
      <c r="AG419">
        <v>1</v>
      </c>
      <c r="AH419">
        <f t="shared" si="151"/>
        <v>2.4970748701726904</v>
      </c>
      <c r="AI419">
        <f t="shared" si="142"/>
        <v>26.635465281842031</v>
      </c>
    </row>
    <row r="420" spans="1:36" x14ac:dyDescent="0.3">
      <c r="A420">
        <v>2023</v>
      </c>
      <c r="B420" t="s">
        <v>414</v>
      </c>
      <c r="C420" t="s">
        <v>365</v>
      </c>
      <c r="D420" t="s">
        <v>366</v>
      </c>
      <c r="E420" t="s">
        <v>367</v>
      </c>
      <c r="F420">
        <v>42</v>
      </c>
      <c r="G420" t="s">
        <v>22</v>
      </c>
      <c r="H420" t="s">
        <v>67</v>
      </c>
      <c r="I420" t="s">
        <v>84</v>
      </c>
      <c r="J420" t="s">
        <v>85</v>
      </c>
      <c r="K420" t="s">
        <v>199</v>
      </c>
      <c r="L420">
        <v>227130</v>
      </c>
      <c r="M420">
        <v>130599</v>
      </c>
      <c r="N420">
        <v>8</v>
      </c>
      <c r="O420">
        <f t="shared" si="144"/>
        <v>1.873536299765808E-2</v>
      </c>
      <c r="P420">
        <v>80</v>
      </c>
      <c r="Q420">
        <f t="shared" si="145"/>
        <v>1.873536299765808E-2</v>
      </c>
      <c r="R420">
        <v>0.02</v>
      </c>
      <c r="S420">
        <f t="shared" si="152"/>
        <v>0.2</v>
      </c>
      <c r="T420">
        <f t="shared" si="146"/>
        <v>2.1008403361344546E-3</v>
      </c>
      <c r="U420">
        <f t="shared" si="147"/>
        <v>-7.4516954970469104E-2</v>
      </c>
      <c r="V420">
        <f t="shared" si="148"/>
        <v>1.5599999999999999E-2</v>
      </c>
      <c r="W420">
        <v>0.1</v>
      </c>
      <c r="X420">
        <f t="shared" si="149"/>
        <v>0.15599999999999997</v>
      </c>
      <c r="Y420">
        <v>2</v>
      </c>
      <c r="Z420">
        <v>2</v>
      </c>
      <c r="AA420" t="s">
        <v>50</v>
      </c>
      <c r="AB420">
        <f t="shared" si="150"/>
        <v>16</v>
      </c>
      <c r="AC420">
        <f t="shared" si="141"/>
        <v>64</v>
      </c>
      <c r="AE420">
        <v>1</v>
      </c>
      <c r="AF420">
        <v>2</v>
      </c>
      <c r="AG420">
        <v>1</v>
      </c>
      <c r="AH420">
        <f t="shared" si="151"/>
        <v>1.7888543819998317</v>
      </c>
      <c r="AI420">
        <f t="shared" si="142"/>
        <v>57.243340223994615</v>
      </c>
    </row>
    <row r="421" spans="1:36" x14ac:dyDescent="0.3">
      <c r="A421">
        <v>2023</v>
      </c>
      <c r="B421" t="s">
        <v>414</v>
      </c>
      <c r="C421" t="s">
        <v>365</v>
      </c>
      <c r="D421" t="s">
        <v>366</v>
      </c>
      <c r="E421" t="s">
        <v>367</v>
      </c>
      <c r="F421">
        <v>42</v>
      </c>
      <c r="G421" t="s">
        <v>79</v>
      </c>
      <c r="H421" t="s">
        <v>245</v>
      </c>
      <c r="I421" t="s">
        <v>246</v>
      </c>
      <c r="J421" t="s">
        <v>418</v>
      </c>
      <c r="K421" t="s">
        <v>419</v>
      </c>
      <c r="L421">
        <v>218229</v>
      </c>
      <c r="M421">
        <v>140584</v>
      </c>
      <c r="N421">
        <v>1</v>
      </c>
      <c r="O421">
        <f t="shared" si="144"/>
        <v>2.34192037470726E-3</v>
      </c>
      <c r="P421">
        <v>10</v>
      </c>
      <c r="Q421">
        <f t="shared" si="145"/>
        <v>2.34192037470726E-3</v>
      </c>
      <c r="R421">
        <v>5.0000000000000001E-3</v>
      </c>
      <c r="S421">
        <f t="shared" si="152"/>
        <v>0.05</v>
      </c>
      <c r="T421">
        <f t="shared" si="146"/>
        <v>5.2521008403361364E-4</v>
      </c>
      <c r="U421">
        <f t="shared" si="147"/>
        <v>-1.4184505885781323E-2</v>
      </c>
      <c r="V421">
        <f t="shared" si="148"/>
        <v>1.5599999999999999E-2</v>
      </c>
      <c r="W421">
        <v>0.1</v>
      </c>
      <c r="X421">
        <f t="shared" si="149"/>
        <v>0.15599999999999997</v>
      </c>
      <c r="Y421">
        <v>3</v>
      </c>
      <c r="Z421">
        <v>2</v>
      </c>
      <c r="AA421" t="s">
        <v>50</v>
      </c>
      <c r="AB421">
        <f t="shared" si="150"/>
        <v>4.2426406871192848</v>
      </c>
      <c r="AC421">
        <f t="shared" si="141"/>
        <v>11.313708498984759</v>
      </c>
      <c r="AE421">
        <v>1</v>
      </c>
      <c r="AF421">
        <v>3.5</v>
      </c>
      <c r="AG421">
        <v>2</v>
      </c>
      <c r="AH421">
        <f t="shared" si="151"/>
        <v>1.3162110825802384</v>
      </c>
      <c r="AI421">
        <f t="shared" si="142"/>
        <v>12.033929897876465</v>
      </c>
    </row>
    <row r="422" spans="1:36" x14ac:dyDescent="0.3">
      <c r="A422">
        <v>2023</v>
      </c>
      <c r="B422" t="s">
        <v>414</v>
      </c>
      <c r="C422" t="s">
        <v>365</v>
      </c>
      <c r="D422" t="s">
        <v>366</v>
      </c>
      <c r="E422" t="s">
        <v>367</v>
      </c>
      <c r="F422">
        <v>42</v>
      </c>
      <c r="G422" t="s">
        <v>51</v>
      </c>
      <c r="H422" t="s">
        <v>126</v>
      </c>
      <c r="I422" t="s">
        <v>415</v>
      </c>
      <c r="J422" t="s">
        <v>416</v>
      </c>
      <c r="K422" t="s">
        <v>417</v>
      </c>
      <c r="L422">
        <v>233392</v>
      </c>
      <c r="M422">
        <v>102064</v>
      </c>
      <c r="N422">
        <v>1</v>
      </c>
      <c r="O422">
        <f t="shared" si="144"/>
        <v>2.34192037470726E-3</v>
      </c>
      <c r="P422">
        <v>10</v>
      </c>
      <c r="Q422">
        <f t="shared" si="145"/>
        <v>2.34192037470726E-3</v>
      </c>
      <c r="R422">
        <v>5.0000000000000001E-3</v>
      </c>
      <c r="S422">
        <f t="shared" si="152"/>
        <v>0.05</v>
      </c>
      <c r="T422">
        <f t="shared" si="146"/>
        <v>5.2521008403361364E-4</v>
      </c>
      <c r="U422">
        <f t="shared" si="147"/>
        <v>-1.4184505885781323E-2</v>
      </c>
      <c r="V422">
        <f t="shared" si="148"/>
        <v>1.5599999999999999E-2</v>
      </c>
      <c r="W422">
        <v>0.1</v>
      </c>
      <c r="X422">
        <f t="shared" si="149"/>
        <v>0.15599999999999997</v>
      </c>
      <c r="Y422">
        <v>2</v>
      </c>
      <c r="Z422">
        <v>3</v>
      </c>
      <c r="AA422" t="s">
        <v>50</v>
      </c>
      <c r="AB422">
        <f t="shared" si="150"/>
        <v>4.2426406871192848</v>
      </c>
      <c r="AC422">
        <f t="shared" si="141"/>
        <v>11.313708498984759</v>
      </c>
      <c r="AE422">
        <v>1</v>
      </c>
      <c r="AF422">
        <v>2.33</v>
      </c>
      <c r="AG422">
        <v>2.5</v>
      </c>
      <c r="AH422">
        <f t="shared" si="151"/>
        <v>1.0952756508614128</v>
      </c>
      <c r="AI422">
        <f t="shared" si="142"/>
        <v>12.033929897876465</v>
      </c>
    </row>
    <row r="423" spans="1:36" x14ac:dyDescent="0.3">
      <c r="A423">
        <v>2023</v>
      </c>
      <c r="B423" t="s">
        <v>414</v>
      </c>
      <c r="C423" t="s">
        <v>365</v>
      </c>
      <c r="D423" t="s">
        <v>366</v>
      </c>
      <c r="E423" t="s">
        <v>367</v>
      </c>
      <c r="F423">
        <v>42</v>
      </c>
      <c r="G423" t="s">
        <v>51</v>
      </c>
      <c r="H423" t="s">
        <v>52</v>
      </c>
      <c r="I423" t="s">
        <v>193</v>
      </c>
      <c r="J423" t="s">
        <v>219</v>
      </c>
      <c r="K423" t="s">
        <v>220</v>
      </c>
      <c r="L423">
        <v>233479</v>
      </c>
      <c r="M423">
        <v>110535</v>
      </c>
      <c r="N423">
        <v>2</v>
      </c>
      <c r="O423">
        <f t="shared" si="144"/>
        <v>4.6838407494145199E-3</v>
      </c>
      <c r="P423">
        <v>20</v>
      </c>
      <c r="Q423">
        <f t="shared" si="145"/>
        <v>4.6838407494145199E-3</v>
      </c>
      <c r="R423">
        <v>5.0000000000000001E-3</v>
      </c>
      <c r="S423">
        <f>R423*10</f>
        <v>0.05</v>
      </c>
      <c r="T423">
        <f t="shared" si="146"/>
        <v>5.2521008403361364E-4</v>
      </c>
      <c r="U423">
        <f t="shared" si="147"/>
        <v>-2.5122420761914191E-2</v>
      </c>
      <c r="V423">
        <f t="shared" si="148"/>
        <v>1.5599999999999999E-2</v>
      </c>
      <c r="W423">
        <v>0.1</v>
      </c>
      <c r="X423">
        <f t="shared" si="149"/>
        <v>0.15599999999999997</v>
      </c>
      <c r="Y423">
        <v>2</v>
      </c>
      <c r="Z423">
        <v>3</v>
      </c>
      <c r="AA423" t="s">
        <v>50</v>
      </c>
      <c r="AB423">
        <f t="shared" si="150"/>
        <v>6</v>
      </c>
      <c r="AC423">
        <f t="shared" si="141"/>
        <v>16</v>
      </c>
      <c r="AE423">
        <v>1</v>
      </c>
      <c r="AF423">
        <v>3.14</v>
      </c>
      <c r="AG423">
        <v>1.5</v>
      </c>
      <c r="AH423">
        <f t="shared" si="151"/>
        <v>1.0531880174024009</v>
      </c>
      <c r="AI423">
        <f t="shared" si="142"/>
        <v>14.310835055998654</v>
      </c>
    </row>
    <row r="424" spans="1:36" x14ac:dyDescent="0.3">
      <c r="A424">
        <v>2023</v>
      </c>
      <c r="B424" t="s">
        <v>414</v>
      </c>
      <c r="C424" t="s">
        <v>365</v>
      </c>
      <c r="D424" t="s">
        <v>366</v>
      </c>
      <c r="E424" t="s">
        <v>367</v>
      </c>
      <c r="F424">
        <v>42</v>
      </c>
      <c r="G424" t="s">
        <v>51</v>
      </c>
      <c r="H424" t="s">
        <v>126</v>
      </c>
      <c r="I424" t="s">
        <v>242</v>
      </c>
      <c r="J424" t="s">
        <v>243</v>
      </c>
      <c r="K424" t="s">
        <v>244</v>
      </c>
      <c r="L424">
        <v>233532</v>
      </c>
      <c r="M424">
        <v>102462</v>
      </c>
      <c r="N424">
        <v>1</v>
      </c>
      <c r="O424">
        <f t="shared" si="144"/>
        <v>2.34192037470726E-3</v>
      </c>
      <c r="P424">
        <v>10</v>
      </c>
      <c r="Q424">
        <f t="shared" si="145"/>
        <v>2.34192037470726E-3</v>
      </c>
      <c r="R424">
        <v>5.0000000000000001E-3</v>
      </c>
      <c r="S424">
        <f t="shared" si="152"/>
        <v>0.05</v>
      </c>
      <c r="T424">
        <f t="shared" si="146"/>
        <v>5.2521008403361364E-4</v>
      </c>
      <c r="U424">
        <f t="shared" si="147"/>
        <v>-1.4184505885781323E-2</v>
      </c>
      <c r="V424">
        <f t="shared" si="148"/>
        <v>1.5599999999999999E-2</v>
      </c>
      <c r="W424">
        <v>0.1</v>
      </c>
      <c r="X424">
        <f t="shared" si="149"/>
        <v>0.15599999999999997</v>
      </c>
      <c r="Y424">
        <v>2</v>
      </c>
      <c r="Z424">
        <v>3</v>
      </c>
      <c r="AA424" t="s">
        <v>50</v>
      </c>
      <c r="AB424">
        <f t="shared" si="150"/>
        <v>4.2426406871192848</v>
      </c>
      <c r="AC424">
        <f t="shared" si="141"/>
        <v>11.313708498984759</v>
      </c>
      <c r="AE424">
        <v>1</v>
      </c>
      <c r="AF424">
        <v>3.5</v>
      </c>
      <c r="AG424">
        <v>1.5</v>
      </c>
      <c r="AH424">
        <f t="shared" si="151"/>
        <v>0.98715831193517878</v>
      </c>
      <c r="AI424">
        <f t="shared" si="142"/>
        <v>12.033929897876465</v>
      </c>
    </row>
    <row r="425" spans="1:36" x14ac:dyDescent="0.3">
      <c r="A425">
        <v>2023</v>
      </c>
      <c r="B425" t="s">
        <v>414</v>
      </c>
      <c r="C425" t="s">
        <v>365</v>
      </c>
      <c r="D425" t="s">
        <v>366</v>
      </c>
      <c r="E425" t="s">
        <v>367</v>
      </c>
      <c r="F425">
        <v>42</v>
      </c>
      <c r="G425" t="s">
        <v>51</v>
      </c>
      <c r="H425" t="s">
        <v>52</v>
      </c>
      <c r="I425" t="s">
        <v>193</v>
      </c>
      <c r="J425" t="s">
        <v>219</v>
      </c>
      <c r="K425" t="s">
        <v>420</v>
      </c>
      <c r="L425">
        <v>233480</v>
      </c>
      <c r="M425">
        <v>110524</v>
      </c>
      <c r="N425">
        <v>1</v>
      </c>
      <c r="O425">
        <f t="shared" si="144"/>
        <v>2.34192037470726E-3</v>
      </c>
      <c r="P425">
        <v>10</v>
      </c>
      <c r="Q425">
        <f t="shared" si="145"/>
        <v>2.34192037470726E-3</v>
      </c>
      <c r="R425">
        <v>5.0000000000000001E-3</v>
      </c>
      <c r="S425">
        <f t="shared" si="152"/>
        <v>0.05</v>
      </c>
      <c r="T425">
        <f t="shared" si="146"/>
        <v>5.2521008403361364E-4</v>
      </c>
      <c r="U425">
        <f t="shared" si="147"/>
        <v>-1.4184505885781323E-2</v>
      </c>
      <c r="V425">
        <f t="shared" si="148"/>
        <v>1.5599999999999999E-2</v>
      </c>
      <c r="W425">
        <v>0.1</v>
      </c>
      <c r="X425">
        <f t="shared" si="149"/>
        <v>0.15599999999999997</v>
      </c>
      <c r="Y425">
        <v>2</v>
      </c>
      <c r="Z425">
        <v>3</v>
      </c>
      <c r="AA425" t="s">
        <v>50</v>
      </c>
      <c r="AB425">
        <f t="shared" si="150"/>
        <v>4.2426406871192848</v>
      </c>
      <c r="AC425">
        <f t="shared" si="141"/>
        <v>11.313708498984759</v>
      </c>
      <c r="AE425">
        <v>1</v>
      </c>
      <c r="AF425">
        <v>3.14</v>
      </c>
      <c r="AG425">
        <v>1.5</v>
      </c>
      <c r="AH425">
        <f t="shared" si="151"/>
        <v>0.88562202842184612</v>
      </c>
      <c r="AI425">
        <f t="shared" si="142"/>
        <v>12.033929897876465</v>
      </c>
    </row>
    <row r="426" spans="1:36" x14ac:dyDescent="0.3">
      <c r="A426">
        <v>2023</v>
      </c>
      <c r="B426" t="s">
        <v>414</v>
      </c>
      <c r="C426" t="s">
        <v>365</v>
      </c>
      <c r="D426" t="s">
        <v>366</v>
      </c>
      <c r="E426" t="s">
        <v>367</v>
      </c>
      <c r="F426">
        <v>42</v>
      </c>
      <c r="G426" t="s">
        <v>22</v>
      </c>
      <c r="I426" t="s">
        <v>145</v>
      </c>
      <c r="J426" t="s">
        <v>227</v>
      </c>
      <c r="K426" t="s">
        <v>228</v>
      </c>
      <c r="L426">
        <v>227760</v>
      </c>
      <c r="M426">
        <v>129898</v>
      </c>
      <c r="N426">
        <v>1</v>
      </c>
      <c r="O426">
        <f t="shared" si="144"/>
        <v>2.34192037470726E-3</v>
      </c>
      <c r="P426">
        <v>10</v>
      </c>
      <c r="Q426">
        <f t="shared" si="145"/>
        <v>2.34192037470726E-3</v>
      </c>
      <c r="R426">
        <v>0.01</v>
      </c>
      <c r="S426">
        <f t="shared" si="152"/>
        <v>0.1</v>
      </c>
      <c r="T426">
        <f t="shared" si="146"/>
        <v>1.0504201680672273E-3</v>
      </c>
      <c r="U426">
        <f t="shared" si="147"/>
        <v>-1.4184505885781323E-2</v>
      </c>
      <c r="V426">
        <f t="shared" si="148"/>
        <v>1.5599999999999999E-2</v>
      </c>
      <c r="W426">
        <v>0.1</v>
      </c>
      <c r="X426">
        <f t="shared" si="149"/>
        <v>0.15599999999999997</v>
      </c>
      <c r="Y426">
        <v>3</v>
      </c>
      <c r="Z426">
        <v>2</v>
      </c>
      <c r="AA426" t="s">
        <v>60</v>
      </c>
      <c r="AB426">
        <f t="shared" si="150"/>
        <v>6</v>
      </c>
      <c r="AC426">
        <f t="shared" si="141"/>
        <v>16</v>
      </c>
      <c r="AE426">
        <v>3</v>
      </c>
      <c r="AF426">
        <v>3</v>
      </c>
      <c r="AG426">
        <v>4</v>
      </c>
      <c r="AH426">
        <f t="shared" si="151"/>
        <v>11.384199576606168</v>
      </c>
      <c r="AI426">
        <f t="shared" si="142"/>
        <v>20.238577025077632</v>
      </c>
    </row>
    <row r="427" spans="1:36" x14ac:dyDescent="0.3">
      <c r="A427">
        <v>2023</v>
      </c>
      <c r="B427" t="s">
        <v>414</v>
      </c>
      <c r="C427" t="s">
        <v>365</v>
      </c>
      <c r="D427" t="s">
        <v>366</v>
      </c>
      <c r="E427" t="s">
        <v>367</v>
      </c>
      <c r="F427">
        <v>42</v>
      </c>
      <c r="G427" t="s">
        <v>22</v>
      </c>
      <c r="H427" t="s">
        <v>56</v>
      </c>
      <c r="I427" t="s">
        <v>57</v>
      </c>
      <c r="J427" t="s">
        <v>58</v>
      </c>
      <c r="K427" t="s">
        <v>59</v>
      </c>
      <c r="L427">
        <v>227394</v>
      </c>
      <c r="M427">
        <v>130100</v>
      </c>
      <c r="N427">
        <v>2</v>
      </c>
      <c r="O427">
        <f t="shared" si="144"/>
        <v>4.6838407494145199E-3</v>
      </c>
      <c r="P427">
        <v>20</v>
      </c>
      <c r="Q427">
        <f t="shared" si="145"/>
        <v>4.6838407494145199E-3</v>
      </c>
      <c r="R427">
        <v>0.01</v>
      </c>
      <c r="S427">
        <f t="shared" si="152"/>
        <v>0.1</v>
      </c>
      <c r="T427">
        <f t="shared" si="146"/>
        <v>1.0504201680672273E-3</v>
      </c>
      <c r="U427">
        <f t="shared" si="147"/>
        <v>-2.5122420761914191E-2</v>
      </c>
      <c r="V427">
        <f t="shared" si="148"/>
        <v>1.5599999999999999E-2</v>
      </c>
      <c r="W427">
        <v>0.1</v>
      </c>
      <c r="X427">
        <f t="shared" si="149"/>
        <v>0.15599999999999997</v>
      </c>
      <c r="Y427">
        <v>3</v>
      </c>
      <c r="Z427">
        <v>2</v>
      </c>
      <c r="AA427" t="s">
        <v>60</v>
      </c>
      <c r="AB427">
        <f t="shared" si="150"/>
        <v>8.4852813742385695</v>
      </c>
      <c r="AC427">
        <f t="shared" si="141"/>
        <v>22.627416997969519</v>
      </c>
      <c r="AE427">
        <v>1</v>
      </c>
      <c r="AF427">
        <v>3</v>
      </c>
      <c r="AG427">
        <v>2</v>
      </c>
      <c r="AH427">
        <f t="shared" si="151"/>
        <v>2.2563618558518375</v>
      </c>
      <c r="AI427">
        <f t="shared" si="142"/>
        <v>24.067859795752931</v>
      </c>
    </row>
    <row r="428" spans="1:36" x14ac:dyDescent="0.3">
      <c r="A428">
        <v>2023</v>
      </c>
      <c r="B428" t="s">
        <v>414</v>
      </c>
      <c r="C428" t="s">
        <v>365</v>
      </c>
      <c r="D428" t="s">
        <v>366</v>
      </c>
      <c r="E428" t="s">
        <v>367</v>
      </c>
      <c r="F428">
        <v>42</v>
      </c>
      <c r="G428" t="s">
        <v>22</v>
      </c>
      <c r="H428" t="s">
        <v>56</v>
      </c>
      <c r="I428" t="s">
        <v>153</v>
      </c>
      <c r="J428" t="s">
        <v>154</v>
      </c>
      <c r="K428" t="s">
        <v>272</v>
      </c>
      <c r="L428">
        <v>227488</v>
      </c>
      <c r="M428">
        <v>129802</v>
      </c>
      <c r="N428">
        <v>2</v>
      </c>
      <c r="O428">
        <f t="shared" si="144"/>
        <v>4.6838407494145199E-3</v>
      </c>
      <c r="P428">
        <v>20</v>
      </c>
      <c r="Q428">
        <f t="shared" si="145"/>
        <v>4.6838407494145199E-3</v>
      </c>
      <c r="R428">
        <v>0.08</v>
      </c>
      <c r="S428">
        <f t="shared" si="152"/>
        <v>0.8</v>
      </c>
      <c r="T428">
        <f t="shared" si="146"/>
        <v>8.4033613445378182E-3</v>
      </c>
      <c r="U428">
        <f t="shared" si="147"/>
        <v>-2.5122420761914191E-2</v>
      </c>
      <c r="V428">
        <f t="shared" si="148"/>
        <v>1.5599999999999999E-2</v>
      </c>
      <c r="W428">
        <v>0.1</v>
      </c>
      <c r="X428">
        <f t="shared" si="149"/>
        <v>0.15599999999999997</v>
      </c>
      <c r="Y428">
        <v>3</v>
      </c>
      <c r="Z428">
        <v>1</v>
      </c>
      <c r="AA428" t="s">
        <v>100</v>
      </c>
      <c r="AB428">
        <f t="shared" si="150"/>
        <v>12</v>
      </c>
      <c r="AC428">
        <f t="shared" si="141"/>
        <v>64</v>
      </c>
      <c r="AE428">
        <v>3</v>
      </c>
      <c r="AF428">
        <v>3</v>
      </c>
      <c r="AG428">
        <v>2</v>
      </c>
      <c r="AH428">
        <f t="shared" si="151"/>
        <v>32.199378875996985</v>
      </c>
      <c r="AI428">
        <f t="shared" si="142"/>
        <v>114.48668044798927</v>
      </c>
    </row>
    <row r="429" spans="1:36" x14ac:dyDescent="0.3">
      <c r="A429">
        <v>2023</v>
      </c>
      <c r="B429" t="s">
        <v>414</v>
      </c>
      <c r="C429" t="s">
        <v>365</v>
      </c>
      <c r="D429" t="s">
        <v>366</v>
      </c>
      <c r="E429" t="s">
        <v>367</v>
      </c>
      <c r="F429">
        <v>42</v>
      </c>
      <c r="G429" t="s">
        <v>22</v>
      </c>
      <c r="H429" t="s">
        <v>56</v>
      </c>
      <c r="I429" t="s">
        <v>153</v>
      </c>
      <c r="J429" t="s">
        <v>301</v>
      </c>
      <c r="K429" t="s">
        <v>302</v>
      </c>
      <c r="L429">
        <v>227468</v>
      </c>
      <c r="M429">
        <v>129789</v>
      </c>
      <c r="N429">
        <v>1</v>
      </c>
      <c r="O429">
        <f t="shared" si="144"/>
        <v>2.34192037470726E-3</v>
      </c>
      <c r="P429">
        <v>10</v>
      </c>
      <c r="Q429">
        <f t="shared" si="145"/>
        <v>2.34192037470726E-3</v>
      </c>
      <c r="R429">
        <v>5.0000000000000001E-3</v>
      </c>
      <c r="S429">
        <f t="shared" si="152"/>
        <v>0.05</v>
      </c>
      <c r="T429">
        <f t="shared" si="146"/>
        <v>5.2521008403361364E-4</v>
      </c>
      <c r="U429">
        <f t="shared" si="147"/>
        <v>-1.4184505885781323E-2</v>
      </c>
      <c r="V429">
        <f t="shared" si="148"/>
        <v>1.5599999999999999E-2</v>
      </c>
      <c r="W429">
        <v>0.1</v>
      </c>
      <c r="X429">
        <f t="shared" si="149"/>
        <v>0.15599999999999997</v>
      </c>
      <c r="Y429">
        <v>3</v>
      </c>
      <c r="Z429">
        <v>1</v>
      </c>
      <c r="AA429" t="s">
        <v>100</v>
      </c>
      <c r="AB429">
        <f t="shared" si="150"/>
        <v>2.1213203435596424</v>
      </c>
      <c r="AC429">
        <f t="shared" si="141"/>
        <v>11.313708498984759</v>
      </c>
      <c r="AE429">
        <v>3</v>
      </c>
      <c r="AF429">
        <v>3</v>
      </c>
      <c r="AG429">
        <v>2.5</v>
      </c>
      <c r="AH429">
        <f t="shared" si="151"/>
        <v>4.2306784797221955</v>
      </c>
      <c r="AI429">
        <f t="shared" si="142"/>
        <v>12.033929897876465</v>
      </c>
    </row>
    <row r="430" spans="1:36" x14ac:dyDescent="0.3">
      <c r="A430">
        <v>2023</v>
      </c>
      <c r="B430" t="s">
        <v>414</v>
      </c>
      <c r="C430" t="s">
        <v>365</v>
      </c>
      <c r="D430" t="s">
        <v>366</v>
      </c>
      <c r="E430" t="s">
        <v>367</v>
      </c>
      <c r="F430">
        <v>42</v>
      </c>
      <c r="G430" t="s">
        <v>22</v>
      </c>
      <c r="H430" t="s">
        <v>96</v>
      </c>
      <c r="I430" t="s">
        <v>97</v>
      </c>
      <c r="J430" t="s">
        <v>98</v>
      </c>
      <c r="K430" t="s">
        <v>101</v>
      </c>
      <c r="L430">
        <v>227337</v>
      </c>
      <c r="M430">
        <v>131157</v>
      </c>
      <c r="N430">
        <v>4</v>
      </c>
      <c r="O430">
        <f t="shared" si="144"/>
        <v>9.3676814988290398E-3</v>
      </c>
      <c r="P430">
        <v>40</v>
      </c>
      <c r="Q430">
        <f t="shared" si="145"/>
        <v>9.3676814988290398E-3</v>
      </c>
      <c r="R430">
        <v>5.0000000000000001E-3</v>
      </c>
      <c r="S430">
        <f t="shared" si="152"/>
        <v>0.05</v>
      </c>
      <c r="T430">
        <f t="shared" si="146"/>
        <v>5.2521008403361364E-4</v>
      </c>
      <c r="U430">
        <f t="shared" si="147"/>
        <v>-4.3751659504531464E-2</v>
      </c>
      <c r="V430">
        <f t="shared" si="148"/>
        <v>1.5599999999999999E-2</v>
      </c>
      <c r="W430">
        <v>0.1</v>
      </c>
      <c r="X430">
        <f t="shared" si="149"/>
        <v>0.15599999999999997</v>
      </c>
      <c r="Y430">
        <v>3</v>
      </c>
      <c r="Z430">
        <v>2</v>
      </c>
      <c r="AA430" t="s">
        <v>100</v>
      </c>
      <c r="AB430">
        <f t="shared" si="150"/>
        <v>8.4852813742385695</v>
      </c>
      <c r="AC430">
        <f t="shared" si="141"/>
        <v>22.627416997969519</v>
      </c>
      <c r="AE430">
        <v>2.5</v>
      </c>
      <c r="AF430">
        <v>3</v>
      </c>
      <c r="AG430">
        <v>2</v>
      </c>
      <c r="AH430">
        <f t="shared" si="151"/>
        <v>3.9887219227087427</v>
      </c>
      <c r="AI430">
        <f t="shared" si="142"/>
        <v>17.018546870223968</v>
      </c>
    </row>
    <row r="431" spans="1:36" x14ac:dyDescent="0.3">
      <c r="A431">
        <v>2023</v>
      </c>
      <c r="B431" t="s">
        <v>414</v>
      </c>
      <c r="C431" t="s">
        <v>365</v>
      </c>
      <c r="D431" t="s">
        <v>366</v>
      </c>
      <c r="E431" t="s">
        <v>367</v>
      </c>
      <c r="F431">
        <v>42</v>
      </c>
      <c r="G431" t="s">
        <v>22</v>
      </c>
      <c r="H431" t="s">
        <v>56</v>
      </c>
      <c r="I431" t="s">
        <v>153</v>
      </c>
      <c r="J431" t="s">
        <v>183</v>
      </c>
      <c r="K431" t="s">
        <v>183</v>
      </c>
      <c r="L431">
        <v>1007570</v>
      </c>
      <c r="M431">
        <v>129155</v>
      </c>
      <c r="N431">
        <v>2</v>
      </c>
      <c r="O431">
        <f t="shared" si="144"/>
        <v>4.6838407494145199E-3</v>
      </c>
      <c r="P431">
        <v>20</v>
      </c>
      <c r="Q431">
        <f t="shared" si="145"/>
        <v>4.6838407494145199E-3</v>
      </c>
      <c r="R431">
        <v>0.01</v>
      </c>
      <c r="S431">
        <f t="shared" si="152"/>
        <v>0.1</v>
      </c>
      <c r="T431">
        <f t="shared" si="146"/>
        <v>1.0504201680672273E-3</v>
      </c>
      <c r="U431">
        <f t="shared" si="147"/>
        <v>-2.5122420761914191E-2</v>
      </c>
      <c r="V431">
        <f t="shared" si="148"/>
        <v>1.5599999999999999E-2</v>
      </c>
      <c r="W431">
        <v>0.1</v>
      </c>
      <c r="X431">
        <f t="shared" si="149"/>
        <v>0.15599999999999997</v>
      </c>
      <c r="Y431">
        <v>3</v>
      </c>
      <c r="Z431">
        <v>2</v>
      </c>
      <c r="AA431" t="s">
        <v>100</v>
      </c>
      <c r="AB431">
        <f t="shared" si="150"/>
        <v>8.4852813742385695</v>
      </c>
      <c r="AC431">
        <f t="shared" si="141"/>
        <v>22.627416997969519</v>
      </c>
      <c r="AE431">
        <v>3</v>
      </c>
      <c r="AF431">
        <v>1</v>
      </c>
      <c r="AG431">
        <v>1</v>
      </c>
      <c r="AH431">
        <f t="shared" si="151"/>
        <v>1.1281809279259187</v>
      </c>
      <c r="AI431">
        <f t="shared" si="142"/>
        <v>24.067859795752931</v>
      </c>
    </row>
    <row r="432" spans="1:36" s="4" customFormat="1" x14ac:dyDescent="0.3">
      <c r="N432" s="4">
        <f>SUM(N393:N431)</f>
        <v>427</v>
      </c>
      <c r="O432" s="4">
        <f>SUM(O393:O431)</f>
        <v>1.0000000000000002</v>
      </c>
      <c r="P432" s="4">
        <f t="shared" ref="P432:AI432" si="153">SUM(P393:P431)</f>
        <v>4270</v>
      </c>
      <c r="Q432" s="4">
        <f t="shared" si="153"/>
        <v>1.0000000000000002</v>
      </c>
      <c r="R432" s="4">
        <f t="shared" si="153"/>
        <v>9.5200000000000014</v>
      </c>
      <c r="S432" s="4">
        <f t="shared" si="153"/>
        <v>95.199999999999974</v>
      </c>
      <c r="T432" s="4">
        <f t="shared" si="153"/>
        <v>1</v>
      </c>
      <c r="U432" s="4">
        <f>-SUM(U393:U431)</f>
        <v>2.5860742876916079</v>
      </c>
      <c r="Y432" s="4">
        <v>4</v>
      </c>
      <c r="Z432" s="4">
        <v>4</v>
      </c>
      <c r="AB432" s="4">
        <f t="shared" si="153"/>
        <v>2746.8915884576145</v>
      </c>
      <c r="AC432" s="4">
        <f t="shared" si="153"/>
        <v>7175.9950968839121</v>
      </c>
      <c r="AD432" s="4">
        <f>AB432/AC432</f>
        <v>0.38278894444206329</v>
      </c>
      <c r="AE432" s="4">
        <v>4</v>
      </c>
      <c r="AF432" s="4">
        <v>4</v>
      </c>
      <c r="AG432" s="4">
        <v>4</v>
      </c>
      <c r="AH432" s="4">
        <f t="shared" si="153"/>
        <v>1755.2174821220233</v>
      </c>
      <c r="AI432" s="4">
        <f t="shared" si="153"/>
        <v>11778.138270554058</v>
      </c>
      <c r="AJ432" s="4">
        <f>AH432/AI432</f>
        <v>0.1490233381374165</v>
      </c>
    </row>
    <row r="433" spans="1:35" x14ac:dyDescent="0.3">
      <c r="A433">
        <v>2022</v>
      </c>
      <c r="B433" t="s">
        <v>119</v>
      </c>
      <c r="C433" t="s">
        <v>421</v>
      </c>
      <c r="D433" t="s">
        <v>422</v>
      </c>
      <c r="E433" t="s">
        <v>423</v>
      </c>
      <c r="F433">
        <v>118</v>
      </c>
      <c r="G433" t="s">
        <v>22</v>
      </c>
      <c r="I433" t="s">
        <v>105</v>
      </c>
      <c r="J433" t="s">
        <v>151</v>
      </c>
      <c r="K433" t="s">
        <v>152</v>
      </c>
      <c r="L433">
        <v>227836</v>
      </c>
      <c r="M433">
        <v>333843</v>
      </c>
      <c r="N433">
        <v>16</v>
      </c>
      <c r="O433">
        <f t="shared" ref="O433:O470" si="154">N433/$N$471</f>
        <v>3.8277511961722487E-2</v>
      </c>
      <c r="P433">
        <v>160</v>
      </c>
      <c r="Q433">
        <f t="shared" ref="Q433:Q470" si="155">P433/$P$471</f>
        <v>3.8277511961722487E-2</v>
      </c>
      <c r="R433">
        <v>7.24</v>
      </c>
      <c r="S433">
        <f>R433*10</f>
        <v>72.400000000000006</v>
      </c>
      <c r="T433">
        <f t="shared" ref="T433:T470" si="156">S433/$S$471</f>
        <v>0.55885758394442286</v>
      </c>
      <c r="U433">
        <f t="shared" ref="U433:U470" si="157">O433*LN(O433)</f>
        <v>-0.12489541474775025</v>
      </c>
      <c r="V433">
        <f t="shared" ref="V433:V470" si="158">15.6/1000</f>
        <v>1.5599999999999999E-2</v>
      </c>
      <c r="W433">
        <v>0.1</v>
      </c>
      <c r="X433">
        <f t="shared" ref="X433:X470" si="159">V433/W433</f>
        <v>0.15599999999999997</v>
      </c>
      <c r="Y433">
        <v>3.5</v>
      </c>
      <c r="Z433">
        <v>4</v>
      </c>
      <c r="AA433" t="s">
        <v>27</v>
      </c>
      <c r="AB433">
        <f t="shared" ref="AB433:AB470" si="160">(SQRT(S433/P433))*P433*Z433*Y433</f>
        <v>1506.8058932722556</v>
      </c>
      <c r="AC433">
        <f t="shared" si="141"/>
        <v>1722.0638780254351</v>
      </c>
      <c r="AE433">
        <v>2.5</v>
      </c>
      <c r="AF433">
        <v>3.75</v>
      </c>
      <c r="AG433">
        <v>3.29</v>
      </c>
      <c r="AH433">
        <f t="shared" ref="AH433:AH470" si="161">((S433/P433)^0.75)*P433*AE433*AF433*AG433</f>
        <v>2722.7081707952034</v>
      </c>
      <c r="AI433">
        <f t="shared" si="142"/>
        <v>5649.5504901606655</v>
      </c>
    </row>
    <row r="434" spans="1:35" x14ac:dyDescent="0.3">
      <c r="A434">
        <v>2022</v>
      </c>
      <c r="B434" t="s">
        <v>119</v>
      </c>
      <c r="C434" t="s">
        <v>421</v>
      </c>
      <c r="D434" t="s">
        <v>422</v>
      </c>
      <c r="E434" t="s">
        <v>423</v>
      </c>
      <c r="F434">
        <v>118</v>
      </c>
      <c r="G434" t="s">
        <v>22</v>
      </c>
      <c r="H434" t="s">
        <v>163</v>
      </c>
      <c r="I434" t="s">
        <v>164</v>
      </c>
      <c r="J434" t="s">
        <v>165</v>
      </c>
      <c r="K434" t="s">
        <v>166</v>
      </c>
      <c r="L434" t="s">
        <v>112</v>
      </c>
      <c r="M434">
        <v>129837</v>
      </c>
      <c r="N434">
        <v>92</v>
      </c>
      <c r="O434">
        <f t="shared" si="154"/>
        <v>0.22009569377990432</v>
      </c>
      <c r="P434">
        <v>920</v>
      </c>
      <c r="Q434">
        <f t="shared" si="155"/>
        <v>0.22009569377990432</v>
      </c>
      <c r="R434">
        <v>0.7</v>
      </c>
      <c r="S434">
        <f t="shared" ref="S434:S470" si="162">R434*10</f>
        <v>7</v>
      </c>
      <c r="T434">
        <f t="shared" si="156"/>
        <v>5.4033191817830936E-2</v>
      </c>
      <c r="U434">
        <f t="shared" si="157"/>
        <v>-0.33315727919561211</v>
      </c>
      <c r="V434">
        <f t="shared" si="158"/>
        <v>1.5599999999999999E-2</v>
      </c>
      <c r="W434">
        <v>0.1</v>
      </c>
      <c r="X434">
        <f t="shared" si="159"/>
        <v>0.15599999999999997</v>
      </c>
      <c r="Y434">
        <v>4</v>
      </c>
      <c r="Z434">
        <v>3</v>
      </c>
      <c r="AA434" t="s">
        <v>27</v>
      </c>
      <c r="AB434">
        <f t="shared" si="160"/>
        <v>962.99532709146638</v>
      </c>
      <c r="AC434">
        <f t="shared" si="141"/>
        <v>1283.9937694552884</v>
      </c>
      <c r="AE434">
        <v>3</v>
      </c>
      <c r="AF434">
        <v>2</v>
      </c>
      <c r="AG434">
        <v>1</v>
      </c>
      <c r="AH434">
        <f t="shared" si="161"/>
        <v>142.2072497059161</v>
      </c>
      <c r="AI434">
        <f t="shared" si="142"/>
        <v>1516.8773301964384</v>
      </c>
    </row>
    <row r="435" spans="1:35" x14ac:dyDescent="0.3">
      <c r="A435">
        <v>2022</v>
      </c>
      <c r="B435" t="s">
        <v>119</v>
      </c>
      <c r="C435" t="s">
        <v>421</v>
      </c>
      <c r="D435" t="s">
        <v>422</v>
      </c>
      <c r="E435" t="s">
        <v>423</v>
      </c>
      <c r="F435">
        <v>118</v>
      </c>
      <c r="G435" t="s">
        <v>22</v>
      </c>
      <c r="I435" t="s">
        <v>105</v>
      </c>
      <c r="J435" t="s">
        <v>106</v>
      </c>
      <c r="K435" t="s">
        <v>107</v>
      </c>
      <c r="L435">
        <v>227839</v>
      </c>
      <c r="M435">
        <v>130980</v>
      </c>
      <c r="N435">
        <v>11</v>
      </c>
      <c r="O435">
        <f t="shared" si="154"/>
        <v>2.6315789473684209E-2</v>
      </c>
      <c r="P435">
        <v>110</v>
      </c>
      <c r="Q435">
        <f t="shared" si="155"/>
        <v>2.6315789473684209E-2</v>
      </c>
      <c r="R435">
        <v>0.19</v>
      </c>
      <c r="S435">
        <f t="shared" si="162"/>
        <v>1.9</v>
      </c>
      <c r="T435">
        <f t="shared" si="156"/>
        <v>1.4666152064839824E-2</v>
      </c>
      <c r="U435">
        <f t="shared" si="157"/>
        <v>-9.5725951571746987E-2</v>
      </c>
      <c r="V435">
        <f t="shared" si="158"/>
        <v>1.5599999999999999E-2</v>
      </c>
      <c r="W435">
        <v>0.1</v>
      </c>
      <c r="X435">
        <f t="shared" si="159"/>
        <v>0.15599999999999997</v>
      </c>
      <c r="Y435">
        <v>4</v>
      </c>
      <c r="Z435">
        <v>4</v>
      </c>
      <c r="AA435" t="s">
        <v>27</v>
      </c>
      <c r="AB435">
        <f t="shared" si="160"/>
        <v>231.30931671681537</v>
      </c>
      <c r="AC435">
        <f t="shared" si="141"/>
        <v>231.30931671681537</v>
      </c>
      <c r="AE435">
        <v>2</v>
      </c>
      <c r="AF435">
        <v>3</v>
      </c>
      <c r="AG435">
        <v>3</v>
      </c>
      <c r="AH435">
        <f t="shared" si="161"/>
        <v>94.337828895303019</v>
      </c>
      <c r="AI435">
        <f t="shared" si="142"/>
        <v>335.42339162774408</v>
      </c>
    </row>
    <row r="436" spans="1:35" x14ac:dyDescent="0.3">
      <c r="A436">
        <v>2022</v>
      </c>
      <c r="B436" t="s">
        <v>119</v>
      </c>
      <c r="C436" t="s">
        <v>421</v>
      </c>
      <c r="D436" t="s">
        <v>422</v>
      </c>
      <c r="E436" t="s">
        <v>423</v>
      </c>
      <c r="F436">
        <v>118</v>
      </c>
      <c r="G436" t="s">
        <v>22</v>
      </c>
      <c r="H436" t="s">
        <v>67</v>
      </c>
      <c r="I436" t="s">
        <v>68</v>
      </c>
      <c r="J436" t="s">
        <v>69</v>
      </c>
      <c r="K436" t="s">
        <v>190</v>
      </c>
      <c r="L436">
        <v>226797</v>
      </c>
      <c r="M436">
        <v>130116</v>
      </c>
      <c r="N436">
        <v>1</v>
      </c>
      <c r="O436">
        <f t="shared" si="154"/>
        <v>2.3923444976076554E-3</v>
      </c>
      <c r="P436">
        <v>10</v>
      </c>
      <c r="Q436">
        <f t="shared" si="155"/>
        <v>2.3923444976076554E-3</v>
      </c>
      <c r="R436">
        <v>0.42</v>
      </c>
      <c r="S436">
        <f t="shared" si="162"/>
        <v>4.2</v>
      </c>
      <c r="T436">
        <f t="shared" si="156"/>
        <v>3.241991509069856E-2</v>
      </c>
      <c r="U436">
        <f t="shared" si="157"/>
        <v>-1.443895079551377E-2</v>
      </c>
      <c r="V436">
        <f t="shared" si="158"/>
        <v>1.5599999999999999E-2</v>
      </c>
      <c r="W436">
        <v>0.1</v>
      </c>
      <c r="X436">
        <f t="shared" si="159"/>
        <v>0.15599999999999997</v>
      </c>
      <c r="Y436">
        <v>4</v>
      </c>
      <c r="Z436">
        <v>3</v>
      </c>
      <c r="AA436" t="s">
        <v>27</v>
      </c>
      <c r="AB436">
        <f t="shared" si="160"/>
        <v>77.768888380894325</v>
      </c>
      <c r="AC436">
        <f t="shared" si="141"/>
        <v>103.69185117452577</v>
      </c>
      <c r="AE436">
        <v>2</v>
      </c>
      <c r="AF436">
        <v>2</v>
      </c>
      <c r="AG436">
        <v>2</v>
      </c>
      <c r="AH436">
        <f t="shared" si="161"/>
        <v>41.737550236352313</v>
      </c>
      <c r="AI436">
        <f t="shared" si="142"/>
        <v>333.9004018908185</v>
      </c>
    </row>
    <row r="437" spans="1:35" x14ac:dyDescent="0.3">
      <c r="A437">
        <v>2022</v>
      </c>
      <c r="B437" t="s">
        <v>119</v>
      </c>
      <c r="C437" t="s">
        <v>421</v>
      </c>
      <c r="D437" t="s">
        <v>422</v>
      </c>
      <c r="E437" t="s">
        <v>423</v>
      </c>
      <c r="F437">
        <v>118</v>
      </c>
      <c r="G437" t="s">
        <v>22</v>
      </c>
      <c r="H437" t="s">
        <v>67</v>
      </c>
      <c r="I437" t="s">
        <v>76</v>
      </c>
      <c r="J437" t="s">
        <v>156</v>
      </c>
      <c r="K437" t="s">
        <v>157</v>
      </c>
      <c r="L437">
        <v>245755</v>
      </c>
      <c r="M437">
        <v>532020</v>
      </c>
      <c r="N437">
        <v>52</v>
      </c>
      <c r="O437">
        <f t="shared" si="154"/>
        <v>0.12440191387559808</v>
      </c>
      <c r="P437">
        <v>520</v>
      </c>
      <c r="Q437">
        <f t="shared" si="155"/>
        <v>0.12440191387559808</v>
      </c>
      <c r="R437">
        <v>0.2</v>
      </c>
      <c r="S437">
        <f t="shared" si="162"/>
        <v>2</v>
      </c>
      <c r="T437">
        <f t="shared" si="156"/>
        <v>1.5438054805094553E-2</v>
      </c>
      <c r="U437">
        <f t="shared" si="157"/>
        <v>-0.25928316058625145</v>
      </c>
      <c r="V437">
        <f t="shared" si="158"/>
        <v>1.5599999999999999E-2</v>
      </c>
      <c r="W437">
        <v>0.1</v>
      </c>
      <c r="X437">
        <f t="shared" si="159"/>
        <v>0.15599999999999997</v>
      </c>
      <c r="Y437">
        <v>4</v>
      </c>
      <c r="Z437">
        <v>3</v>
      </c>
      <c r="AA437" t="s">
        <v>27</v>
      </c>
      <c r="AB437">
        <f t="shared" si="160"/>
        <v>386.98837191833036</v>
      </c>
      <c r="AC437">
        <f t="shared" si="141"/>
        <v>515.98449589110714</v>
      </c>
      <c r="AE437">
        <v>1.5</v>
      </c>
      <c r="AF437">
        <v>2.2000000000000002</v>
      </c>
      <c r="AG437">
        <v>1</v>
      </c>
      <c r="AH437">
        <f t="shared" si="161"/>
        <v>26.502526200944875</v>
      </c>
      <c r="AI437">
        <f t="shared" si="142"/>
        <v>513.98838692741572</v>
      </c>
    </row>
    <row r="438" spans="1:35" x14ac:dyDescent="0.3">
      <c r="A438">
        <v>2022</v>
      </c>
      <c r="B438" t="s">
        <v>119</v>
      </c>
      <c r="C438" t="s">
        <v>421</v>
      </c>
      <c r="D438" t="s">
        <v>422</v>
      </c>
      <c r="E438" t="s">
        <v>423</v>
      </c>
      <c r="F438">
        <v>118</v>
      </c>
      <c r="G438" t="s">
        <v>22</v>
      </c>
      <c r="H438" t="s">
        <v>67</v>
      </c>
      <c r="I438" t="s">
        <v>430</v>
      </c>
      <c r="J438" t="s">
        <v>431</v>
      </c>
      <c r="K438" t="s">
        <v>432</v>
      </c>
      <c r="L438">
        <v>226997</v>
      </c>
      <c r="M438">
        <v>130367</v>
      </c>
      <c r="N438">
        <v>2</v>
      </c>
      <c r="O438">
        <f t="shared" si="154"/>
        <v>4.7846889952153108E-3</v>
      </c>
      <c r="P438">
        <v>20</v>
      </c>
      <c r="Q438">
        <f t="shared" si="155"/>
        <v>4.7846889952153108E-3</v>
      </c>
      <c r="R438">
        <v>0.08</v>
      </c>
      <c r="S438">
        <f t="shared" si="162"/>
        <v>0.8</v>
      </c>
      <c r="T438">
        <f t="shared" si="156"/>
        <v>6.1752219220378218E-3</v>
      </c>
      <c r="U438">
        <f t="shared" si="157"/>
        <v>-2.5561407904137849E-2</v>
      </c>
      <c r="V438">
        <f t="shared" si="158"/>
        <v>1.5599999999999999E-2</v>
      </c>
      <c r="W438">
        <v>0.1</v>
      </c>
      <c r="X438">
        <f t="shared" si="159"/>
        <v>0.15599999999999997</v>
      </c>
      <c r="Y438">
        <v>4</v>
      </c>
      <c r="Z438">
        <v>3</v>
      </c>
      <c r="AA438" t="s">
        <v>27</v>
      </c>
      <c r="AB438">
        <f t="shared" si="160"/>
        <v>48</v>
      </c>
      <c r="AC438">
        <f t="shared" si="141"/>
        <v>64</v>
      </c>
      <c r="AE438">
        <v>1.88</v>
      </c>
      <c r="AF438">
        <v>2.4</v>
      </c>
      <c r="AG438">
        <v>2.5</v>
      </c>
      <c r="AH438">
        <f t="shared" si="161"/>
        <v>20.178277428958108</v>
      </c>
      <c r="AI438">
        <f t="shared" si="142"/>
        <v>114.48668044798927</v>
      </c>
    </row>
    <row r="439" spans="1:35" x14ac:dyDescent="0.3">
      <c r="A439">
        <v>2022</v>
      </c>
      <c r="B439" t="s">
        <v>119</v>
      </c>
      <c r="C439" t="s">
        <v>421</v>
      </c>
      <c r="D439" t="s">
        <v>422</v>
      </c>
      <c r="E439" t="s">
        <v>423</v>
      </c>
      <c r="F439">
        <v>118</v>
      </c>
      <c r="K439" t="s">
        <v>75</v>
      </c>
      <c r="L439">
        <v>5000018</v>
      </c>
      <c r="M439">
        <v>152391</v>
      </c>
      <c r="N439">
        <v>2</v>
      </c>
      <c r="O439">
        <f t="shared" si="154"/>
        <v>4.7846889952153108E-3</v>
      </c>
      <c r="P439">
        <v>20</v>
      </c>
      <c r="Q439">
        <f t="shared" si="155"/>
        <v>4.7846889952153108E-3</v>
      </c>
      <c r="R439">
        <v>5.0000000000000001E-3</v>
      </c>
      <c r="S439">
        <f t="shared" si="162"/>
        <v>0.05</v>
      </c>
      <c r="T439">
        <f t="shared" si="156"/>
        <v>3.8595137012736386E-4</v>
      </c>
      <c r="U439">
        <f t="shared" si="157"/>
        <v>-2.5561407904137849E-2</v>
      </c>
      <c r="V439">
        <f t="shared" si="158"/>
        <v>1.5599999999999999E-2</v>
      </c>
      <c r="W439">
        <v>0.1</v>
      </c>
      <c r="X439">
        <f t="shared" si="159"/>
        <v>0.15599999999999997</v>
      </c>
      <c r="Y439">
        <v>4</v>
      </c>
      <c r="Z439">
        <v>3</v>
      </c>
      <c r="AA439" t="s">
        <v>27</v>
      </c>
      <c r="AB439">
        <f t="shared" si="160"/>
        <v>12</v>
      </c>
      <c r="AC439">
        <f t="shared" si="141"/>
        <v>16</v>
      </c>
      <c r="AE439">
        <v>2</v>
      </c>
      <c r="AF439">
        <v>2</v>
      </c>
      <c r="AG439">
        <v>2</v>
      </c>
      <c r="AH439">
        <f t="shared" si="161"/>
        <v>1.7888543819998317</v>
      </c>
      <c r="AI439">
        <f t="shared" si="142"/>
        <v>14.310835055998654</v>
      </c>
    </row>
    <row r="440" spans="1:35" x14ac:dyDescent="0.3">
      <c r="A440">
        <v>2022</v>
      </c>
      <c r="B440" t="s">
        <v>119</v>
      </c>
      <c r="C440" t="s">
        <v>421</v>
      </c>
      <c r="D440" t="s">
        <v>422</v>
      </c>
      <c r="E440" t="s">
        <v>423</v>
      </c>
      <c r="F440">
        <v>118</v>
      </c>
      <c r="G440" t="s">
        <v>22</v>
      </c>
      <c r="H440" t="s">
        <v>67</v>
      </c>
      <c r="I440" t="s">
        <v>76</v>
      </c>
      <c r="J440" t="s">
        <v>77</v>
      </c>
      <c r="K440" t="s">
        <v>78</v>
      </c>
      <c r="L440">
        <v>226852</v>
      </c>
      <c r="M440">
        <v>710680</v>
      </c>
      <c r="N440">
        <v>1</v>
      </c>
      <c r="O440">
        <f t="shared" si="154"/>
        <v>2.3923444976076554E-3</v>
      </c>
      <c r="P440">
        <v>10</v>
      </c>
      <c r="Q440">
        <f t="shared" si="155"/>
        <v>2.3923444976076554E-3</v>
      </c>
      <c r="R440">
        <v>0.01</v>
      </c>
      <c r="S440">
        <f t="shared" si="162"/>
        <v>0.1</v>
      </c>
      <c r="T440">
        <f t="shared" si="156"/>
        <v>7.7190274025472772E-4</v>
      </c>
      <c r="U440">
        <f t="shared" si="157"/>
        <v>-1.443895079551377E-2</v>
      </c>
      <c r="V440">
        <f t="shared" si="158"/>
        <v>1.5599999999999999E-2</v>
      </c>
      <c r="W440">
        <v>0.1</v>
      </c>
      <c r="X440">
        <f t="shared" si="159"/>
        <v>0.15599999999999997</v>
      </c>
      <c r="Y440">
        <v>4</v>
      </c>
      <c r="Z440">
        <v>3</v>
      </c>
      <c r="AA440" t="s">
        <v>27</v>
      </c>
      <c r="AB440">
        <f t="shared" si="160"/>
        <v>12</v>
      </c>
      <c r="AC440">
        <f t="shared" si="141"/>
        <v>16</v>
      </c>
      <c r="AE440">
        <v>1</v>
      </c>
      <c r="AF440">
        <v>2</v>
      </c>
      <c r="AG440">
        <v>1</v>
      </c>
      <c r="AH440">
        <f t="shared" si="161"/>
        <v>0.63245553203367599</v>
      </c>
      <c r="AI440">
        <f t="shared" si="142"/>
        <v>20.238577025077632</v>
      </c>
    </row>
    <row r="441" spans="1:35" x14ac:dyDescent="0.3">
      <c r="A441">
        <v>2022</v>
      </c>
      <c r="B441" t="s">
        <v>119</v>
      </c>
      <c r="C441" t="s">
        <v>421</v>
      </c>
      <c r="D441" t="s">
        <v>422</v>
      </c>
      <c r="E441" t="s">
        <v>423</v>
      </c>
      <c r="F441">
        <v>118</v>
      </c>
      <c r="G441" t="s">
        <v>51</v>
      </c>
      <c r="H441" t="s">
        <v>126</v>
      </c>
      <c r="I441" t="s">
        <v>427</v>
      </c>
      <c r="J441" t="s">
        <v>428</v>
      </c>
      <c r="K441" t="s">
        <v>429</v>
      </c>
      <c r="L441">
        <v>233388</v>
      </c>
      <c r="M441">
        <v>101963</v>
      </c>
      <c r="N441">
        <v>1</v>
      </c>
      <c r="O441">
        <f t="shared" si="154"/>
        <v>2.3923444976076554E-3</v>
      </c>
      <c r="P441">
        <v>10</v>
      </c>
      <c r="Q441">
        <f t="shared" si="155"/>
        <v>2.3923444976076554E-3</v>
      </c>
      <c r="R441">
        <v>5.0000000000000001E-3</v>
      </c>
      <c r="S441">
        <f t="shared" si="162"/>
        <v>0.05</v>
      </c>
      <c r="T441">
        <f t="shared" si="156"/>
        <v>3.8595137012736386E-4</v>
      </c>
      <c r="U441">
        <f t="shared" si="157"/>
        <v>-1.443895079551377E-2</v>
      </c>
      <c r="V441">
        <f t="shared" si="158"/>
        <v>1.5599999999999999E-2</v>
      </c>
      <c r="W441">
        <v>0.1</v>
      </c>
      <c r="X441">
        <f t="shared" si="159"/>
        <v>0.15599999999999997</v>
      </c>
      <c r="Y441">
        <v>2</v>
      </c>
      <c r="Z441">
        <v>3</v>
      </c>
      <c r="AA441" t="s">
        <v>27</v>
      </c>
      <c r="AB441">
        <f t="shared" si="160"/>
        <v>4.2426406871192848</v>
      </c>
      <c r="AC441">
        <f t="shared" si="141"/>
        <v>11.313708498984759</v>
      </c>
      <c r="AE441">
        <v>1</v>
      </c>
      <c r="AF441">
        <v>3</v>
      </c>
      <c r="AG441">
        <v>1</v>
      </c>
      <c r="AH441">
        <f t="shared" si="161"/>
        <v>0.56409046396295937</v>
      </c>
      <c r="AI441">
        <f t="shared" si="142"/>
        <v>12.033929897876465</v>
      </c>
    </row>
    <row r="442" spans="1:35" x14ac:dyDescent="0.3">
      <c r="A442">
        <v>2022</v>
      </c>
      <c r="B442" t="s">
        <v>119</v>
      </c>
      <c r="C442" t="s">
        <v>421</v>
      </c>
      <c r="D442" t="s">
        <v>422</v>
      </c>
      <c r="E442" t="s">
        <v>423</v>
      </c>
      <c r="F442">
        <v>118</v>
      </c>
      <c r="G442" t="s">
        <v>79</v>
      </c>
      <c r="H442" t="s">
        <v>80</v>
      </c>
      <c r="I442" t="s">
        <v>81</v>
      </c>
      <c r="J442" t="s">
        <v>177</v>
      </c>
      <c r="K442" t="s">
        <v>446</v>
      </c>
      <c r="L442">
        <v>218353</v>
      </c>
      <c r="M442">
        <v>141672</v>
      </c>
      <c r="N442">
        <v>35</v>
      </c>
      <c r="O442">
        <f t="shared" si="154"/>
        <v>8.3732057416267949E-2</v>
      </c>
      <c r="P442">
        <v>350</v>
      </c>
      <c r="Q442">
        <f t="shared" si="155"/>
        <v>8.3732057416267949E-2</v>
      </c>
      <c r="R442">
        <v>0.28999999999999998</v>
      </c>
      <c r="S442">
        <f t="shared" si="162"/>
        <v>2.9</v>
      </c>
      <c r="T442">
        <f t="shared" si="156"/>
        <v>2.2385179467387103E-2</v>
      </c>
      <c r="U442">
        <f t="shared" si="157"/>
        <v>-0.20766666982353346</v>
      </c>
      <c r="V442">
        <f t="shared" si="158"/>
        <v>1.5599999999999999E-2</v>
      </c>
      <c r="W442">
        <v>0.1</v>
      </c>
      <c r="X442">
        <f t="shared" si="159"/>
        <v>0.15599999999999997</v>
      </c>
      <c r="Y442">
        <v>3</v>
      </c>
      <c r="Z442">
        <v>2</v>
      </c>
      <c r="AA442" t="s">
        <v>93</v>
      </c>
      <c r="AB442">
        <f t="shared" si="160"/>
        <v>191.15438786488789</v>
      </c>
      <c r="AC442">
        <f t="shared" si="141"/>
        <v>509.74503430636776</v>
      </c>
      <c r="AE442">
        <v>3</v>
      </c>
      <c r="AF442">
        <v>3</v>
      </c>
      <c r="AG442">
        <v>3</v>
      </c>
      <c r="AH442">
        <f t="shared" si="161"/>
        <v>259.52504419456938</v>
      </c>
      <c r="AI442">
        <f t="shared" si="142"/>
        <v>615.17047512786814</v>
      </c>
    </row>
    <row r="443" spans="1:35" x14ac:dyDescent="0.3">
      <c r="A443">
        <v>2022</v>
      </c>
      <c r="B443" t="s">
        <v>119</v>
      </c>
      <c r="C443" t="s">
        <v>421</v>
      </c>
      <c r="D443" t="s">
        <v>422</v>
      </c>
      <c r="E443" t="s">
        <v>423</v>
      </c>
      <c r="F443">
        <v>118</v>
      </c>
      <c r="G443" t="s">
        <v>22</v>
      </c>
      <c r="H443" t="s">
        <v>56</v>
      </c>
      <c r="I443" t="s">
        <v>90</v>
      </c>
      <c r="J443" t="s">
        <v>282</v>
      </c>
      <c r="K443" t="s">
        <v>283</v>
      </c>
      <c r="L443">
        <v>227527</v>
      </c>
      <c r="M443">
        <v>154972</v>
      </c>
      <c r="N443">
        <v>5</v>
      </c>
      <c r="O443">
        <f t="shared" si="154"/>
        <v>1.1961722488038277E-2</v>
      </c>
      <c r="P443">
        <v>50</v>
      </c>
      <c r="Q443">
        <f t="shared" si="155"/>
        <v>1.1961722488038277E-2</v>
      </c>
      <c r="R443">
        <v>0.6</v>
      </c>
      <c r="S443">
        <f t="shared" si="162"/>
        <v>6</v>
      </c>
      <c r="T443">
        <f t="shared" si="156"/>
        <v>4.631416441528366E-2</v>
      </c>
      <c r="U443">
        <f t="shared" si="157"/>
        <v>-5.2943104307304492E-2</v>
      </c>
      <c r="V443">
        <f t="shared" si="158"/>
        <v>1.5599999999999999E-2</v>
      </c>
      <c r="W443">
        <v>0.1</v>
      </c>
      <c r="X443">
        <f t="shared" si="159"/>
        <v>0.15599999999999997</v>
      </c>
      <c r="Y443">
        <v>3</v>
      </c>
      <c r="Z443">
        <v>1</v>
      </c>
      <c r="AA443" t="s">
        <v>93</v>
      </c>
      <c r="AB443">
        <f t="shared" si="160"/>
        <v>51.96152422706632</v>
      </c>
      <c r="AC443">
        <f t="shared" si="141"/>
        <v>277.12812921102039</v>
      </c>
      <c r="AE443">
        <v>1.5</v>
      </c>
      <c r="AF443">
        <v>2.5</v>
      </c>
      <c r="AG443">
        <v>2.5</v>
      </c>
      <c r="AH443">
        <f t="shared" si="161"/>
        <v>95.571238772650673</v>
      </c>
      <c r="AI443">
        <f t="shared" si="142"/>
        <v>652.43299002129515</v>
      </c>
    </row>
    <row r="444" spans="1:35" x14ac:dyDescent="0.3">
      <c r="A444">
        <v>2022</v>
      </c>
      <c r="B444" t="s">
        <v>119</v>
      </c>
      <c r="C444" t="s">
        <v>421</v>
      </c>
      <c r="D444" t="s">
        <v>422</v>
      </c>
      <c r="E444" t="s">
        <v>423</v>
      </c>
      <c r="F444">
        <v>118</v>
      </c>
      <c r="G444" t="s">
        <v>79</v>
      </c>
      <c r="H444" t="s">
        <v>80</v>
      </c>
      <c r="I444" t="s">
        <v>81</v>
      </c>
      <c r="J444" t="s">
        <v>177</v>
      </c>
      <c r="K444" t="s">
        <v>177</v>
      </c>
      <c r="L444">
        <v>1005144</v>
      </c>
      <c r="M444">
        <v>138552</v>
      </c>
      <c r="N444">
        <v>11</v>
      </c>
      <c r="O444">
        <f t="shared" si="154"/>
        <v>2.6315789473684209E-2</v>
      </c>
      <c r="P444">
        <v>110</v>
      </c>
      <c r="Q444">
        <f t="shared" si="155"/>
        <v>2.6315789473684209E-2</v>
      </c>
      <c r="R444">
        <v>0.02</v>
      </c>
      <c r="S444">
        <f t="shared" si="162"/>
        <v>0.2</v>
      </c>
      <c r="T444">
        <f t="shared" si="156"/>
        <v>1.5438054805094554E-3</v>
      </c>
      <c r="U444">
        <f t="shared" si="157"/>
        <v>-9.5725951571746987E-2</v>
      </c>
      <c r="V444">
        <f t="shared" si="158"/>
        <v>1.5599999999999999E-2</v>
      </c>
      <c r="W444">
        <v>0.1</v>
      </c>
      <c r="X444">
        <f t="shared" si="159"/>
        <v>0.15599999999999997</v>
      </c>
      <c r="Y444">
        <v>3</v>
      </c>
      <c r="Z444">
        <v>2</v>
      </c>
      <c r="AA444" t="s">
        <v>93</v>
      </c>
      <c r="AB444">
        <f t="shared" si="160"/>
        <v>28.142494558940577</v>
      </c>
      <c r="AC444">
        <f t="shared" si="141"/>
        <v>75.046652157174876</v>
      </c>
      <c r="AE444">
        <v>3</v>
      </c>
      <c r="AF444">
        <v>3</v>
      </c>
      <c r="AG444">
        <v>3</v>
      </c>
      <c r="AH444">
        <f t="shared" si="161"/>
        <v>26.15076705915633</v>
      </c>
      <c r="AI444">
        <f t="shared" si="142"/>
        <v>61.987003399481679</v>
      </c>
    </row>
    <row r="445" spans="1:35" x14ac:dyDescent="0.3">
      <c r="A445">
        <v>2022</v>
      </c>
      <c r="B445" t="s">
        <v>119</v>
      </c>
      <c r="C445" t="s">
        <v>421</v>
      </c>
      <c r="D445" t="s">
        <v>422</v>
      </c>
      <c r="E445" t="s">
        <v>423</v>
      </c>
      <c r="F445">
        <v>118</v>
      </c>
      <c r="G445" t="s">
        <v>22</v>
      </c>
      <c r="H445" t="s">
        <v>135</v>
      </c>
      <c r="I445" t="s">
        <v>142</v>
      </c>
      <c r="J445" t="s">
        <v>143</v>
      </c>
      <c r="K445" t="s">
        <v>144</v>
      </c>
      <c r="L445">
        <v>227556</v>
      </c>
      <c r="M445">
        <v>146950</v>
      </c>
      <c r="N445">
        <v>7</v>
      </c>
      <c r="O445">
        <f t="shared" si="154"/>
        <v>1.6746411483253589E-2</v>
      </c>
      <c r="P445">
        <v>70</v>
      </c>
      <c r="Q445">
        <f t="shared" si="155"/>
        <v>1.6746411483253589E-2</v>
      </c>
      <c r="R445">
        <v>0.02</v>
      </c>
      <c r="S445">
        <f t="shared" si="162"/>
        <v>0.2</v>
      </c>
      <c r="T445">
        <f t="shared" si="156"/>
        <v>1.5438054805094554E-3</v>
      </c>
      <c r="U445">
        <f t="shared" si="157"/>
        <v>-6.8485643503076801E-2</v>
      </c>
      <c r="V445">
        <f t="shared" si="158"/>
        <v>1.5599999999999999E-2</v>
      </c>
      <c r="W445">
        <v>0.1</v>
      </c>
      <c r="X445">
        <f t="shared" si="159"/>
        <v>0.15599999999999997</v>
      </c>
      <c r="Y445">
        <v>3</v>
      </c>
      <c r="Z445">
        <v>1</v>
      </c>
      <c r="AA445" t="s">
        <v>93</v>
      </c>
      <c r="AB445">
        <f t="shared" si="160"/>
        <v>11.224972160321824</v>
      </c>
      <c r="AC445">
        <f t="shared" si="141"/>
        <v>59.866518188383061</v>
      </c>
      <c r="AE445">
        <v>3</v>
      </c>
      <c r="AF445">
        <v>3</v>
      </c>
      <c r="AG445">
        <v>1</v>
      </c>
      <c r="AH445">
        <f t="shared" si="161"/>
        <v>7.7855539087298</v>
      </c>
      <c r="AI445">
        <f t="shared" si="142"/>
        <v>55.363938906523018</v>
      </c>
    </row>
    <row r="446" spans="1:35" x14ac:dyDescent="0.3">
      <c r="A446">
        <v>2022</v>
      </c>
      <c r="B446" t="s">
        <v>119</v>
      </c>
      <c r="C446" t="s">
        <v>421</v>
      </c>
      <c r="D446" t="s">
        <v>422</v>
      </c>
      <c r="E446" t="s">
        <v>423</v>
      </c>
      <c r="F446">
        <v>118</v>
      </c>
      <c r="G446" t="s">
        <v>22</v>
      </c>
      <c r="H446" t="s">
        <v>56</v>
      </c>
      <c r="I446" t="s">
        <v>90</v>
      </c>
      <c r="J446" t="s">
        <v>439</v>
      </c>
      <c r="K446" t="s">
        <v>440</v>
      </c>
      <c r="L446">
        <v>227508</v>
      </c>
      <c r="M446">
        <v>131494</v>
      </c>
      <c r="N446">
        <v>2</v>
      </c>
      <c r="O446">
        <f t="shared" si="154"/>
        <v>4.7846889952153108E-3</v>
      </c>
      <c r="P446">
        <v>20</v>
      </c>
      <c r="Q446">
        <f t="shared" si="155"/>
        <v>4.7846889952153108E-3</v>
      </c>
      <c r="R446">
        <v>0.01</v>
      </c>
      <c r="S446">
        <f t="shared" si="162"/>
        <v>0.1</v>
      </c>
      <c r="T446">
        <f t="shared" si="156"/>
        <v>7.7190274025472772E-4</v>
      </c>
      <c r="U446">
        <f t="shared" si="157"/>
        <v>-2.5561407904137849E-2</v>
      </c>
      <c r="V446">
        <f t="shared" si="158"/>
        <v>1.5599999999999999E-2</v>
      </c>
      <c r="W446">
        <v>0.1</v>
      </c>
      <c r="X446">
        <f t="shared" si="159"/>
        <v>0.15599999999999997</v>
      </c>
      <c r="Y446">
        <v>3</v>
      </c>
      <c r="Z446">
        <v>1.33</v>
      </c>
      <c r="AA446" t="s">
        <v>93</v>
      </c>
      <c r="AB446">
        <f t="shared" si="160"/>
        <v>5.6427121138686491</v>
      </c>
      <c r="AC446">
        <f t="shared" si="141"/>
        <v>22.627416997969519</v>
      </c>
      <c r="AE446">
        <v>1.5</v>
      </c>
      <c r="AF446">
        <v>2.5</v>
      </c>
      <c r="AG446">
        <v>2.5</v>
      </c>
      <c r="AH446">
        <f t="shared" si="161"/>
        <v>3.5255653997684959</v>
      </c>
      <c r="AI446">
        <f t="shared" si="142"/>
        <v>24.067859795752931</v>
      </c>
    </row>
    <row r="447" spans="1:35" x14ac:dyDescent="0.3">
      <c r="A447">
        <v>2022</v>
      </c>
      <c r="B447" t="s">
        <v>119</v>
      </c>
      <c r="C447" t="s">
        <v>421</v>
      </c>
      <c r="D447" t="s">
        <v>422</v>
      </c>
      <c r="E447" t="s">
        <v>423</v>
      </c>
      <c r="F447">
        <v>118</v>
      </c>
      <c r="G447" t="s">
        <v>79</v>
      </c>
      <c r="H447" t="s">
        <v>80</v>
      </c>
      <c r="I447" t="s">
        <v>81</v>
      </c>
      <c r="J447" t="s">
        <v>82</v>
      </c>
      <c r="K447" t="s">
        <v>83</v>
      </c>
      <c r="L447">
        <v>218348</v>
      </c>
      <c r="M447">
        <v>954693</v>
      </c>
      <c r="N447">
        <v>39</v>
      </c>
      <c r="O447">
        <f t="shared" si="154"/>
        <v>9.3301435406698566E-2</v>
      </c>
      <c r="P447">
        <v>390</v>
      </c>
      <c r="Q447">
        <f t="shared" si="155"/>
        <v>9.3301435406698566E-2</v>
      </c>
      <c r="R447">
        <v>0.35</v>
      </c>
      <c r="S447">
        <f t="shared" si="162"/>
        <v>3.5</v>
      </c>
      <c r="T447">
        <f t="shared" si="156"/>
        <v>2.7016595908915468E-2</v>
      </c>
      <c r="U447">
        <f t="shared" si="157"/>
        <v>-0.22130352074021362</v>
      </c>
      <c r="V447">
        <f t="shared" si="158"/>
        <v>1.5599999999999999E-2</v>
      </c>
      <c r="W447">
        <v>0.1</v>
      </c>
      <c r="X447">
        <f t="shared" si="159"/>
        <v>0.15599999999999997</v>
      </c>
      <c r="Y447">
        <v>2</v>
      </c>
      <c r="Z447">
        <v>2</v>
      </c>
      <c r="AA447" t="s">
        <v>50</v>
      </c>
      <c r="AB447">
        <f t="shared" si="160"/>
        <v>147.78362561528931</v>
      </c>
      <c r="AC447">
        <f t="shared" si="141"/>
        <v>591.13450246115724</v>
      </c>
      <c r="AE447">
        <v>2.5</v>
      </c>
      <c r="AF447">
        <v>2</v>
      </c>
      <c r="AG447">
        <v>2.5</v>
      </c>
      <c r="AH447">
        <f t="shared" si="161"/>
        <v>142.14356321898765</v>
      </c>
      <c r="AI447">
        <f t="shared" si="142"/>
        <v>727.77504368121674</v>
      </c>
    </row>
    <row r="448" spans="1:35" x14ac:dyDescent="0.3">
      <c r="A448">
        <v>2022</v>
      </c>
      <c r="B448" t="s">
        <v>119</v>
      </c>
      <c r="C448" t="s">
        <v>421</v>
      </c>
      <c r="D448" t="s">
        <v>422</v>
      </c>
      <c r="E448" t="s">
        <v>423</v>
      </c>
      <c r="F448">
        <v>118</v>
      </c>
      <c r="G448" t="s">
        <v>79</v>
      </c>
      <c r="H448" t="s">
        <v>245</v>
      </c>
      <c r="I448" t="s">
        <v>246</v>
      </c>
      <c r="J448" t="s">
        <v>418</v>
      </c>
      <c r="K448" t="s">
        <v>419</v>
      </c>
      <c r="L448">
        <v>218229</v>
      </c>
      <c r="M448">
        <v>140584</v>
      </c>
      <c r="N448">
        <v>22</v>
      </c>
      <c r="O448">
        <f t="shared" si="154"/>
        <v>5.2631578947368418E-2</v>
      </c>
      <c r="P448">
        <v>220</v>
      </c>
      <c r="Q448">
        <f t="shared" si="155"/>
        <v>5.2631578947368418E-2</v>
      </c>
      <c r="R448">
        <v>0.87</v>
      </c>
      <c r="S448">
        <f t="shared" si="162"/>
        <v>8.6999999999999993</v>
      </c>
      <c r="T448">
        <f t="shared" si="156"/>
        <v>6.7155538402161305E-2</v>
      </c>
      <c r="U448">
        <f t="shared" si="157"/>
        <v>-0.15497047258770741</v>
      </c>
      <c r="V448">
        <f t="shared" si="158"/>
        <v>1.5599999999999999E-2</v>
      </c>
      <c r="W448">
        <v>0.1</v>
      </c>
      <c r="X448">
        <f t="shared" si="159"/>
        <v>0.15599999999999997</v>
      </c>
      <c r="Y448">
        <v>3</v>
      </c>
      <c r="Z448">
        <v>2</v>
      </c>
      <c r="AA448" t="s">
        <v>50</v>
      </c>
      <c r="AB448">
        <f t="shared" si="160"/>
        <v>262.49571425072827</v>
      </c>
      <c r="AC448">
        <f t="shared" si="141"/>
        <v>699.98857133527542</v>
      </c>
      <c r="AE448">
        <v>1</v>
      </c>
      <c r="AF448">
        <v>3.5</v>
      </c>
      <c r="AG448">
        <v>2</v>
      </c>
      <c r="AH448">
        <f t="shared" si="161"/>
        <v>136.56617625720597</v>
      </c>
      <c r="AI448">
        <f t="shared" si="142"/>
        <v>1248.605040065883</v>
      </c>
    </row>
    <row r="449" spans="1:35" x14ac:dyDescent="0.3">
      <c r="A449">
        <v>2022</v>
      </c>
      <c r="B449" t="s">
        <v>119</v>
      </c>
      <c r="C449" t="s">
        <v>421</v>
      </c>
      <c r="D449" t="s">
        <v>422</v>
      </c>
      <c r="E449" t="s">
        <v>423</v>
      </c>
      <c r="F449">
        <v>118</v>
      </c>
      <c r="G449" t="s">
        <v>22</v>
      </c>
      <c r="H449" t="s">
        <v>56</v>
      </c>
      <c r="I449" t="s">
        <v>132</v>
      </c>
      <c r="J449" t="s">
        <v>133</v>
      </c>
      <c r="K449" t="s">
        <v>134</v>
      </c>
      <c r="L449">
        <v>227416</v>
      </c>
      <c r="M449">
        <v>129955</v>
      </c>
      <c r="N449">
        <v>22</v>
      </c>
      <c r="O449">
        <f t="shared" si="154"/>
        <v>5.2631578947368418E-2</v>
      </c>
      <c r="P449">
        <v>220</v>
      </c>
      <c r="Q449">
        <f t="shared" si="155"/>
        <v>5.2631578947368418E-2</v>
      </c>
      <c r="R449">
        <v>0.05</v>
      </c>
      <c r="S449">
        <f t="shared" si="162"/>
        <v>0.5</v>
      </c>
      <c r="T449">
        <f t="shared" si="156"/>
        <v>3.8595137012736383E-3</v>
      </c>
      <c r="U449">
        <f t="shared" si="157"/>
        <v>-0.15497047258770741</v>
      </c>
      <c r="V449">
        <f t="shared" si="158"/>
        <v>1.5599999999999999E-2</v>
      </c>
      <c r="W449">
        <v>0.1</v>
      </c>
      <c r="X449">
        <f t="shared" si="159"/>
        <v>0.15599999999999997</v>
      </c>
      <c r="Y449">
        <v>2</v>
      </c>
      <c r="Z449">
        <v>2</v>
      </c>
      <c r="AA449" t="s">
        <v>50</v>
      </c>
      <c r="AB449">
        <f t="shared" si="160"/>
        <v>41.952353926806062</v>
      </c>
      <c r="AC449">
        <f t="shared" si="141"/>
        <v>167.80941570722425</v>
      </c>
      <c r="AE449">
        <v>3</v>
      </c>
      <c r="AF449">
        <v>3</v>
      </c>
      <c r="AG449">
        <v>2</v>
      </c>
      <c r="AH449">
        <f t="shared" si="161"/>
        <v>41.219780858656272</v>
      </c>
      <c r="AI449">
        <f t="shared" si="142"/>
        <v>146.55922083077786</v>
      </c>
    </row>
    <row r="450" spans="1:35" x14ac:dyDescent="0.3">
      <c r="A450">
        <v>2022</v>
      </c>
      <c r="B450" t="s">
        <v>119</v>
      </c>
      <c r="C450" t="s">
        <v>421</v>
      </c>
      <c r="D450" t="s">
        <v>422</v>
      </c>
      <c r="E450" t="s">
        <v>423</v>
      </c>
      <c r="F450">
        <v>118</v>
      </c>
      <c r="G450" t="s">
        <v>22</v>
      </c>
      <c r="H450" t="s">
        <v>56</v>
      </c>
      <c r="I450" t="s">
        <v>132</v>
      </c>
      <c r="J450" t="s">
        <v>175</v>
      </c>
      <c r="K450" t="s">
        <v>176</v>
      </c>
      <c r="L450">
        <v>227433</v>
      </c>
      <c r="M450">
        <v>152269</v>
      </c>
      <c r="N450">
        <v>20</v>
      </c>
      <c r="O450">
        <f t="shared" si="154"/>
        <v>4.784688995215311E-2</v>
      </c>
      <c r="P450">
        <v>200</v>
      </c>
      <c r="Q450">
        <f t="shared" si="155"/>
        <v>4.784688995215311E-2</v>
      </c>
      <c r="R450">
        <v>0.04</v>
      </c>
      <c r="S450">
        <f t="shared" si="162"/>
        <v>0.4</v>
      </c>
      <c r="T450">
        <f t="shared" si="156"/>
        <v>3.0876109610189109E-3</v>
      </c>
      <c r="U450">
        <f t="shared" si="157"/>
        <v>-0.14544254349142419</v>
      </c>
      <c r="V450">
        <f t="shared" si="158"/>
        <v>1.5599999999999999E-2</v>
      </c>
      <c r="W450">
        <v>0.1</v>
      </c>
      <c r="X450">
        <f t="shared" si="159"/>
        <v>0.15599999999999997</v>
      </c>
      <c r="Y450">
        <v>2</v>
      </c>
      <c r="Z450">
        <v>2</v>
      </c>
      <c r="AA450" t="s">
        <v>50</v>
      </c>
      <c r="AB450">
        <f t="shared" si="160"/>
        <v>35.777087639996637</v>
      </c>
      <c r="AC450">
        <f t="shared" si="141"/>
        <v>143.10835055998655</v>
      </c>
      <c r="AE450">
        <v>2.5</v>
      </c>
      <c r="AF450">
        <v>2.2000000000000002</v>
      </c>
      <c r="AG450">
        <v>2</v>
      </c>
      <c r="AH450">
        <f t="shared" si="161"/>
        <v>20.806315398069867</v>
      </c>
      <c r="AI450">
        <f t="shared" si="142"/>
        <v>121.05492595240648</v>
      </c>
    </row>
    <row r="451" spans="1:35" x14ac:dyDescent="0.3">
      <c r="A451">
        <v>2022</v>
      </c>
      <c r="B451" t="s">
        <v>119</v>
      </c>
      <c r="C451" t="s">
        <v>421</v>
      </c>
      <c r="D451" t="s">
        <v>422</v>
      </c>
      <c r="E451" t="s">
        <v>423</v>
      </c>
      <c r="F451">
        <v>118</v>
      </c>
      <c r="G451" t="s">
        <v>22</v>
      </c>
      <c r="H451" t="s">
        <v>135</v>
      </c>
      <c r="I451" t="s">
        <v>136</v>
      </c>
      <c r="J451" t="s">
        <v>437</v>
      </c>
      <c r="K451" t="s">
        <v>438</v>
      </c>
      <c r="L451">
        <v>227587</v>
      </c>
      <c r="M451">
        <v>130906</v>
      </c>
      <c r="N451">
        <v>8</v>
      </c>
      <c r="O451">
        <f t="shared" si="154"/>
        <v>1.9138755980861243E-2</v>
      </c>
      <c r="P451">
        <v>80</v>
      </c>
      <c r="Q451">
        <f t="shared" si="155"/>
        <v>1.9138755980861243E-2</v>
      </c>
      <c r="R451">
        <v>0.15</v>
      </c>
      <c r="S451">
        <f t="shared" si="162"/>
        <v>1.5</v>
      </c>
      <c r="T451">
        <f t="shared" si="156"/>
        <v>1.1578541103820915E-2</v>
      </c>
      <c r="U451">
        <f t="shared" si="157"/>
        <v>-7.5713682121433881E-2</v>
      </c>
      <c r="V451">
        <f t="shared" si="158"/>
        <v>1.5599999999999999E-2</v>
      </c>
      <c r="W451">
        <v>0.1</v>
      </c>
      <c r="X451">
        <f t="shared" si="159"/>
        <v>0.15599999999999997</v>
      </c>
      <c r="Y451">
        <v>2</v>
      </c>
      <c r="Z451">
        <v>1</v>
      </c>
      <c r="AA451" t="s">
        <v>50</v>
      </c>
      <c r="AB451">
        <f t="shared" si="160"/>
        <v>21.908902300206641</v>
      </c>
      <c r="AC451">
        <f t="shared" ref="AC451:AC514" si="163">(SQRT(S451/P451))*P451*4*4</f>
        <v>175.27121840165313</v>
      </c>
      <c r="AE451">
        <v>3</v>
      </c>
      <c r="AF451">
        <v>1</v>
      </c>
      <c r="AG451">
        <v>1</v>
      </c>
      <c r="AH451">
        <f t="shared" si="161"/>
        <v>12.160801393263309</v>
      </c>
      <c r="AI451">
        <f t="shared" ref="AI451:AI514" si="164">((S451/P451)^0.75)*P451*4*4*4</f>
        <v>259.43042972295058</v>
      </c>
    </row>
    <row r="452" spans="1:35" x14ac:dyDescent="0.3">
      <c r="A452">
        <v>2022</v>
      </c>
      <c r="B452" t="s">
        <v>119</v>
      </c>
      <c r="C452" t="s">
        <v>421</v>
      </c>
      <c r="D452" t="s">
        <v>422</v>
      </c>
      <c r="E452" t="s">
        <v>423</v>
      </c>
      <c r="F452">
        <v>118</v>
      </c>
      <c r="G452" t="s">
        <v>79</v>
      </c>
      <c r="H452" t="s">
        <v>245</v>
      </c>
      <c r="I452" t="s">
        <v>246</v>
      </c>
      <c r="J452" t="s">
        <v>247</v>
      </c>
      <c r="K452" t="s">
        <v>441</v>
      </c>
      <c r="L452">
        <v>218232</v>
      </c>
      <c r="M452">
        <v>140590</v>
      </c>
      <c r="N452">
        <v>3</v>
      </c>
      <c r="O452">
        <f t="shared" si="154"/>
        <v>7.1770334928229667E-3</v>
      </c>
      <c r="P452">
        <v>30</v>
      </c>
      <c r="Q452">
        <f t="shared" si="155"/>
        <v>7.1770334928229667E-3</v>
      </c>
      <c r="R452">
        <v>0.03</v>
      </c>
      <c r="S452">
        <f t="shared" si="162"/>
        <v>0.3</v>
      </c>
      <c r="T452">
        <f t="shared" si="156"/>
        <v>2.3157082207641831E-3</v>
      </c>
      <c r="U452">
        <f t="shared" si="157"/>
        <v>-3.5432075195143395E-2</v>
      </c>
      <c r="V452">
        <f t="shared" si="158"/>
        <v>1.5599999999999999E-2</v>
      </c>
      <c r="W452">
        <v>0.1</v>
      </c>
      <c r="X452">
        <f t="shared" si="159"/>
        <v>0.15599999999999997</v>
      </c>
      <c r="Y452">
        <v>2</v>
      </c>
      <c r="Z452">
        <v>3</v>
      </c>
      <c r="AA452" t="s">
        <v>50</v>
      </c>
      <c r="AB452">
        <f t="shared" si="160"/>
        <v>18</v>
      </c>
      <c r="AC452">
        <f t="shared" si="163"/>
        <v>48</v>
      </c>
      <c r="AE452">
        <v>3</v>
      </c>
      <c r="AF452">
        <v>3</v>
      </c>
      <c r="AG452">
        <v>1</v>
      </c>
      <c r="AH452">
        <f t="shared" si="161"/>
        <v>8.5381496824546268</v>
      </c>
      <c r="AI452">
        <f t="shared" si="164"/>
        <v>60.715731075232895</v>
      </c>
    </row>
    <row r="453" spans="1:35" x14ac:dyDescent="0.3">
      <c r="A453">
        <v>2022</v>
      </c>
      <c r="B453" t="s">
        <v>119</v>
      </c>
      <c r="C453" t="s">
        <v>421</v>
      </c>
      <c r="D453" t="s">
        <v>422</v>
      </c>
      <c r="E453" t="s">
        <v>423</v>
      </c>
      <c r="F453">
        <v>118</v>
      </c>
      <c r="G453" t="s">
        <v>51</v>
      </c>
      <c r="H453" t="s">
        <v>211</v>
      </c>
      <c r="I453" t="s">
        <v>442</v>
      </c>
      <c r="J453" t="s">
        <v>443</v>
      </c>
      <c r="K453" t="s">
        <v>444</v>
      </c>
      <c r="L453">
        <v>102823</v>
      </c>
      <c r="M453">
        <v>107648</v>
      </c>
      <c r="N453">
        <v>1</v>
      </c>
      <c r="O453">
        <f t="shared" si="154"/>
        <v>2.3923444976076554E-3</v>
      </c>
      <c r="P453">
        <v>10</v>
      </c>
      <c r="Q453">
        <f t="shared" si="155"/>
        <v>2.3923444976076554E-3</v>
      </c>
      <c r="R453">
        <v>0.04</v>
      </c>
      <c r="S453">
        <f t="shared" si="162"/>
        <v>0.4</v>
      </c>
      <c r="T453">
        <f t="shared" si="156"/>
        <v>3.0876109610189109E-3</v>
      </c>
      <c r="U453">
        <f t="shared" si="157"/>
        <v>-1.443895079551377E-2</v>
      </c>
      <c r="V453">
        <f t="shared" si="158"/>
        <v>1.5599999999999999E-2</v>
      </c>
      <c r="W453">
        <v>0.1</v>
      </c>
      <c r="X453">
        <f t="shared" si="159"/>
        <v>0.15599999999999997</v>
      </c>
      <c r="Y453">
        <v>2</v>
      </c>
      <c r="Z453">
        <v>2</v>
      </c>
      <c r="AA453" t="s">
        <v>50</v>
      </c>
      <c r="AB453">
        <f t="shared" si="160"/>
        <v>8</v>
      </c>
      <c r="AC453">
        <f t="shared" si="163"/>
        <v>32</v>
      </c>
      <c r="AE453">
        <v>1</v>
      </c>
      <c r="AF453">
        <v>2</v>
      </c>
      <c r="AG453">
        <v>1</v>
      </c>
      <c r="AH453">
        <f t="shared" si="161"/>
        <v>1.7888543819998324</v>
      </c>
      <c r="AI453">
        <f t="shared" si="164"/>
        <v>57.243340223994636</v>
      </c>
    </row>
    <row r="454" spans="1:35" x14ac:dyDescent="0.3">
      <c r="A454">
        <v>2022</v>
      </c>
      <c r="B454" t="s">
        <v>119</v>
      </c>
      <c r="C454" t="s">
        <v>421</v>
      </c>
      <c r="D454" t="s">
        <v>422</v>
      </c>
      <c r="E454" t="s">
        <v>423</v>
      </c>
      <c r="F454">
        <v>118</v>
      </c>
      <c r="G454" t="s">
        <v>22</v>
      </c>
      <c r="I454" t="s">
        <v>148</v>
      </c>
      <c r="J454" t="s">
        <v>161</v>
      </c>
      <c r="K454" t="s">
        <v>161</v>
      </c>
      <c r="L454">
        <v>1007755</v>
      </c>
      <c r="M454">
        <v>129433</v>
      </c>
      <c r="N454">
        <v>2</v>
      </c>
      <c r="O454">
        <f t="shared" si="154"/>
        <v>4.7846889952153108E-3</v>
      </c>
      <c r="P454">
        <v>20</v>
      </c>
      <c r="Q454">
        <f t="shared" si="155"/>
        <v>4.7846889952153108E-3</v>
      </c>
      <c r="R454">
        <v>5.0000000000000001E-3</v>
      </c>
      <c r="S454">
        <f t="shared" si="162"/>
        <v>0.05</v>
      </c>
      <c r="T454">
        <f t="shared" si="156"/>
        <v>3.8595137012736386E-4</v>
      </c>
      <c r="U454">
        <f t="shared" si="157"/>
        <v>-2.5561407904137849E-2</v>
      </c>
      <c r="V454">
        <f t="shared" si="158"/>
        <v>1.5599999999999999E-2</v>
      </c>
      <c r="W454">
        <v>0.1</v>
      </c>
      <c r="X454">
        <f t="shared" si="159"/>
        <v>0.15599999999999997</v>
      </c>
      <c r="Y454">
        <v>2</v>
      </c>
      <c r="Z454">
        <v>3</v>
      </c>
      <c r="AA454" t="s">
        <v>50</v>
      </c>
      <c r="AB454">
        <f t="shared" si="160"/>
        <v>6</v>
      </c>
      <c r="AC454">
        <f t="shared" si="163"/>
        <v>16</v>
      </c>
      <c r="AE454">
        <v>1</v>
      </c>
      <c r="AF454">
        <v>3.33</v>
      </c>
      <c r="AG454">
        <v>2</v>
      </c>
      <c r="AH454">
        <f t="shared" si="161"/>
        <v>1.48922127301486</v>
      </c>
      <c r="AI454">
        <f t="shared" si="164"/>
        <v>14.310835055998654</v>
      </c>
    </row>
    <row r="455" spans="1:35" x14ac:dyDescent="0.3">
      <c r="A455">
        <v>2022</v>
      </c>
      <c r="B455" t="s">
        <v>119</v>
      </c>
      <c r="C455" t="s">
        <v>421</v>
      </c>
      <c r="D455" t="s">
        <v>422</v>
      </c>
      <c r="E455" t="s">
        <v>423</v>
      </c>
      <c r="F455">
        <v>118</v>
      </c>
      <c r="G455" t="s">
        <v>79</v>
      </c>
      <c r="H455" t="s">
        <v>113</v>
      </c>
      <c r="I455" t="s">
        <v>123</v>
      </c>
      <c r="J455" t="s">
        <v>124</v>
      </c>
      <c r="K455" t="s">
        <v>125</v>
      </c>
      <c r="L455">
        <v>218310</v>
      </c>
      <c r="M455">
        <v>141435</v>
      </c>
      <c r="N455">
        <v>1</v>
      </c>
      <c r="O455">
        <f t="shared" si="154"/>
        <v>2.3923444976076554E-3</v>
      </c>
      <c r="P455">
        <v>10</v>
      </c>
      <c r="Q455">
        <f t="shared" si="155"/>
        <v>2.3923444976076554E-3</v>
      </c>
      <c r="R455">
        <v>0.02</v>
      </c>
      <c r="S455">
        <f t="shared" si="162"/>
        <v>0.2</v>
      </c>
      <c r="T455">
        <f t="shared" si="156"/>
        <v>1.5438054805094554E-3</v>
      </c>
      <c r="U455">
        <f t="shared" si="157"/>
        <v>-1.443895079551377E-2</v>
      </c>
      <c r="V455">
        <f t="shared" si="158"/>
        <v>1.5599999999999999E-2</v>
      </c>
      <c r="W455">
        <v>0.1</v>
      </c>
      <c r="X455">
        <f t="shared" si="159"/>
        <v>0.15599999999999997</v>
      </c>
      <c r="Y455">
        <v>2</v>
      </c>
      <c r="Z455">
        <v>2</v>
      </c>
      <c r="AA455" t="s">
        <v>50</v>
      </c>
      <c r="AB455">
        <f t="shared" si="160"/>
        <v>5.6568542494923797</v>
      </c>
      <c r="AC455">
        <f t="shared" si="163"/>
        <v>22.627416997969519</v>
      </c>
      <c r="AE455">
        <v>1</v>
      </c>
      <c r="AF455">
        <v>1</v>
      </c>
      <c r="AG455">
        <v>2</v>
      </c>
      <c r="AH455">
        <f t="shared" si="161"/>
        <v>1.063659179388998</v>
      </c>
      <c r="AI455">
        <f t="shared" si="164"/>
        <v>34.037093740447936</v>
      </c>
    </row>
    <row r="456" spans="1:35" x14ac:dyDescent="0.3">
      <c r="A456">
        <v>2022</v>
      </c>
      <c r="B456" t="s">
        <v>119</v>
      </c>
      <c r="C456" t="s">
        <v>421</v>
      </c>
      <c r="D456" t="s">
        <v>422</v>
      </c>
      <c r="E456" t="s">
        <v>423</v>
      </c>
      <c r="F456">
        <v>118</v>
      </c>
      <c r="G456" t="s">
        <v>22</v>
      </c>
      <c r="H456" t="s">
        <v>135</v>
      </c>
      <c r="I456" t="s">
        <v>136</v>
      </c>
      <c r="K456" t="s">
        <v>136</v>
      </c>
      <c r="L456">
        <v>2000538</v>
      </c>
      <c r="M456">
        <v>985</v>
      </c>
      <c r="N456">
        <v>3</v>
      </c>
      <c r="O456">
        <f t="shared" si="154"/>
        <v>7.1770334928229667E-3</v>
      </c>
      <c r="P456">
        <v>30</v>
      </c>
      <c r="Q456">
        <f t="shared" si="155"/>
        <v>7.1770334928229667E-3</v>
      </c>
      <c r="R456">
        <v>5.0000000000000001E-3</v>
      </c>
      <c r="S456">
        <f t="shared" si="162"/>
        <v>0.05</v>
      </c>
      <c r="T456">
        <f t="shared" si="156"/>
        <v>3.8595137012736386E-4</v>
      </c>
      <c r="U456">
        <f t="shared" si="157"/>
        <v>-3.5432075195143395E-2</v>
      </c>
      <c r="V456">
        <f t="shared" si="158"/>
        <v>1.5599999999999999E-2</v>
      </c>
      <c r="W456">
        <v>0.1</v>
      </c>
      <c r="X456">
        <f t="shared" si="159"/>
        <v>0.15599999999999997</v>
      </c>
      <c r="Y456">
        <v>2</v>
      </c>
      <c r="Z456">
        <v>1.07692307692308</v>
      </c>
      <c r="AA456" t="s">
        <v>50</v>
      </c>
      <c r="AB456">
        <f t="shared" si="160"/>
        <v>2.6379120306895842</v>
      </c>
      <c r="AC456">
        <f t="shared" si="163"/>
        <v>19.595917942265427</v>
      </c>
      <c r="AE456">
        <v>3</v>
      </c>
      <c r="AF456">
        <v>1</v>
      </c>
      <c r="AG456">
        <v>1</v>
      </c>
      <c r="AH456">
        <f t="shared" si="161"/>
        <v>0.74238480057596512</v>
      </c>
      <c r="AI456">
        <f t="shared" si="164"/>
        <v>15.837542412287256</v>
      </c>
    </row>
    <row r="457" spans="1:35" x14ac:dyDescent="0.3">
      <c r="A457">
        <v>2022</v>
      </c>
      <c r="B457" t="s">
        <v>119</v>
      </c>
      <c r="C457" t="s">
        <v>421</v>
      </c>
      <c r="D457" t="s">
        <v>422</v>
      </c>
      <c r="E457" t="s">
        <v>423</v>
      </c>
      <c r="F457">
        <v>118</v>
      </c>
      <c r="G457" t="s">
        <v>79</v>
      </c>
      <c r="H457" t="s">
        <v>433</v>
      </c>
      <c r="I457" t="s">
        <v>434</v>
      </c>
      <c r="J457" t="s">
        <v>435</v>
      </c>
      <c r="K457" t="s">
        <v>436</v>
      </c>
      <c r="L457">
        <v>102721</v>
      </c>
      <c r="M457">
        <v>140702</v>
      </c>
      <c r="N457">
        <v>1</v>
      </c>
      <c r="O457">
        <f t="shared" si="154"/>
        <v>2.3923444976076554E-3</v>
      </c>
      <c r="P457">
        <v>10</v>
      </c>
      <c r="Q457">
        <f t="shared" si="155"/>
        <v>2.3923444976076554E-3</v>
      </c>
      <c r="R457">
        <v>0.03</v>
      </c>
      <c r="S457">
        <f t="shared" si="162"/>
        <v>0.3</v>
      </c>
      <c r="T457">
        <f t="shared" si="156"/>
        <v>2.3157082207641831E-3</v>
      </c>
      <c r="U457">
        <f t="shared" si="157"/>
        <v>-1.443895079551377E-2</v>
      </c>
      <c r="V457">
        <f t="shared" si="158"/>
        <v>1.5599999999999999E-2</v>
      </c>
      <c r="W457">
        <v>0.1</v>
      </c>
      <c r="X457">
        <f t="shared" si="159"/>
        <v>0.15599999999999997</v>
      </c>
      <c r="Y457">
        <v>2</v>
      </c>
      <c r="Z457">
        <v>3</v>
      </c>
      <c r="AA457" t="s">
        <v>50</v>
      </c>
      <c r="AB457">
        <f t="shared" si="160"/>
        <v>10.392304845413264</v>
      </c>
      <c r="AC457">
        <f t="shared" si="163"/>
        <v>27.712812921102035</v>
      </c>
      <c r="AE457">
        <v>1</v>
      </c>
      <c r="AF457">
        <v>1</v>
      </c>
      <c r="AG457">
        <v>1</v>
      </c>
      <c r="AH457">
        <f t="shared" si="161"/>
        <v>0.72084342424042647</v>
      </c>
      <c r="AI457">
        <f t="shared" si="164"/>
        <v>46.133979151387294</v>
      </c>
    </row>
    <row r="458" spans="1:35" x14ac:dyDescent="0.3">
      <c r="A458">
        <v>2022</v>
      </c>
      <c r="B458" t="s">
        <v>119</v>
      </c>
      <c r="C458" t="s">
        <v>421</v>
      </c>
      <c r="D458" t="s">
        <v>422</v>
      </c>
      <c r="E458" t="s">
        <v>423</v>
      </c>
      <c r="F458">
        <v>118</v>
      </c>
      <c r="G458" t="s">
        <v>22</v>
      </c>
      <c r="H458" t="s">
        <v>67</v>
      </c>
      <c r="I458" t="s">
        <v>84</v>
      </c>
      <c r="J458" t="s">
        <v>85</v>
      </c>
      <c r="K458" t="s">
        <v>86</v>
      </c>
      <c r="L458">
        <v>227135</v>
      </c>
      <c r="M458">
        <v>130604</v>
      </c>
      <c r="N458">
        <v>1</v>
      </c>
      <c r="O458">
        <f t="shared" si="154"/>
        <v>2.3923444976076554E-3</v>
      </c>
      <c r="P458">
        <v>10</v>
      </c>
      <c r="Q458">
        <f t="shared" si="155"/>
        <v>2.3923444976076554E-3</v>
      </c>
      <c r="R458">
        <v>5.0000000000000001E-3</v>
      </c>
      <c r="S458">
        <f t="shared" si="162"/>
        <v>0.05</v>
      </c>
      <c r="T458">
        <f t="shared" si="156"/>
        <v>3.8595137012736386E-4</v>
      </c>
      <c r="U458">
        <f t="shared" si="157"/>
        <v>-1.443895079551377E-2</v>
      </c>
      <c r="V458">
        <f t="shared" si="158"/>
        <v>1.5599999999999999E-2</v>
      </c>
      <c r="W458">
        <v>0.1</v>
      </c>
      <c r="X458">
        <f t="shared" si="159"/>
        <v>0.15599999999999997</v>
      </c>
      <c r="Y458">
        <v>2</v>
      </c>
      <c r="Z458">
        <v>2</v>
      </c>
      <c r="AA458" t="s">
        <v>50</v>
      </c>
      <c r="AB458">
        <f t="shared" si="160"/>
        <v>2.8284271247461898</v>
      </c>
      <c r="AC458">
        <f t="shared" si="163"/>
        <v>11.313708498984759</v>
      </c>
      <c r="AE458">
        <v>1</v>
      </c>
      <c r="AF458">
        <v>2</v>
      </c>
      <c r="AG458">
        <v>1</v>
      </c>
      <c r="AH458">
        <f t="shared" si="161"/>
        <v>0.37606030930863954</v>
      </c>
      <c r="AI458">
        <f t="shared" si="164"/>
        <v>12.033929897876465</v>
      </c>
    </row>
    <row r="459" spans="1:35" x14ac:dyDescent="0.3">
      <c r="A459">
        <v>2022</v>
      </c>
      <c r="B459" t="s">
        <v>119</v>
      </c>
      <c r="C459" t="s">
        <v>421</v>
      </c>
      <c r="D459" t="s">
        <v>422</v>
      </c>
      <c r="E459" t="s">
        <v>423</v>
      </c>
      <c r="F459">
        <v>118</v>
      </c>
      <c r="G459" t="s">
        <v>22</v>
      </c>
      <c r="I459" t="s">
        <v>145</v>
      </c>
      <c r="J459" t="s">
        <v>146</v>
      </c>
      <c r="K459" t="s">
        <v>147</v>
      </c>
      <c r="L459">
        <v>227757</v>
      </c>
      <c r="M459">
        <v>129884</v>
      </c>
      <c r="N459">
        <v>8</v>
      </c>
      <c r="O459">
        <f t="shared" si="154"/>
        <v>1.9138755980861243E-2</v>
      </c>
      <c r="P459">
        <v>80</v>
      </c>
      <c r="Q459">
        <f t="shared" si="155"/>
        <v>1.9138755980861243E-2</v>
      </c>
      <c r="R459">
        <v>0.04</v>
      </c>
      <c r="S459">
        <f t="shared" si="162"/>
        <v>0.4</v>
      </c>
      <c r="T459">
        <f t="shared" si="156"/>
        <v>3.0876109610189109E-3</v>
      </c>
      <c r="U459">
        <f t="shared" si="157"/>
        <v>-7.5713682121433881E-2</v>
      </c>
      <c r="V459">
        <f t="shared" si="158"/>
        <v>1.5599999999999999E-2</v>
      </c>
      <c r="W459">
        <v>0.1</v>
      </c>
      <c r="X459">
        <f t="shared" si="159"/>
        <v>0.15599999999999997</v>
      </c>
      <c r="Y459">
        <v>3</v>
      </c>
      <c r="Z459">
        <v>2</v>
      </c>
      <c r="AA459" t="s">
        <v>60</v>
      </c>
      <c r="AB459">
        <f t="shared" si="160"/>
        <v>33.941125496954278</v>
      </c>
      <c r="AC459">
        <f t="shared" si="163"/>
        <v>90.509667991878075</v>
      </c>
      <c r="AE459">
        <v>2.88</v>
      </c>
      <c r="AF459">
        <v>4</v>
      </c>
      <c r="AG459">
        <v>2</v>
      </c>
      <c r="AH459">
        <f t="shared" si="161"/>
        <v>34.657718105884221</v>
      </c>
      <c r="AI459">
        <f t="shared" si="164"/>
        <v>96.271439183011722</v>
      </c>
    </row>
    <row r="460" spans="1:35" x14ac:dyDescent="0.3">
      <c r="A460">
        <v>2022</v>
      </c>
      <c r="B460" t="s">
        <v>119</v>
      </c>
      <c r="C460" t="s">
        <v>421</v>
      </c>
      <c r="D460" t="s">
        <v>422</v>
      </c>
      <c r="E460" t="s">
        <v>423</v>
      </c>
      <c r="F460">
        <v>118</v>
      </c>
      <c r="G460" t="s">
        <v>22</v>
      </c>
      <c r="I460" t="s">
        <v>102</v>
      </c>
      <c r="J460" t="s">
        <v>445</v>
      </c>
      <c r="K460" t="s">
        <v>445</v>
      </c>
      <c r="L460">
        <v>1007716</v>
      </c>
      <c r="M460">
        <v>129360</v>
      </c>
      <c r="N460">
        <v>1</v>
      </c>
      <c r="O460">
        <f t="shared" si="154"/>
        <v>2.3923444976076554E-3</v>
      </c>
      <c r="P460">
        <v>10</v>
      </c>
      <c r="Q460">
        <f t="shared" si="155"/>
        <v>2.3923444976076554E-3</v>
      </c>
      <c r="R460">
        <v>5.0000000000000001E-3</v>
      </c>
      <c r="S460">
        <f t="shared" si="162"/>
        <v>0.05</v>
      </c>
      <c r="T460">
        <f t="shared" si="156"/>
        <v>3.8595137012736386E-4</v>
      </c>
      <c r="U460">
        <f t="shared" si="157"/>
        <v>-1.443895079551377E-2</v>
      </c>
      <c r="V460">
        <f t="shared" si="158"/>
        <v>1.5599999999999999E-2</v>
      </c>
      <c r="W460">
        <v>0.1</v>
      </c>
      <c r="X460">
        <f t="shared" si="159"/>
        <v>0.15599999999999997</v>
      </c>
      <c r="Y460">
        <v>3</v>
      </c>
      <c r="Z460">
        <v>1</v>
      </c>
      <c r="AA460" t="s">
        <v>60</v>
      </c>
      <c r="AB460">
        <f t="shared" si="160"/>
        <v>2.1213203435596424</v>
      </c>
      <c r="AC460">
        <f t="shared" si="163"/>
        <v>11.313708498984759</v>
      </c>
      <c r="AE460">
        <v>3</v>
      </c>
      <c r="AF460">
        <v>4</v>
      </c>
      <c r="AG460">
        <v>3</v>
      </c>
      <c r="AH460">
        <f t="shared" si="161"/>
        <v>6.7690855675555124</v>
      </c>
      <c r="AI460">
        <f t="shared" si="164"/>
        <v>12.033929897876465</v>
      </c>
    </row>
    <row r="461" spans="1:35" x14ac:dyDescent="0.3">
      <c r="A461">
        <v>2022</v>
      </c>
      <c r="B461" t="s">
        <v>119</v>
      </c>
      <c r="C461" t="s">
        <v>421</v>
      </c>
      <c r="D461" t="s">
        <v>422</v>
      </c>
      <c r="E461" t="s">
        <v>423</v>
      </c>
      <c r="F461">
        <v>118</v>
      </c>
      <c r="G461" t="s">
        <v>22</v>
      </c>
      <c r="H461" t="s">
        <v>56</v>
      </c>
      <c r="I461" t="s">
        <v>153</v>
      </c>
      <c r="J461" t="s">
        <v>154</v>
      </c>
      <c r="K461" t="s">
        <v>155</v>
      </c>
      <c r="L461">
        <v>227487</v>
      </c>
      <c r="M461">
        <v>129804</v>
      </c>
      <c r="N461">
        <v>8</v>
      </c>
      <c r="O461">
        <f t="shared" si="154"/>
        <v>1.9138755980861243E-2</v>
      </c>
      <c r="P461">
        <v>80</v>
      </c>
      <c r="Q461">
        <f t="shared" si="155"/>
        <v>1.9138755980861243E-2</v>
      </c>
      <c r="R461">
        <v>0.65</v>
      </c>
      <c r="S461">
        <f t="shared" si="162"/>
        <v>6.5</v>
      </c>
      <c r="T461">
        <f t="shared" si="156"/>
        <v>5.0173678116557298E-2</v>
      </c>
      <c r="U461">
        <f t="shared" si="157"/>
        <v>-7.5713682121433881E-2</v>
      </c>
      <c r="V461">
        <f t="shared" si="158"/>
        <v>1.5599999999999999E-2</v>
      </c>
      <c r="W461">
        <v>0.1</v>
      </c>
      <c r="X461">
        <f t="shared" si="159"/>
        <v>0.15599999999999997</v>
      </c>
      <c r="Y461">
        <v>3</v>
      </c>
      <c r="Z461">
        <v>1</v>
      </c>
      <c r="AA461" t="s">
        <v>100</v>
      </c>
      <c r="AB461">
        <f t="shared" si="160"/>
        <v>68.410525505948286</v>
      </c>
      <c r="AC461">
        <f t="shared" si="163"/>
        <v>364.85613603172419</v>
      </c>
      <c r="AE461">
        <v>3</v>
      </c>
      <c r="AF461">
        <v>3</v>
      </c>
      <c r="AG461">
        <v>2</v>
      </c>
      <c r="AH461">
        <f t="shared" si="161"/>
        <v>219.14421941994198</v>
      </c>
      <c r="AI461">
        <f t="shared" si="164"/>
        <v>779.17944682646043</v>
      </c>
    </row>
    <row r="462" spans="1:35" x14ac:dyDescent="0.3">
      <c r="A462">
        <v>2022</v>
      </c>
      <c r="B462" t="s">
        <v>119</v>
      </c>
      <c r="C462" t="s">
        <v>421</v>
      </c>
      <c r="D462" t="s">
        <v>422</v>
      </c>
      <c r="E462" t="s">
        <v>423</v>
      </c>
      <c r="F462">
        <v>118</v>
      </c>
      <c r="G462" t="s">
        <v>22</v>
      </c>
      <c r="H462" t="s">
        <v>56</v>
      </c>
      <c r="I462" t="s">
        <v>153</v>
      </c>
      <c r="J462" t="s">
        <v>425</v>
      </c>
      <c r="K462" t="s">
        <v>426</v>
      </c>
      <c r="L462">
        <v>227463</v>
      </c>
      <c r="M462">
        <v>129784</v>
      </c>
      <c r="N462">
        <v>7</v>
      </c>
      <c r="O462">
        <f t="shared" si="154"/>
        <v>1.6746411483253589E-2</v>
      </c>
      <c r="P462">
        <v>70</v>
      </c>
      <c r="Q462">
        <f t="shared" si="155"/>
        <v>1.6746411483253589E-2</v>
      </c>
      <c r="R462">
        <v>0.17</v>
      </c>
      <c r="S462">
        <f t="shared" si="162"/>
        <v>1.7000000000000002</v>
      </c>
      <c r="T462">
        <f t="shared" si="156"/>
        <v>1.3122346584330372E-2</v>
      </c>
      <c r="U462">
        <f t="shared" si="157"/>
        <v>-6.8485643503076801E-2</v>
      </c>
      <c r="V462">
        <f t="shared" si="158"/>
        <v>1.5599999999999999E-2</v>
      </c>
      <c r="W462">
        <v>0.1</v>
      </c>
      <c r="X462">
        <f t="shared" si="159"/>
        <v>0.15599999999999997</v>
      </c>
      <c r="Y462">
        <v>3</v>
      </c>
      <c r="Z462">
        <v>2</v>
      </c>
      <c r="AA462" t="s">
        <v>100</v>
      </c>
      <c r="AB462">
        <f t="shared" si="160"/>
        <v>65.452272687814286</v>
      </c>
      <c r="AC462">
        <f t="shared" si="163"/>
        <v>174.53939383417145</v>
      </c>
      <c r="AE462">
        <v>3</v>
      </c>
      <c r="AF462">
        <v>3</v>
      </c>
      <c r="AG462">
        <v>2</v>
      </c>
      <c r="AH462">
        <f t="shared" si="161"/>
        <v>77.51463495844736</v>
      </c>
      <c r="AI462">
        <f t="shared" si="164"/>
        <v>275.60759096336841</v>
      </c>
    </row>
    <row r="463" spans="1:35" x14ac:dyDescent="0.3">
      <c r="A463">
        <v>2022</v>
      </c>
      <c r="B463" t="s">
        <v>119</v>
      </c>
      <c r="C463" t="s">
        <v>421</v>
      </c>
      <c r="D463" t="s">
        <v>422</v>
      </c>
      <c r="E463" t="s">
        <v>423</v>
      </c>
      <c r="F463">
        <v>118</v>
      </c>
      <c r="G463" t="s">
        <v>22</v>
      </c>
      <c r="H463" t="s">
        <v>96</v>
      </c>
      <c r="I463" t="s">
        <v>97</v>
      </c>
      <c r="J463" t="s">
        <v>110</v>
      </c>
      <c r="K463" t="s">
        <v>111</v>
      </c>
      <c r="L463" t="s">
        <v>112</v>
      </c>
      <c r="M463">
        <v>157576</v>
      </c>
      <c r="N463">
        <v>6</v>
      </c>
      <c r="O463">
        <f t="shared" si="154"/>
        <v>1.4354066985645933E-2</v>
      </c>
      <c r="P463">
        <v>60</v>
      </c>
      <c r="Q463">
        <f t="shared" si="155"/>
        <v>1.4354066985645933E-2</v>
      </c>
      <c r="R463">
        <v>7.0000000000000007E-2</v>
      </c>
      <c r="S463">
        <f t="shared" si="162"/>
        <v>0.70000000000000007</v>
      </c>
      <c r="T463">
        <f t="shared" si="156"/>
        <v>5.403319181783094E-3</v>
      </c>
      <c r="U463">
        <f t="shared" si="157"/>
        <v>-6.091466932961772E-2</v>
      </c>
      <c r="V463">
        <f t="shared" si="158"/>
        <v>1.5599999999999999E-2</v>
      </c>
      <c r="W463">
        <v>0.1</v>
      </c>
      <c r="X463">
        <f t="shared" si="159"/>
        <v>0.15599999999999997</v>
      </c>
      <c r="Y463">
        <v>3</v>
      </c>
      <c r="Z463">
        <v>1</v>
      </c>
      <c r="AA463" t="s">
        <v>100</v>
      </c>
      <c r="AB463">
        <f t="shared" si="160"/>
        <v>19.442222095223581</v>
      </c>
      <c r="AC463">
        <f t="shared" si="163"/>
        <v>103.69185117452577</v>
      </c>
      <c r="AE463">
        <v>3</v>
      </c>
      <c r="AF463">
        <v>3</v>
      </c>
      <c r="AG463">
        <v>4</v>
      </c>
      <c r="AH463">
        <f t="shared" si="161"/>
        <v>76.676775894631959</v>
      </c>
      <c r="AI463">
        <f t="shared" si="164"/>
        <v>136.31426825712347</v>
      </c>
    </row>
    <row r="464" spans="1:35" x14ac:dyDescent="0.3">
      <c r="A464">
        <v>2022</v>
      </c>
      <c r="B464" t="s">
        <v>119</v>
      </c>
      <c r="C464" t="s">
        <v>421</v>
      </c>
      <c r="D464" t="s">
        <v>422</v>
      </c>
      <c r="E464" t="s">
        <v>423</v>
      </c>
      <c r="F464">
        <v>118</v>
      </c>
      <c r="G464" t="s">
        <v>22</v>
      </c>
      <c r="H464" t="s">
        <v>56</v>
      </c>
      <c r="I464" t="s">
        <v>57</v>
      </c>
      <c r="J464" t="s">
        <v>130</v>
      </c>
      <c r="K464" t="s">
        <v>131</v>
      </c>
      <c r="L464">
        <v>227389</v>
      </c>
      <c r="M464">
        <v>130099</v>
      </c>
      <c r="N464">
        <v>5</v>
      </c>
      <c r="O464">
        <f t="shared" si="154"/>
        <v>1.1961722488038277E-2</v>
      </c>
      <c r="P464">
        <v>50</v>
      </c>
      <c r="Q464">
        <f t="shared" si="155"/>
        <v>1.1961722488038277E-2</v>
      </c>
      <c r="R464">
        <v>0.55000000000000004</v>
      </c>
      <c r="S464">
        <f t="shared" si="162"/>
        <v>5.5</v>
      </c>
      <c r="T464">
        <f t="shared" si="156"/>
        <v>4.2454650714010021E-2</v>
      </c>
      <c r="U464">
        <f t="shared" si="157"/>
        <v>-5.2943104307304492E-2</v>
      </c>
      <c r="V464">
        <f t="shared" si="158"/>
        <v>1.5599999999999999E-2</v>
      </c>
      <c r="W464">
        <v>0.1</v>
      </c>
      <c r="X464">
        <f t="shared" si="159"/>
        <v>0.15599999999999997</v>
      </c>
      <c r="Y464">
        <v>3</v>
      </c>
      <c r="Z464">
        <v>2</v>
      </c>
      <c r="AA464" t="s">
        <v>100</v>
      </c>
      <c r="AB464">
        <f t="shared" si="160"/>
        <v>99.498743710661984</v>
      </c>
      <c r="AC464">
        <f t="shared" si="163"/>
        <v>265.32998322843196</v>
      </c>
      <c r="AE464">
        <v>1</v>
      </c>
      <c r="AF464">
        <v>3</v>
      </c>
      <c r="AG464">
        <v>1.5</v>
      </c>
      <c r="AH464">
        <f t="shared" si="161"/>
        <v>42.976103012362159</v>
      </c>
      <c r="AI464">
        <f t="shared" si="164"/>
        <v>611.21568728692853</v>
      </c>
    </row>
    <row r="465" spans="1:36" x14ac:dyDescent="0.3">
      <c r="A465">
        <v>2022</v>
      </c>
      <c r="B465" t="s">
        <v>119</v>
      </c>
      <c r="C465" t="s">
        <v>421</v>
      </c>
      <c r="D465" t="s">
        <v>422</v>
      </c>
      <c r="E465" t="s">
        <v>423</v>
      </c>
      <c r="F465">
        <v>118</v>
      </c>
      <c r="G465" t="s">
        <v>22</v>
      </c>
      <c r="H465" t="s">
        <v>56</v>
      </c>
      <c r="I465" t="s">
        <v>153</v>
      </c>
      <c r="J465" t="s">
        <v>301</v>
      </c>
      <c r="K465" t="s">
        <v>302</v>
      </c>
      <c r="L465">
        <v>227468</v>
      </c>
      <c r="M465">
        <v>129789</v>
      </c>
      <c r="N465">
        <v>2</v>
      </c>
      <c r="O465">
        <f t="shared" si="154"/>
        <v>4.7846889952153108E-3</v>
      </c>
      <c r="P465">
        <v>20</v>
      </c>
      <c r="Q465">
        <f t="shared" si="155"/>
        <v>4.7846889952153108E-3</v>
      </c>
      <c r="R465">
        <v>0.01</v>
      </c>
      <c r="S465">
        <f t="shared" si="162"/>
        <v>0.1</v>
      </c>
      <c r="T465">
        <f t="shared" si="156"/>
        <v>7.7190274025472772E-4</v>
      </c>
      <c r="U465">
        <f t="shared" si="157"/>
        <v>-2.5561407904137849E-2</v>
      </c>
      <c r="V465">
        <f t="shared" si="158"/>
        <v>1.5599999999999999E-2</v>
      </c>
      <c r="W465">
        <v>0.1</v>
      </c>
      <c r="X465">
        <f t="shared" si="159"/>
        <v>0.15599999999999997</v>
      </c>
      <c r="Y465">
        <v>3</v>
      </c>
      <c r="Z465">
        <v>1</v>
      </c>
      <c r="AA465" t="s">
        <v>100</v>
      </c>
      <c r="AB465">
        <f t="shared" si="160"/>
        <v>4.2426406871192848</v>
      </c>
      <c r="AC465">
        <f t="shared" si="163"/>
        <v>22.627416997969519</v>
      </c>
      <c r="AE465">
        <v>3</v>
      </c>
      <c r="AF465">
        <v>3</v>
      </c>
      <c r="AG465">
        <v>2.5</v>
      </c>
      <c r="AH465">
        <f t="shared" si="161"/>
        <v>8.4613569594443909</v>
      </c>
      <c r="AI465">
        <f t="shared" si="164"/>
        <v>24.067859795752931</v>
      </c>
    </row>
    <row r="466" spans="1:36" x14ac:dyDescent="0.3">
      <c r="A466">
        <v>2022</v>
      </c>
      <c r="B466" t="s">
        <v>119</v>
      </c>
      <c r="C466" t="s">
        <v>421</v>
      </c>
      <c r="D466" t="s">
        <v>422</v>
      </c>
      <c r="E466" t="s">
        <v>423</v>
      </c>
      <c r="F466">
        <v>118</v>
      </c>
      <c r="G466" t="s">
        <v>22</v>
      </c>
      <c r="H466" t="s">
        <v>56</v>
      </c>
      <c r="I466" t="s">
        <v>153</v>
      </c>
      <c r="K466" t="s">
        <v>153</v>
      </c>
      <c r="L466">
        <v>2000533</v>
      </c>
      <c r="M466">
        <v>981</v>
      </c>
      <c r="N466">
        <v>6</v>
      </c>
      <c r="O466">
        <f t="shared" si="154"/>
        <v>1.4354066985645933E-2</v>
      </c>
      <c r="P466">
        <v>60</v>
      </c>
      <c r="Q466">
        <f t="shared" si="155"/>
        <v>1.4354066985645933E-2</v>
      </c>
      <c r="R466">
        <v>0.01</v>
      </c>
      <c r="S466">
        <f t="shared" si="162"/>
        <v>0.1</v>
      </c>
      <c r="T466">
        <f t="shared" si="156"/>
        <v>7.7190274025472772E-4</v>
      </c>
      <c r="U466">
        <f t="shared" si="157"/>
        <v>-6.091466932961772E-2</v>
      </c>
      <c r="V466">
        <f t="shared" si="158"/>
        <v>1.5599999999999999E-2</v>
      </c>
      <c r="W466">
        <v>0.1</v>
      </c>
      <c r="X466">
        <f t="shared" si="159"/>
        <v>0.15599999999999997</v>
      </c>
      <c r="Y466">
        <v>3</v>
      </c>
      <c r="Z466">
        <v>1.6875</v>
      </c>
      <c r="AA466" t="s">
        <v>100</v>
      </c>
      <c r="AB466">
        <f t="shared" si="160"/>
        <v>12.400541822839841</v>
      </c>
      <c r="AC466">
        <f t="shared" si="163"/>
        <v>39.191835884530853</v>
      </c>
      <c r="AE466">
        <v>3</v>
      </c>
      <c r="AF466">
        <v>2.3333333333333299</v>
      </c>
      <c r="AG466">
        <v>1.8049999999999999</v>
      </c>
      <c r="AH466">
        <f t="shared" si="161"/>
        <v>6.2533546368515367</v>
      </c>
      <c r="AI466">
        <f t="shared" si="164"/>
        <v>31.675084824574512</v>
      </c>
    </row>
    <row r="467" spans="1:36" x14ac:dyDescent="0.3">
      <c r="A467">
        <v>2022</v>
      </c>
      <c r="B467" t="s">
        <v>119</v>
      </c>
      <c r="C467" t="s">
        <v>421</v>
      </c>
      <c r="D467" t="s">
        <v>422</v>
      </c>
      <c r="E467" t="s">
        <v>423</v>
      </c>
      <c r="F467">
        <v>118</v>
      </c>
      <c r="G467" t="s">
        <v>22</v>
      </c>
      <c r="H467" t="s">
        <v>56</v>
      </c>
      <c r="I467" t="s">
        <v>153</v>
      </c>
      <c r="J467" t="s">
        <v>173</v>
      </c>
      <c r="K467" t="s">
        <v>174</v>
      </c>
      <c r="L467">
        <v>227477</v>
      </c>
      <c r="M467">
        <v>334811</v>
      </c>
      <c r="N467">
        <v>4</v>
      </c>
      <c r="O467">
        <f t="shared" si="154"/>
        <v>9.5693779904306216E-3</v>
      </c>
      <c r="P467">
        <v>40</v>
      </c>
      <c r="Q467">
        <f t="shared" si="155"/>
        <v>9.5693779904306216E-3</v>
      </c>
      <c r="R467">
        <v>5.0000000000000001E-3</v>
      </c>
      <c r="S467">
        <f t="shared" si="162"/>
        <v>0.05</v>
      </c>
      <c r="T467">
        <f t="shared" si="156"/>
        <v>3.8595137012736386E-4</v>
      </c>
      <c r="U467">
        <f t="shared" si="157"/>
        <v>-4.4489828434496316E-2</v>
      </c>
      <c r="V467">
        <f t="shared" si="158"/>
        <v>1.5599999999999999E-2</v>
      </c>
      <c r="W467">
        <v>0.1</v>
      </c>
      <c r="X467">
        <f t="shared" si="159"/>
        <v>0.15599999999999997</v>
      </c>
      <c r="Y467">
        <v>3</v>
      </c>
      <c r="Z467">
        <v>2</v>
      </c>
      <c r="AA467" t="s">
        <v>100</v>
      </c>
      <c r="AB467">
        <f t="shared" si="160"/>
        <v>8.4852813742385695</v>
      </c>
      <c r="AC467">
        <f t="shared" si="163"/>
        <v>22.627416997969519</v>
      </c>
      <c r="AE467">
        <v>3</v>
      </c>
      <c r="AF467">
        <v>3</v>
      </c>
      <c r="AG467">
        <v>2.33</v>
      </c>
      <c r="AH467">
        <f t="shared" si="161"/>
        <v>5.5762332479468215</v>
      </c>
      <c r="AI467">
        <f t="shared" si="164"/>
        <v>17.018546870223968</v>
      </c>
    </row>
    <row r="468" spans="1:36" x14ac:dyDescent="0.3">
      <c r="A468">
        <v>2022</v>
      </c>
      <c r="B468" t="s">
        <v>119</v>
      </c>
      <c r="C468" t="s">
        <v>421</v>
      </c>
      <c r="D468" t="s">
        <v>422</v>
      </c>
      <c r="E468" t="s">
        <v>423</v>
      </c>
      <c r="F468">
        <v>118</v>
      </c>
      <c r="G468" t="s">
        <v>22</v>
      </c>
      <c r="H468" t="s">
        <v>96</v>
      </c>
      <c r="I468" t="s">
        <v>97</v>
      </c>
      <c r="J468" t="s">
        <v>98</v>
      </c>
      <c r="K468" t="s">
        <v>171</v>
      </c>
      <c r="L468">
        <v>227333</v>
      </c>
      <c r="M468">
        <v>131153</v>
      </c>
      <c r="N468">
        <v>5</v>
      </c>
      <c r="O468">
        <f t="shared" si="154"/>
        <v>1.1961722488038277E-2</v>
      </c>
      <c r="P468">
        <v>50</v>
      </c>
      <c r="Q468">
        <f t="shared" si="155"/>
        <v>1.1961722488038277E-2</v>
      </c>
      <c r="R468">
        <v>5.0000000000000001E-3</v>
      </c>
      <c r="S468">
        <f>R468*10</f>
        <v>0.05</v>
      </c>
      <c r="T468">
        <f t="shared" si="156"/>
        <v>3.8595137012736386E-4</v>
      </c>
      <c r="U468">
        <f t="shared" si="157"/>
        <v>-5.2943104307304492E-2</v>
      </c>
      <c r="V468">
        <f t="shared" si="158"/>
        <v>1.5599999999999999E-2</v>
      </c>
      <c r="W468">
        <v>0.1</v>
      </c>
      <c r="X468">
        <f t="shared" si="159"/>
        <v>0.15599999999999997</v>
      </c>
      <c r="Y468">
        <v>3</v>
      </c>
      <c r="Z468">
        <v>2</v>
      </c>
      <c r="AA468" t="s">
        <v>100</v>
      </c>
      <c r="AB468">
        <f t="shared" si="160"/>
        <v>9.4868329805051381</v>
      </c>
      <c r="AC468">
        <f t="shared" si="163"/>
        <v>25.298221281347033</v>
      </c>
      <c r="AE468">
        <v>2.5</v>
      </c>
      <c r="AF468">
        <v>3</v>
      </c>
      <c r="AG468">
        <v>2</v>
      </c>
      <c r="AH468">
        <f t="shared" si="161"/>
        <v>4.2175599389276188</v>
      </c>
      <c r="AI468">
        <f t="shared" si="164"/>
        <v>17.994922406091174</v>
      </c>
    </row>
    <row r="469" spans="1:36" x14ac:dyDescent="0.3">
      <c r="A469">
        <v>2022</v>
      </c>
      <c r="B469" t="s">
        <v>119</v>
      </c>
      <c r="C469" t="s">
        <v>421</v>
      </c>
      <c r="D469" t="s">
        <v>422</v>
      </c>
      <c r="E469" t="s">
        <v>423</v>
      </c>
      <c r="F469">
        <v>118</v>
      </c>
      <c r="G469" t="s">
        <v>22</v>
      </c>
      <c r="H469" t="s">
        <v>56</v>
      </c>
      <c r="I469" t="s">
        <v>153</v>
      </c>
      <c r="J469" t="s">
        <v>183</v>
      </c>
      <c r="K469" t="s">
        <v>424</v>
      </c>
      <c r="L469">
        <v>227481</v>
      </c>
      <c r="M469">
        <v>332932</v>
      </c>
      <c r="N469">
        <v>3</v>
      </c>
      <c r="O469">
        <f t="shared" si="154"/>
        <v>7.1770334928229667E-3</v>
      </c>
      <c r="P469">
        <v>30</v>
      </c>
      <c r="Q469">
        <f t="shared" si="155"/>
        <v>7.1770334928229667E-3</v>
      </c>
      <c r="R469">
        <v>0.05</v>
      </c>
      <c r="S469">
        <f t="shared" si="162"/>
        <v>0.5</v>
      </c>
      <c r="T469">
        <f t="shared" si="156"/>
        <v>3.8595137012736383E-3</v>
      </c>
      <c r="U469">
        <f t="shared" si="157"/>
        <v>-3.5432075195143395E-2</v>
      </c>
      <c r="V469">
        <f t="shared" si="158"/>
        <v>1.5599999999999999E-2</v>
      </c>
      <c r="W469">
        <v>0.1</v>
      </c>
      <c r="X469">
        <f t="shared" si="159"/>
        <v>0.15599999999999997</v>
      </c>
      <c r="Y469">
        <v>3</v>
      </c>
      <c r="Z469">
        <v>2</v>
      </c>
      <c r="AA469" t="s">
        <v>100</v>
      </c>
      <c r="AB469">
        <f t="shared" si="160"/>
        <v>23.2379000772445</v>
      </c>
      <c r="AC469">
        <f t="shared" si="163"/>
        <v>61.967733539318665</v>
      </c>
      <c r="AE469">
        <v>3</v>
      </c>
      <c r="AF469">
        <v>1</v>
      </c>
      <c r="AG469">
        <v>1</v>
      </c>
      <c r="AH469">
        <f t="shared" si="161"/>
        <v>4.1747365255706121</v>
      </c>
      <c r="AI469">
        <f t="shared" si="164"/>
        <v>89.061045878839735</v>
      </c>
    </row>
    <row r="470" spans="1:36" x14ac:dyDescent="0.3">
      <c r="A470">
        <v>2022</v>
      </c>
      <c r="B470" t="s">
        <v>119</v>
      </c>
      <c r="C470" t="s">
        <v>421</v>
      </c>
      <c r="D470" t="s">
        <v>422</v>
      </c>
      <c r="E470" t="s">
        <v>423</v>
      </c>
      <c r="F470">
        <v>118</v>
      </c>
      <c r="G470" t="s">
        <v>22</v>
      </c>
      <c r="H470" t="s">
        <v>96</v>
      </c>
      <c r="I470" t="s">
        <v>97</v>
      </c>
      <c r="J470" t="s">
        <v>98</v>
      </c>
      <c r="K470" t="s">
        <v>101</v>
      </c>
      <c r="L470">
        <v>227337</v>
      </c>
      <c r="M470">
        <v>131157</v>
      </c>
      <c r="N470">
        <v>2</v>
      </c>
      <c r="O470">
        <f t="shared" si="154"/>
        <v>4.7846889952153108E-3</v>
      </c>
      <c r="P470">
        <v>20</v>
      </c>
      <c r="Q470">
        <f t="shared" si="155"/>
        <v>4.7846889952153108E-3</v>
      </c>
      <c r="R470">
        <v>5.0000000000000001E-3</v>
      </c>
      <c r="S470">
        <f t="shared" si="162"/>
        <v>0.05</v>
      </c>
      <c r="T470">
        <f t="shared" si="156"/>
        <v>3.8595137012736386E-4</v>
      </c>
      <c r="U470">
        <f t="shared" si="157"/>
        <v>-2.5561407904137849E-2</v>
      </c>
      <c r="V470">
        <f t="shared" si="158"/>
        <v>1.5599999999999999E-2</v>
      </c>
      <c r="W470">
        <v>0.1</v>
      </c>
      <c r="X470">
        <f t="shared" si="159"/>
        <v>0.15599999999999997</v>
      </c>
      <c r="Y470">
        <v>3</v>
      </c>
      <c r="Z470">
        <v>2</v>
      </c>
      <c r="AA470" t="s">
        <v>100</v>
      </c>
      <c r="AB470">
        <f t="shared" si="160"/>
        <v>6</v>
      </c>
      <c r="AC470">
        <f t="shared" si="163"/>
        <v>16</v>
      </c>
      <c r="AE470">
        <v>2.5</v>
      </c>
      <c r="AF470">
        <v>3</v>
      </c>
      <c r="AG470">
        <v>2</v>
      </c>
      <c r="AH470">
        <f t="shared" si="161"/>
        <v>3.3541019662496847</v>
      </c>
      <c r="AI470">
        <f t="shared" si="164"/>
        <v>14.310835055998654</v>
      </c>
    </row>
    <row r="471" spans="1:36" s="4" customFormat="1" x14ac:dyDescent="0.3">
      <c r="N471" s="4">
        <f>SUM(N433:N470)</f>
        <v>418</v>
      </c>
      <c r="O471" s="4">
        <f>SUM(O433:O470)</f>
        <v>0.99999999999999989</v>
      </c>
      <c r="P471" s="4">
        <f t="shared" ref="P471:AI471" si="165">SUM(P433:P470)</f>
        <v>4180</v>
      </c>
      <c r="Q471" s="4">
        <f t="shared" si="165"/>
        <v>0.99999999999999989</v>
      </c>
      <c r="R471" s="4">
        <f t="shared" si="165"/>
        <v>12.955000000000002</v>
      </c>
      <c r="S471" s="4">
        <f t="shared" si="165"/>
        <v>129.55000000000004</v>
      </c>
      <c r="T471" s="4">
        <f t="shared" si="165"/>
        <v>0.99999999999999944</v>
      </c>
      <c r="U471" s="4">
        <f>-SUM(U433:U470)</f>
        <v>2.8575785296641616</v>
      </c>
      <c r="Y471" s="4">
        <v>4</v>
      </c>
      <c r="Z471" s="4">
        <v>4</v>
      </c>
      <c r="AB471" s="4">
        <f t="shared" si="165"/>
        <v>4446.3891177574433</v>
      </c>
      <c r="AC471" s="4">
        <f t="shared" si="165"/>
        <v>8061.2860509095435</v>
      </c>
      <c r="AD471" s="4">
        <f>AB471/AC471</f>
        <v>0.55157317203199396</v>
      </c>
      <c r="AE471" s="4">
        <v>4</v>
      </c>
      <c r="AF471" s="4">
        <v>4</v>
      </c>
      <c r="AG471" s="4">
        <v>4</v>
      </c>
      <c r="AH471" s="4">
        <f t="shared" si="165"/>
        <v>4300.6068633865289</v>
      </c>
      <c r="AI471" s="4">
        <f t="shared" si="165"/>
        <v>14768.320059537651</v>
      </c>
      <c r="AJ471" s="4">
        <f>AH471/AI471</f>
        <v>0.29120487950212848</v>
      </c>
    </row>
    <row r="472" spans="1:36" x14ac:dyDescent="0.3">
      <c r="A472">
        <v>2022</v>
      </c>
      <c r="B472" t="s">
        <v>119</v>
      </c>
      <c r="C472" t="s">
        <v>447</v>
      </c>
      <c r="D472" t="s">
        <v>422</v>
      </c>
      <c r="E472" t="s">
        <v>423</v>
      </c>
      <c r="F472">
        <v>118</v>
      </c>
      <c r="G472" t="s">
        <v>22</v>
      </c>
      <c r="I472" t="s">
        <v>105</v>
      </c>
      <c r="J472" t="s">
        <v>151</v>
      </c>
      <c r="K472" t="s">
        <v>152</v>
      </c>
      <c r="L472">
        <v>227836</v>
      </c>
      <c r="M472">
        <v>333843</v>
      </c>
      <c r="N472">
        <v>9</v>
      </c>
      <c r="O472">
        <f t="shared" ref="O472:O510" si="166">N472/$N$511</f>
        <v>2.2443890274314215E-2</v>
      </c>
      <c r="P472">
        <v>90</v>
      </c>
      <c r="Q472">
        <f t="shared" ref="Q472:Q510" si="167">P472/$P$511</f>
        <v>2.2443890274314215E-2</v>
      </c>
      <c r="R472">
        <v>5.08</v>
      </c>
      <c r="S472">
        <f>R472*10</f>
        <v>50.8</v>
      </c>
      <c r="T472">
        <f t="shared" ref="T472:T510" si="168">S472/$S$511</f>
        <v>0.37407952871870398</v>
      </c>
      <c r="U472">
        <f t="shared" ref="U472:U510" si="169">O472*LN(O472)</f>
        <v>-8.5213545261179927E-2</v>
      </c>
      <c r="V472">
        <f t="shared" ref="V472:V510" si="170">15.6/1000</f>
        <v>1.5599999999999999E-2</v>
      </c>
      <c r="W472">
        <v>0.1</v>
      </c>
      <c r="X472">
        <f t="shared" ref="X472:X510" si="171">V472/W472</f>
        <v>0.15599999999999997</v>
      </c>
      <c r="Y472">
        <v>3.5</v>
      </c>
      <c r="Z472">
        <v>4</v>
      </c>
      <c r="AA472" t="s">
        <v>27</v>
      </c>
      <c r="AB472">
        <f t="shared" ref="AB472:AB510" si="172">(SQRT(S472/P472))*P472*Z472*Y472</f>
        <v>946.6319242451101</v>
      </c>
      <c r="AC472">
        <f t="shared" si="163"/>
        <v>1081.8650562801258</v>
      </c>
      <c r="AE472">
        <v>2.5</v>
      </c>
      <c r="AF472">
        <v>3.75</v>
      </c>
      <c r="AG472">
        <v>3.29</v>
      </c>
      <c r="AH472">
        <f t="shared" ref="AH472:AH510" si="173">((S472/P472)^0.75)*P472*AE472*AF472*AG472</f>
        <v>1807.6967862265069</v>
      </c>
      <c r="AI472">
        <f t="shared" si="164"/>
        <v>3750.9250437607761</v>
      </c>
    </row>
    <row r="473" spans="1:36" x14ac:dyDescent="0.3">
      <c r="A473">
        <v>2022</v>
      </c>
      <c r="B473" t="s">
        <v>119</v>
      </c>
      <c r="C473" t="s">
        <v>447</v>
      </c>
      <c r="D473" t="s">
        <v>422</v>
      </c>
      <c r="E473" t="s">
        <v>423</v>
      </c>
      <c r="F473">
        <v>118</v>
      </c>
      <c r="G473" t="s">
        <v>22</v>
      </c>
      <c r="I473" t="s">
        <v>105</v>
      </c>
      <c r="J473" t="s">
        <v>106</v>
      </c>
      <c r="K473" t="s">
        <v>107</v>
      </c>
      <c r="L473">
        <v>227839</v>
      </c>
      <c r="M473">
        <v>130980</v>
      </c>
      <c r="N473">
        <v>9</v>
      </c>
      <c r="O473">
        <f t="shared" si="166"/>
        <v>2.2443890274314215E-2</v>
      </c>
      <c r="P473">
        <v>90</v>
      </c>
      <c r="Q473">
        <f t="shared" si="167"/>
        <v>2.2443890274314215E-2</v>
      </c>
      <c r="R473">
        <v>0.39</v>
      </c>
      <c r="S473">
        <f t="shared" ref="S473:S510" si="174">R473*10</f>
        <v>3.9000000000000004</v>
      </c>
      <c r="T473">
        <f t="shared" si="168"/>
        <v>2.8718703976435941E-2</v>
      </c>
      <c r="U473">
        <f t="shared" si="169"/>
        <v>-8.5213545261179927E-2</v>
      </c>
      <c r="V473">
        <f t="shared" si="170"/>
        <v>1.5599999999999999E-2</v>
      </c>
      <c r="W473">
        <v>0.1</v>
      </c>
      <c r="X473">
        <f t="shared" si="171"/>
        <v>0.15599999999999997</v>
      </c>
      <c r="Y473">
        <v>4</v>
      </c>
      <c r="Z473">
        <v>4</v>
      </c>
      <c r="AA473" t="s">
        <v>27</v>
      </c>
      <c r="AB473">
        <f t="shared" si="172"/>
        <v>299.75990392312309</v>
      </c>
      <c r="AC473">
        <f t="shared" si="163"/>
        <v>299.75990392312309</v>
      </c>
      <c r="AE473">
        <v>2</v>
      </c>
      <c r="AF473">
        <v>3</v>
      </c>
      <c r="AG473">
        <v>3</v>
      </c>
      <c r="AH473">
        <f t="shared" si="173"/>
        <v>153.86207593922765</v>
      </c>
      <c r="AI473">
        <f t="shared" si="164"/>
        <v>547.06515889503169</v>
      </c>
    </row>
    <row r="474" spans="1:36" x14ac:dyDescent="0.3">
      <c r="A474">
        <v>2022</v>
      </c>
      <c r="B474" t="s">
        <v>119</v>
      </c>
      <c r="C474" t="s">
        <v>447</v>
      </c>
      <c r="D474" t="s">
        <v>422</v>
      </c>
      <c r="E474" t="s">
        <v>423</v>
      </c>
      <c r="F474">
        <v>118</v>
      </c>
      <c r="G474" t="s">
        <v>28</v>
      </c>
      <c r="H474" t="s">
        <v>29</v>
      </c>
      <c r="I474" t="s">
        <v>30</v>
      </c>
      <c r="J474" t="s">
        <v>31</v>
      </c>
      <c r="K474" t="s">
        <v>33</v>
      </c>
      <c r="L474">
        <v>217698</v>
      </c>
      <c r="M474">
        <v>125073</v>
      </c>
      <c r="N474">
        <v>1</v>
      </c>
      <c r="O474">
        <f t="shared" si="166"/>
        <v>2.4937655860349127E-3</v>
      </c>
      <c r="P474">
        <v>10</v>
      </c>
      <c r="Q474">
        <f t="shared" si="167"/>
        <v>2.4937655860349127E-3</v>
      </c>
      <c r="R474">
        <v>0.31</v>
      </c>
      <c r="S474">
        <f t="shared" si="174"/>
        <v>3.1</v>
      </c>
      <c r="T474">
        <f t="shared" si="168"/>
        <v>2.2827687776141387E-2</v>
      </c>
      <c r="U474">
        <f t="shared" si="169"/>
        <v>-1.4947534731437829E-2</v>
      </c>
      <c r="V474">
        <f t="shared" si="170"/>
        <v>1.5599999999999999E-2</v>
      </c>
      <c r="W474">
        <v>0.1</v>
      </c>
      <c r="X474">
        <f t="shared" si="171"/>
        <v>0.15599999999999997</v>
      </c>
      <c r="Y474">
        <v>4</v>
      </c>
      <c r="Z474">
        <v>3</v>
      </c>
      <c r="AA474" t="s">
        <v>27</v>
      </c>
      <c r="AB474">
        <f t="shared" si="172"/>
        <v>66.813172353960269</v>
      </c>
      <c r="AC474">
        <f t="shared" si="163"/>
        <v>89.084229805280359</v>
      </c>
      <c r="AE474">
        <v>2</v>
      </c>
      <c r="AF474">
        <v>4</v>
      </c>
      <c r="AG474">
        <v>3</v>
      </c>
      <c r="AH474">
        <f t="shared" si="173"/>
        <v>99.708575590413943</v>
      </c>
      <c r="AI474">
        <f t="shared" si="164"/>
        <v>265.8895349077705</v>
      </c>
    </row>
    <row r="475" spans="1:36" x14ac:dyDescent="0.3">
      <c r="A475">
        <v>2022</v>
      </c>
      <c r="B475" t="s">
        <v>119</v>
      </c>
      <c r="C475" t="s">
        <v>447</v>
      </c>
      <c r="D475" t="s">
        <v>422</v>
      </c>
      <c r="E475" t="s">
        <v>423</v>
      </c>
      <c r="F475">
        <v>118</v>
      </c>
      <c r="G475" t="s">
        <v>22</v>
      </c>
      <c r="H475" t="s">
        <v>163</v>
      </c>
      <c r="I475" t="s">
        <v>164</v>
      </c>
      <c r="J475" t="s">
        <v>165</v>
      </c>
      <c r="K475" t="s">
        <v>166</v>
      </c>
      <c r="L475" t="s">
        <v>112</v>
      </c>
      <c r="M475">
        <v>129837</v>
      </c>
      <c r="N475">
        <v>57</v>
      </c>
      <c r="O475">
        <f t="shared" si="166"/>
        <v>0.14214463840399003</v>
      </c>
      <c r="P475">
        <v>570</v>
      </c>
      <c r="Q475">
        <f t="shared" si="167"/>
        <v>0.14214463840399003</v>
      </c>
      <c r="R475">
        <v>0.37</v>
      </c>
      <c r="S475">
        <f t="shared" si="174"/>
        <v>3.7</v>
      </c>
      <c r="T475">
        <f t="shared" si="168"/>
        <v>2.7245949926362301E-2</v>
      </c>
      <c r="U475">
        <f t="shared" si="169"/>
        <v>-0.27731141917682067</v>
      </c>
      <c r="V475">
        <f t="shared" si="170"/>
        <v>1.5599999999999999E-2</v>
      </c>
      <c r="W475">
        <v>0.1</v>
      </c>
      <c r="X475">
        <f t="shared" si="171"/>
        <v>0.15599999999999997</v>
      </c>
      <c r="Y475">
        <v>4</v>
      </c>
      <c r="Z475">
        <v>3</v>
      </c>
      <c r="AA475" t="s">
        <v>27</v>
      </c>
      <c r="AB475">
        <f t="shared" si="172"/>
        <v>551.08620015384156</v>
      </c>
      <c r="AC475">
        <f t="shared" si="163"/>
        <v>734.78160020512212</v>
      </c>
      <c r="AE475">
        <v>3</v>
      </c>
      <c r="AF475">
        <v>2</v>
      </c>
      <c r="AG475">
        <v>1</v>
      </c>
      <c r="AH475">
        <f t="shared" si="173"/>
        <v>78.211615644401832</v>
      </c>
      <c r="AI475">
        <f t="shared" si="164"/>
        <v>834.25723354028617</v>
      </c>
    </row>
    <row r="476" spans="1:36" x14ac:dyDescent="0.3">
      <c r="A476">
        <v>2022</v>
      </c>
      <c r="B476" t="s">
        <v>119</v>
      </c>
      <c r="C476" t="s">
        <v>447</v>
      </c>
      <c r="D476" t="s">
        <v>422</v>
      </c>
      <c r="E476" t="s">
        <v>423</v>
      </c>
      <c r="F476">
        <v>118</v>
      </c>
      <c r="G476" t="s">
        <v>22</v>
      </c>
      <c r="H476" t="s">
        <v>67</v>
      </c>
      <c r="I476" t="s">
        <v>68</v>
      </c>
      <c r="J476" t="s">
        <v>69</v>
      </c>
      <c r="K476" t="s">
        <v>190</v>
      </c>
      <c r="L476">
        <v>226797</v>
      </c>
      <c r="M476">
        <v>130116</v>
      </c>
      <c r="N476">
        <v>1</v>
      </c>
      <c r="O476">
        <f t="shared" si="166"/>
        <v>2.4937655860349127E-3</v>
      </c>
      <c r="P476">
        <v>10</v>
      </c>
      <c r="Q476">
        <f t="shared" si="167"/>
        <v>2.4937655860349127E-3</v>
      </c>
      <c r="R476">
        <v>0.49</v>
      </c>
      <c r="S476">
        <f t="shared" si="174"/>
        <v>4.9000000000000004</v>
      </c>
      <c r="T476">
        <f t="shared" si="168"/>
        <v>3.6082474226804134E-2</v>
      </c>
      <c r="U476">
        <f t="shared" si="169"/>
        <v>-1.4947534731437829E-2</v>
      </c>
      <c r="V476">
        <f t="shared" si="170"/>
        <v>1.5599999999999999E-2</v>
      </c>
      <c r="W476">
        <v>0.1</v>
      </c>
      <c r="X476">
        <f t="shared" si="171"/>
        <v>0.15599999999999997</v>
      </c>
      <c r="Y476">
        <v>4</v>
      </c>
      <c r="Z476">
        <v>3</v>
      </c>
      <c r="AA476" t="s">
        <v>27</v>
      </c>
      <c r="AB476">
        <f t="shared" si="172"/>
        <v>84.000000000000014</v>
      </c>
      <c r="AC476">
        <f t="shared" si="163"/>
        <v>112.00000000000001</v>
      </c>
      <c r="AE476">
        <v>2</v>
      </c>
      <c r="AF476">
        <v>2</v>
      </c>
      <c r="AG476">
        <v>2</v>
      </c>
      <c r="AH476">
        <f t="shared" si="173"/>
        <v>46.852961485908232</v>
      </c>
      <c r="AI476">
        <f t="shared" si="164"/>
        <v>374.82369188726585</v>
      </c>
    </row>
    <row r="477" spans="1:36" x14ac:dyDescent="0.3">
      <c r="A477">
        <v>2022</v>
      </c>
      <c r="B477" t="s">
        <v>119</v>
      </c>
      <c r="C477" t="s">
        <v>447</v>
      </c>
      <c r="D477" t="s">
        <v>422</v>
      </c>
      <c r="E477" t="s">
        <v>423</v>
      </c>
      <c r="F477">
        <v>118</v>
      </c>
      <c r="G477" t="s">
        <v>22</v>
      </c>
      <c r="H477" t="s">
        <v>67</v>
      </c>
      <c r="I477" t="s">
        <v>430</v>
      </c>
      <c r="J477" t="s">
        <v>431</v>
      </c>
      <c r="K477" t="s">
        <v>432</v>
      </c>
      <c r="L477">
        <v>226997</v>
      </c>
      <c r="M477">
        <v>130367</v>
      </c>
      <c r="N477">
        <v>2</v>
      </c>
      <c r="O477">
        <f t="shared" si="166"/>
        <v>4.9875311720698253E-3</v>
      </c>
      <c r="P477">
        <v>20</v>
      </c>
      <c r="Q477">
        <f t="shared" si="167"/>
        <v>4.9875311720698253E-3</v>
      </c>
      <c r="R477">
        <v>0.08</v>
      </c>
      <c r="S477">
        <f t="shared" si="174"/>
        <v>0.8</v>
      </c>
      <c r="T477">
        <f t="shared" si="168"/>
        <v>5.8910162002945516E-3</v>
      </c>
      <c r="U477">
        <f t="shared" si="169"/>
        <v>-2.6437976293000619E-2</v>
      </c>
      <c r="V477">
        <f t="shared" si="170"/>
        <v>1.5599999999999999E-2</v>
      </c>
      <c r="W477">
        <v>0.1</v>
      </c>
      <c r="X477">
        <f t="shared" si="171"/>
        <v>0.15599999999999997</v>
      </c>
      <c r="Y477">
        <v>4</v>
      </c>
      <c r="Z477">
        <v>3</v>
      </c>
      <c r="AA477" t="s">
        <v>27</v>
      </c>
      <c r="AB477">
        <f t="shared" si="172"/>
        <v>48</v>
      </c>
      <c r="AC477">
        <f t="shared" si="163"/>
        <v>64</v>
      </c>
      <c r="AE477">
        <v>1.88</v>
      </c>
      <c r="AF477">
        <v>2.4</v>
      </c>
      <c r="AG477">
        <v>2.5</v>
      </c>
      <c r="AH477">
        <f t="shared" si="173"/>
        <v>20.178277428958108</v>
      </c>
      <c r="AI477">
        <f t="shared" si="164"/>
        <v>114.48668044798927</v>
      </c>
    </row>
    <row r="478" spans="1:36" x14ac:dyDescent="0.3">
      <c r="A478">
        <v>2022</v>
      </c>
      <c r="B478" t="s">
        <v>119</v>
      </c>
      <c r="C478" t="s">
        <v>447</v>
      </c>
      <c r="D478" t="s">
        <v>422</v>
      </c>
      <c r="E478" t="s">
        <v>423</v>
      </c>
      <c r="F478">
        <v>118</v>
      </c>
      <c r="G478" t="s">
        <v>22</v>
      </c>
      <c r="H478" t="s">
        <v>67</v>
      </c>
      <c r="I478" t="s">
        <v>76</v>
      </c>
      <c r="J478" t="s">
        <v>156</v>
      </c>
      <c r="K478" t="s">
        <v>157</v>
      </c>
      <c r="L478">
        <v>245755</v>
      </c>
      <c r="M478">
        <v>532020</v>
      </c>
      <c r="N478">
        <v>19</v>
      </c>
      <c r="O478">
        <f t="shared" si="166"/>
        <v>4.738154613466334E-2</v>
      </c>
      <c r="P478">
        <v>190</v>
      </c>
      <c r="Q478">
        <f t="shared" si="167"/>
        <v>4.738154613466334E-2</v>
      </c>
      <c r="R478">
        <v>0.08</v>
      </c>
      <c r="S478">
        <f t="shared" si="174"/>
        <v>0.8</v>
      </c>
      <c r="T478">
        <f t="shared" si="168"/>
        <v>5.8910162002945516E-3</v>
      </c>
      <c r="U478">
        <f t="shared" si="169"/>
        <v>-0.14449108856524301</v>
      </c>
      <c r="V478">
        <f t="shared" si="170"/>
        <v>1.5599999999999999E-2</v>
      </c>
      <c r="W478">
        <v>0.1</v>
      </c>
      <c r="X478">
        <f t="shared" si="171"/>
        <v>0.15599999999999997</v>
      </c>
      <c r="Y478">
        <v>4</v>
      </c>
      <c r="Z478">
        <v>3</v>
      </c>
      <c r="AA478" t="s">
        <v>27</v>
      </c>
      <c r="AB478">
        <f t="shared" si="172"/>
        <v>147.94593607125546</v>
      </c>
      <c r="AC478">
        <f t="shared" si="163"/>
        <v>197.26124809500726</v>
      </c>
      <c r="AE478">
        <v>1.5</v>
      </c>
      <c r="AF478">
        <v>2.2000000000000002</v>
      </c>
      <c r="AG478">
        <v>1</v>
      </c>
      <c r="AH478">
        <f t="shared" si="173"/>
        <v>10.363819256805444</v>
      </c>
      <c r="AI478">
        <f t="shared" si="164"/>
        <v>200.99528255622678</v>
      </c>
    </row>
    <row r="479" spans="1:36" x14ac:dyDescent="0.3">
      <c r="A479">
        <v>2022</v>
      </c>
      <c r="B479" t="s">
        <v>119</v>
      </c>
      <c r="C479" t="s">
        <v>447</v>
      </c>
      <c r="D479" t="s">
        <v>422</v>
      </c>
      <c r="E479" t="s">
        <v>423</v>
      </c>
      <c r="F479">
        <v>118</v>
      </c>
      <c r="K479" t="s">
        <v>75</v>
      </c>
      <c r="L479">
        <v>5000018</v>
      </c>
      <c r="M479">
        <v>152391</v>
      </c>
      <c r="N479">
        <v>9</v>
      </c>
      <c r="O479">
        <f t="shared" si="166"/>
        <v>2.2443890274314215E-2</v>
      </c>
      <c r="P479">
        <v>90</v>
      </c>
      <c r="Q479">
        <f t="shared" si="167"/>
        <v>2.2443890274314215E-2</v>
      </c>
      <c r="R479">
        <v>0.03</v>
      </c>
      <c r="S479">
        <f t="shared" si="174"/>
        <v>0.3</v>
      </c>
      <c r="T479">
        <f t="shared" si="168"/>
        <v>2.2091310751104569E-3</v>
      </c>
      <c r="U479">
        <f t="shared" si="169"/>
        <v>-8.5213545261179927E-2</v>
      </c>
      <c r="V479">
        <f t="shared" si="170"/>
        <v>1.5599999999999999E-2</v>
      </c>
      <c r="W479">
        <v>0.1</v>
      </c>
      <c r="X479">
        <f t="shared" si="171"/>
        <v>0.15599999999999997</v>
      </c>
      <c r="Y479">
        <v>4</v>
      </c>
      <c r="Z479">
        <v>3</v>
      </c>
      <c r="AA479" t="s">
        <v>27</v>
      </c>
      <c r="AB479">
        <f t="shared" si="172"/>
        <v>62.353829072479584</v>
      </c>
      <c r="AC479">
        <f t="shared" si="163"/>
        <v>83.138438763306112</v>
      </c>
      <c r="AE479">
        <v>2</v>
      </c>
      <c r="AF479">
        <v>2</v>
      </c>
      <c r="AG479">
        <v>2</v>
      </c>
      <c r="AH479">
        <f t="shared" si="173"/>
        <v>9.9882994806907615</v>
      </c>
      <c r="AI479">
        <f t="shared" si="164"/>
        <v>79.906395845526092</v>
      </c>
    </row>
    <row r="480" spans="1:36" x14ac:dyDescent="0.3">
      <c r="A480">
        <v>2022</v>
      </c>
      <c r="B480" t="s">
        <v>119</v>
      </c>
      <c r="C480" t="s">
        <v>447</v>
      </c>
      <c r="D480" t="s">
        <v>422</v>
      </c>
      <c r="E480" t="s">
        <v>423</v>
      </c>
      <c r="F480">
        <v>118</v>
      </c>
      <c r="G480" t="s">
        <v>51</v>
      </c>
      <c r="H480" t="s">
        <v>126</v>
      </c>
      <c r="I480" t="s">
        <v>427</v>
      </c>
      <c r="J480" t="s">
        <v>428</v>
      </c>
      <c r="K480" t="s">
        <v>429</v>
      </c>
      <c r="L480">
        <v>233388</v>
      </c>
      <c r="M480">
        <v>101963</v>
      </c>
      <c r="N480">
        <v>3</v>
      </c>
      <c r="O480">
        <f t="shared" si="166"/>
        <v>7.481296758104738E-3</v>
      </c>
      <c r="P480">
        <v>30</v>
      </c>
      <c r="Q480">
        <f t="shared" si="167"/>
        <v>7.481296758104738E-3</v>
      </c>
      <c r="R480">
        <v>0.01</v>
      </c>
      <c r="S480">
        <f t="shared" si="174"/>
        <v>0.1</v>
      </c>
      <c r="T480">
        <f t="shared" si="168"/>
        <v>7.3637702503681895E-4</v>
      </c>
      <c r="U480">
        <f t="shared" si="169"/>
        <v>-3.6623559640686726E-2</v>
      </c>
      <c r="V480">
        <f t="shared" si="170"/>
        <v>1.5599999999999999E-2</v>
      </c>
      <c r="W480">
        <v>0.1</v>
      </c>
      <c r="X480">
        <f t="shared" si="171"/>
        <v>0.15599999999999997</v>
      </c>
      <c r="Y480">
        <v>2</v>
      </c>
      <c r="Z480">
        <v>3</v>
      </c>
      <c r="AA480" t="s">
        <v>27</v>
      </c>
      <c r="AB480">
        <f t="shared" si="172"/>
        <v>10.392304845413264</v>
      </c>
      <c r="AC480">
        <f t="shared" si="163"/>
        <v>27.712812921102039</v>
      </c>
      <c r="AE480">
        <v>1</v>
      </c>
      <c r="AF480">
        <v>3</v>
      </c>
      <c r="AG480">
        <v>1</v>
      </c>
      <c r="AH480">
        <f t="shared" si="173"/>
        <v>1.2485374350863452</v>
      </c>
      <c r="AI480">
        <f t="shared" si="164"/>
        <v>26.635465281842031</v>
      </c>
    </row>
    <row r="481" spans="1:35" x14ac:dyDescent="0.3">
      <c r="A481">
        <v>2022</v>
      </c>
      <c r="B481" t="s">
        <v>119</v>
      </c>
      <c r="C481" t="s">
        <v>447</v>
      </c>
      <c r="D481" t="s">
        <v>422</v>
      </c>
      <c r="E481" t="s">
        <v>423</v>
      </c>
      <c r="F481">
        <v>118</v>
      </c>
      <c r="G481" t="s">
        <v>22</v>
      </c>
      <c r="H481" t="s">
        <v>67</v>
      </c>
      <c r="I481" t="s">
        <v>76</v>
      </c>
      <c r="J481" t="s">
        <v>156</v>
      </c>
      <c r="K481" t="s">
        <v>450</v>
      </c>
      <c r="L481">
        <v>226847</v>
      </c>
      <c r="M481">
        <v>130185</v>
      </c>
      <c r="N481">
        <v>1</v>
      </c>
      <c r="O481">
        <f t="shared" si="166"/>
        <v>2.4937655860349127E-3</v>
      </c>
      <c r="P481">
        <v>10</v>
      </c>
      <c r="Q481">
        <f t="shared" si="167"/>
        <v>2.4937655860349127E-3</v>
      </c>
      <c r="R481">
        <v>5.0000000000000001E-3</v>
      </c>
      <c r="S481">
        <f t="shared" si="174"/>
        <v>0.05</v>
      </c>
      <c r="T481">
        <f t="shared" si="168"/>
        <v>3.6818851251840947E-4</v>
      </c>
      <c r="U481">
        <f t="shared" si="169"/>
        <v>-1.4947534731437829E-2</v>
      </c>
      <c r="V481">
        <f t="shared" si="170"/>
        <v>1.5599999999999999E-2</v>
      </c>
      <c r="W481">
        <v>0.1</v>
      </c>
      <c r="X481">
        <f t="shared" si="171"/>
        <v>0.15599999999999997</v>
      </c>
      <c r="Y481">
        <v>4</v>
      </c>
      <c r="Z481">
        <v>3</v>
      </c>
      <c r="AA481" t="s">
        <v>27</v>
      </c>
      <c r="AB481">
        <f t="shared" si="172"/>
        <v>8.4852813742385695</v>
      </c>
      <c r="AC481">
        <f t="shared" si="163"/>
        <v>11.313708498984759</v>
      </c>
      <c r="AE481">
        <v>1.5</v>
      </c>
      <c r="AF481">
        <v>2.2000000000000002</v>
      </c>
      <c r="AG481">
        <v>1</v>
      </c>
      <c r="AH481">
        <f t="shared" si="173"/>
        <v>0.62049951035925532</v>
      </c>
      <c r="AI481">
        <f t="shared" si="164"/>
        <v>12.033929897876465</v>
      </c>
    </row>
    <row r="482" spans="1:35" x14ac:dyDescent="0.3">
      <c r="A482">
        <v>2022</v>
      </c>
      <c r="B482" t="s">
        <v>119</v>
      </c>
      <c r="C482" t="s">
        <v>447</v>
      </c>
      <c r="D482" t="s">
        <v>422</v>
      </c>
      <c r="E482" t="s">
        <v>423</v>
      </c>
      <c r="F482">
        <v>118</v>
      </c>
      <c r="G482" t="s">
        <v>22</v>
      </c>
      <c r="H482" t="s">
        <v>67</v>
      </c>
      <c r="I482" t="s">
        <v>76</v>
      </c>
      <c r="J482" t="s">
        <v>448</v>
      </c>
      <c r="K482" t="s">
        <v>449</v>
      </c>
      <c r="L482">
        <v>226838</v>
      </c>
      <c r="M482">
        <v>743514</v>
      </c>
      <c r="N482">
        <v>1</v>
      </c>
      <c r="O482">
        <f t="shared" si="166"/>
        <v>2.4937655860349127E-3</v>
      </c>
      <c r="P482">
        <v>10</v>
      </c>
      <c r="Q482">
        <f t="shared" si="167"/>
        <v>2.4937655860349127E-3</v>
      </c>
      <c r="R482">
        <v>5.0000000000000001E-3</v>
      </c>
      <c r="S482">
        <f t="shared" si="174"/>
        <v>0.05</v>
      </c>
      <c r="T482">
        <f t="shared" si="168"/>
        <v>3.6818851251840947E-4</v>
      </c>
      <c r="U482">
        <f t="shared" si="169"/>
        <v>-1.4947534731437829E-2</v>
      </c>
      <c r="V482">
        <f t="shared" si="170"/>
        <v>1.5599999999999999E-2</v>
      </c>
      <c r="W482">
        <v>0.1</v>
      </c>
      <c r="X482">
        <f t="shared" si="171"/>
        <v>0.15599999999999997</v>
      </c>
      <c r="Y482">
        <v>3.7777777777777799</v>
      </c>
      <c r="Z482">
        <v>3</v>
      </c>
      <c r="AA482" t="s">
        <v>27</v>
      </c>
      <c r="AB482">
        <f t="shared" si="172"/>
        <v>8.0138768534475417</v>
      </c>
      <c r="AC482">
        <f t="shared" si="163"/>
        <v>11.313708498984759</v>
      </c>
      <c r="AE482">
        <v>1.1666666666666701</v>
      </c>
      <c r="AF482">
        <v>1.7333333333333301</v>
      </c>
      <c r="AG482">
        <v>1</v>
      </c>
      <c r="AH482">
        <f t="shared" si="173"/>
        <v>0.38023875718984707</v>
      </c>
      <c r="AI482">
        <f t="shared" si="164"/>
        <v>12.033929897876465</v>
      </c>
    </row>
    <row r="483" spans="1:35" x14ac:dyDescent="0.3">
      <c r="A483">
        <v>2022</v>
      </c>
      <c r="B483" t="s">
        <v>119</v>
      </c>
      <c r="C483" t="s">
        <v>447</v>
      </c>
      <c r="D483" t="s">
        <v>422</v>
      </c>
      <c r="E483" t="s">
        <v>423</v>
      </c>
      <c r="F483">
        <v>118</v>
      </c>
      <c r="G483" t="s">
        <v>79</v>
      </c>
      <c r="H483" t="s">
        <v>80</v>
      </c>
      <c r="I483" t="s">
        <v>81</v>
      </c>
      <c r="J483" t="s">
        <v>177</v>
      </c>
      <c r="K483" t="s">
        <v>446</v>
      </c>
      <c r="L483">
        <v>218353</v>
      </c>
      <c r="M483">
        <v>141672</v>
      </c>
      <c r="N483">
        <v>40</v>
      </c>
      <c r="O483">
        <f t="shared" si="166"/>
        <v>9.9750623441396513E-2</v>
      </c>
      <c r="P483">
        <v>400</v>
      </c>
      <c r="Q483">
        <f t="shared" si="167"/>
        <v>9.9750623441396513E-2</v>
      </c>
      <c r="R483">
        <v>0.81</v>
      </c>
      <c r="S483">
        <f t="shared" si="174"/>
        <v>8.1000000000000014</v>
      </c>
      <c r="T483">
        <f t="shared" si="168"/>
        <v>5.9646539027982344E-2</v>
      </c>
      <c r="U483">
        <f t="shared" si="169"/>
        <v>-0.22993336390948954</v>
      </c>
      <c r="V483">
        <f t="shared" si="170"/>
        <v>1.5599999999999999E-2</v>
      </c>
      <c r="W483">
        <v>0.1</v>
      </c>
      <c r="X483">
        <f t="shared" si="171"/>
        <v>0.15599999999999997</v>
      </c>
      <c r="Y483">
        <v>3</v>
      </c>
      <c r="Z483">
        <v>2</v>
      </c>
      <c r="AA483" t="s">
        <v>93</v>
      </c>
      <c r="AB483">
        <f t="shared" si="172"/>
        <v>341.52598729818499</v>
      </c>
      <c r="AC483">
        <f t="shared" si="163"/>
        <v>910.73596612849337</v>
      </c>
      <c r="AE483">
        <v>3</v>
      </c>
      <c r="AF483">
        <v>3</v>
      </c>
      <c r="AG483">
        <v>3</v>
      </c>
      <c r="AH483">
        <f t="shared" si="173"/>
        <v>579.75236127118001</v>
      </c>
      <c r="AI483">
        <f t="shared" si="164"/>
        <v>1374.2278193094637</v>
      </c>
    </row>
    <row r="484" spans="1:35" x14ac:dyDescent="0.3">
      <c r="A484">
        <v>2022</v>
      </c>
      <c r="B484" t="s">
        <v>119</v>
      </c>
      <c r="C484" t="s">
        <v>447</v>
      </c>
      <c r="D484" t="s">
        <v>422</v>
      </c>
      <c r="E484" t="s">
        <v>423</v>
      </c>
      <c r="F484">
        <v>118</v>
      </c>
      <c r="G484" t="s">
        <v>22</v>
      </c>
      <c r="H484" t="s">
        <v>56</v>
      </c>
      <c r="I484" t="s">
        <v>90</v>
      </c>
      <c r="J484" t="s">
        <v>282</v>
      </c>
      <c r="K484" t="s">
        <v>283</v>
      </c>
      <c r="L484">
        <v>227527</v>
      </c>
      <c r="M484">
        <v>154972</v>
      </c>
      <c r="N484">
        <v>4</v>
      </c>
      <c r="O484">
        <f t="shared" si="166"/>
        <v>9.9750623441396506E-3</v>
      </c>
      <c r="P484">
        <v>40</v>
      </c>
      <c r="Q484">
        <f t="shared" si="167"/>
        <v>9.9750623441396506E-3</v>
      </c>
      <c r="R484">
        <v>0.54</v>
      </c>
      <c r="S484">
        <f t="shared" si="174"/>
        <v>5.4</v>
      </c>
      <c r="T484">
        <f t="shared" si="168"/>
        <v>3.9764359351988222E-2</v>
      </c>
      <c r="U484">
        <f t="shared" si="169"/>
        <v>-4.5961766246251159E-2</v>
      </c>
      <c r="V484">
        <f t="shared" si="170"/>
        <v>1.5599999999999999E-2</v>
      </c>
      <c r="W484">
        <v>0.1</v>
      </c>
      <c r="X484">
        <f t="shared" si="171"/>
        <v>0.15599999999999997</v>
      </c>
      <c r="Y484">
        <v>3</v>
      </c>
      <c r="Z484">
        <v>1</v>
      </c>
      <c r="AA484" t="s">
        <v>93</v>
      </c>
      <c r="AB484">
        <f t="shared" si="172"/>
        <v>44.090815370097204</v>
      </c>
      <c r="AC484">
        <f t="shared" si="163"/>
        <v>235.15101530718511</v>
      </c>
      <c r="AE484">
        <v>1.5</v>
      </c>
      <c r="AF484">
        <v>2.5</v>
      </c>
      <c r="AG484">
        <v>2.5</v>
      </c>
      <c r="AH484">
        <f t="shared" si="173"/>
        <v>83.518290064796048</v>
      </c>
      <c r="AI484">
        <f t="shared" si="164"/>
        <v>570.15152684234101</v>
      </c>
    </row>
    <row r="485" spans="1:35" x14ac:dyDescent="0.3">
      <c r="A485">
        <v>2022</v>
      </c>
      <c r="B485" t="s">
        <v>119</v>
      </c>
      <c r="C485" t="s">
        <v>447</v>
      </c>
      <c r="D485" t="s">
        <v>422</v>
      </c>
      <c r="E485" t="s">
        <v>423</v>
      </c>
      <c r="F485">
        <v>118</v>
      </c>
      <c r="G485" t="s">
        <v>79</v>
      </c>
      <c r="H485" t="s">
        <v>80</v>
      </c>
      <c r="I485" t="s">
        <v>81</v>
      </c>
      <c r="J485" t="s">
        <v>177</v>
      </c>
      <c r="K485" t="s">
        <v>177</v>
      </c>
      <c r="L485">
        <v>1005144</v>
      </c>
      <c r="M485">
        <v>138552</v>
      </c>
      <c r="N485">
        <v>18</v>
      </c>
      <c r="O485">
        <f t="shared" si="166"/>
        <v>4.488778054862843E-2</v>
      </c>
      <c r="P485">
        <v>180</v>
      </c>
      <c r="Q485">
        <f t="shared" si="167"/>
        <v>4.488778054862843E-2</v>
      </c>
      <c r="R485">
        <v>0.03</v>
      </c>
      <c r="S485">
        <f t="shared" si="174"/>
        <v>0.3</v>
      </c>
      <c r="T485">
        <f t="shared" si="168"/>
        <v>2.2091310751104569E-3</v>
      </c>
      <c r="U485">
        <f t="shared" si="169"/>
        <v>-0.13931325199348449</v>
      </c>
      <c r="V485">
        <f t="shared" si="170"/>
        <v>1.5599999999999999E-2</v>
      </c>
      <c r="W485">
        <v>0.1</v>
      </c>
      <c r="X485">
        <f t="shared" si="171"/>
        <v>0.15599999999999997</v>
      </c>
      <c r="Y485">
        <v>3</v>
      </c>
      <c r="Z485">
        <v>2</v>
      </c>
      <c r="AA485" t="s">
        <v>93</v>
      </c>
      <c r="AB485">
        <f t="shared" si="172"/>
        <v>44.090815370097204</v>
      </c>
      <c r="AC485">
        <f t="shared" si="163"/>
        <v>117.57550765359254</v>
      </c>
      <c r="AE485">
        <v>3</v>
      </c>
      <c r="AF485">
        <v>3</v>
      </c>
      <c r="AG485">
        <v>3</v>
      </c>
      <c r="AH485">
        <f t="shared" si="173"/>
        <v>40.088779231102116</v>
      </c>
      <c r="AI485">
        <f t="shared" si="164"/>
        <v>95.025254473723535</v>
      </c>
    </row>
    <row r="486" spans="1:35" x14ac:dyDescent="0.3">
      <c r="A486">
        <v>2022</v>
      </c>
      <c r="B486" t="s">
        <v>119</v>
      </c>
      <c r="C486" t="s">
        <v>447</v>
      </c>
      <c r="D486" t="s">
        <v>422</v>
      </c>
      <c r="E486" t="s">
        <v>423</v>
      </c>
      <c r="F486">
        <v>118</v>
      </c>
      <c r="G486" t="s">
        <v>22</v>
      </c>
      <c r="H486" t="s">
        <v>135</v>
      </c>
      <c r="I486" t="s">
        <v>142</v>
      </c>
      <c r="J486" t="s">
        <v>143</v>
      </c>
      <c r="K486" t="s">
        <v>144</v>
      </c>
      <c r="L486">
        <v>227556</v>
      </c>
      <c r="M486">
        <v>146950</v>
      </c>
      <c r="N486">
        <v>2</v>
      </c>
      <c r="O486">
        <f t="shared" si="166"/>
        <v>4.9875311720698253E-3</v>
      </c>
      <c r="P486">
        <v>20</v>
      </c>
      <c r="Q486">
        <f t="shared" si="167"/>
        <v>4.9875311720698253E-3</v>
      </c>
      <c r="R486">
        <v>5.0000000000000001E-3</v>
      </c>
      <c r="S486">
        <f t="shared" si="174"/>
        <v>0.05</v>
      </c>
      <c r="T486">
        <f t="shared" si="168"/>
        <v>3.6818851251840947E-4</v>
      </c>
      <c r="U486">
        <f t="shared" si="169"/>
        <v>-2.6437976293000619E-2</v>
      </c>
      <c r="V486">
        <f t="shared" si="170"/>
        <v>1.5599999999999999E-2</v>
      </c>
      <c r="W486">
        <v>0.1</v>
      </c>
      <c r="X486">
        <f t="shared" si="171"/>
        <v>0.15599999999999997</v>
      </c>
      <c r="Y486">
        <v>3</v>
      </c>
      <c r="Z486">
        <v>1</v>
      </c>
      <c r="AA486" t="s">
        <v>93</v>
      </c>
      <c r="AB486">
        <f t="shared" si="172"/>
        <v>3</v>
      </c>
      <c r="AC486">
        <f t="shared" si="163"/>
        <v>16</v>
      </c>
      <c r="AE486">
        <v>3</v>
      </c>
      <c r="AF486">
        <v>3</v>
      </c>
      <c r="AG486">
        <v>1</v>
      </c>
      <c r="AH486">
        <f t="shared" si="173"/>
        <v>2.0124611797498106</v>
      </c>
      <c r="AI486">
        <f t="shared" si="164"/>
        <v>14.310835055998654</v>
      </c>
    </row>
    <row r="487" spans="1:35" x14ac:dyDescent="0.3">
      <c r="A487">
        <v>2022</v>
      </c>
      <c r="B487" t="s">
        <v>119</v>
      </c>
      <c r="C487" t="s">
        <v>447</v>
      </c>
      <c r="D487" t="s">
        <v>422</v>
      </c>
      <c r="E487" t="s">
        <v>423</v>
      </c>
      <c r="F487">
        <v>118</v>
      </c>
      <c r="G487" t="s">
        <v>22</v>
      </c>
      <c r="H487" t="s">
        <v>56</v>
      </c>
      <c r="I487" t="s">
        <v>132</v>
      </c>
      <c r="J487" t="s">
        <v>133</v>
      </c>
      <c r="K487" t="s">
        <v>134</v>
      </c>
      <c r="L487">
        <v>227416</v>
      </c>
      <c r="M487">
        <v>129955</v>
      </c>
      <c r="N487">
        <v>73</v>
      </c>
      <c r="O487">
        <f t="shared" si="166"/>
        <v>0.18204488778054864</v>
      </c>
      <c r="P487">
        <v>730</v>
      </c>
      <c r="Q487">
        <f t="shared" si="167"/>
        <v>0.18204488778054864</v>
      </c>
      <c r="R487">
        <v>0.65</v>
      </c>
      <c r="S487">
        <f t="shared" si="174"/>
        <v>6.5</v>
      </c>
      <c r="T487">
        <f t="shared" si="168"/>
        <v>4.7864506627393229E-2</v>
      </c>
      <c r="U487">
        <f t="shared" si="169"/>
        <v>-0.31011382790410724</v>
      </c>
      <c r="V487">
        <f t="shared" si="170"/>
        <v>1.5599999999999999E-2</v>
      </c>
      <c r="W487">
        <v>0.1</v>
      </c>
      <c r="X487">
        <f t="shared" si="171"/>
        <v>0.15599999999999997</v>
      </c>
      <c r="Y487">
        <v>2</v>
      </c>
      <c r="Z487">
        <v>2</v>
      </c>
      <c r="AA487" t="s">
        <v>50</v>
      </c>
      <c r="AB487">
        <f t="shared" si="172"/>
        <v>275.5358415887124</v>
      </c>
      <c r="AC487">
        <f t="shared" si="163"/>
        <v>1102.1433663548496</v>
      </c>
      <c r="AE487">
        <v>3</v>
      </c>
      <c r="AF487">
        <v>3</v>
      </c>
      <c r="AG487">
        <v>2</v>
      </c>
      <c r="AH487">
        <f t="shared" si="173"/>
        <v>380.88006064436763</v>
      </c>
      <c r="AI487">
        <f t="shared" si="164"/>
        <v>1354.2402156244182</v>
      </c>
    </row>
    <row r="488" spans="1:35" x14ac:dyDescent="0.3">
      <c r="A488">
        <v>2022</v>
      </c>
      <c r="B488" t="s">
        <v>119</v>
      </c>
      <c r="C488" t="s">
        <v>447</v>
      </c>
      <c r="D488" t="s">
        <v>422</v>
      </c>
      <c r="E488" t="s">
        <v>423</v>
      </c>
      <c r="F488">
        <v>118</v>
      </c>
      <c r="G488" t="s">
        <v>79</v>
      </c>
      <c r="H488" t="s">
        <v>80</v>
      </c>
      <c r="I488" t="s">
        <v>81</v>
      </c>
      <c r="J488" t="s">
        <v>82</v>
      </c>
      <c r="K488" t="s">
        <v>83</v>
      </c>
      <c r="L488">
        <v>218348</v>
      </c>
      <c r="M488">
        <v>954693</v>
      </c>
      <c r="N488">
        <v>50</v>
      </c>
      <c r="O488">
        <f t="shared" si="166"/>
        <v>0.12468827930174564</v>
      </c>
      <c r="P488">
        <v>500</v>
      </c>
      <c r="Q488">
        <f t="shared" si="167"/>
        <v>0.12468827930174564</v>
      </c>
      <c r="R488">
        <v>0.5</v>
      </c>
      <c r="S488">
        <f t="shared" si="174"/>
        <v>5</v>
      </c>
      <c r="T488">
        <f t="shared" si="168"/>
        <v>3.6818851251840951E-2</v>
      </c>
      <c r="U488">
        <f t="shared" si="169"/>
        <v>-0.25959331943621233</v>
      </c>
      <c r="V488">
        <f t="shared" si="170"/>
        <v>1.5599999999999999E-2</v>
      </c>
      <c r="W488">
        <v>0.1</v>
      </c>
      <c r="X488">
        <f t="shared" si="171"/>
        <v>0.15599999999999997</v>
      </c>
      <c r="Y488">
        <v>2</v>
      </c>
      <c r="Z488">
        <v>2</v>
      </c>
      <c r="AA488" t="s">
        <v>50</v>
      </c>
      <c r="AB488">
        <f t="shared" si="172"/>
        <v>200</v>
      </c>
      <c r="AC488">
        <f t="shared" si="163"/>
        <v>800</v>
      </c>
      <c r="AE488">
        <v>2.5</v>
      </c>
      <c r="AF488">
        <v>2</v>
      </c>
      <c r="AG488">
        <v>2.5</v>
      </c>
      <c r="AH488">
        <f t="shared" si="173"/>
        <v>197.64235376052375</v>
      </c>
      <c r="AI488">
        <f t="shared" si="164"/>
        <v>1011.9288512538816</v>
      </c>
    </row>
    <row r="489" spans="1:35" x14ac:dyDescent="0.3">
      <c r="A489">
        <v>2022</v>
      </c>
      <c r="B489" t="s">
        <v>119</v>
      </c>
      <c r="C489" t="s">
        <v>447</v>
      </c>
      <c r="D489" t="s">
        <v>422</v>
      </c>
      <c r="E489" t="s">
        <v>423</v>
      </c>
      <c r="F489">
        <v>118</v>
      </c>
      <c r="G489" t="s">
        <v>79</v>
      </c>
      <c r="H489" t="s">
        <v>245</v>
      </c>
      <c r="I489" t="s">
        <v>246</v>
      </c>
      <c r="J489" t="s">
        <v>418</v>
      </c>
      <c r="K489" t="s">
        <v>419</v>
      </c>
      <c r="L489">
        <v>218229</v>
      </c>
      <c r="M489">
        <v>140584</v>
      </c>
      <c r="N489">
        <v>3</v>
      </c>
      <c r="O489">
        <f t="shared" si="166"/>
        <v>7.481296758104738E-3</v>
      </c>
      <c r="P489">
        <v>30</v>
      </c>
      <c r="Q489">
        <f t="shared" si="167"/>
        <v>7.481296758104738E-3</v>
      </c>
      <c r="R489">
        <v>0.43</v>
      </c>
      <c r="S489">
        <f t="shared" si="174"/>
        <v>4.3</v>
      </c>
      <c r="T489">
        <f t="shared" si="168"/>
        <v>3.1664212076583216E-2</v>
      </c>
      <c r="U489">
        <f t="shared" si="169"/>
        <v>-3.6623559640686726E-2</v>
      </c>
      <c r="V489">
        <f t="shared" si="170"/>
        <v>1.5599999999999999E-2</v>
      </c>
      <c r="W489">
        <v>0.1</v>
      </c>
      <c r="X489">
        <f t="shared" si="171"/>
        <v>0.15599999999999997</v>
      </c>
      <c r="Y489">
        <v>3</v>
      </c>
      <c r="Z489">
        <v>2</v>
      </c>
      <c r="AA489" t="s">
        <v>50</v>
      </c>
      <c r="AB489">
        <f t="shared" si="172"/>
        <v>68.146900149603283</v>
      </c>
      <c r="AC489">
        <f t="shared" si="163"/>
        <v>181.72506706560876</v>
      </c>
      <c r="AE489">
        <v>1</v>
      </c>
      <c r="AF489">
        <v>3.5</v>
      </c>
      <c r="AG489">
        <v>2</v>
      </c>
      <c r="AH489">
        <f t="shared" si="173"/>
        <v>48.919239333009216</v>
      </c>
      <c r="AI489">
        <f t="shared" si="164"/>
        <v>447.26161675894139</v>
      </c>
    </row>
    <row r="490" spans="1:35" x14ac:dyDescent="0.3">
      <c r="A490">
        <v>2022</v>
      </c>
      <c r="B490" t="s">
        <v>119</v>
      </c>
      <c r="C490" t="s">
        <v>447</v>
      </c>
      <c r="D490" t="s">
        <v>422</v>
      </c>
      <c r="E490" t="s">
        <v>423</v>
      </c>
      <c r="F490">
        <v>118</v>
      </c>
      <c r="G490" t="s">
        <v>79</v>
      </c>
      <c r="H490" t="s">
        <v>245</v>
      </c>
      <c r="I490" t="s">
        <v>246</v>
      </c>
      <c r="J490" t="s">
        <v>247</v>
      </c>
      <c r="K490" t="s">
        <v>451</v>
      </c>
      <c r="L490">
        <v>218233</v>
      </c>
      <c r="M490">
        <v>140592</v>
      </c>
      <c r="N490">
        <v>1</v>
      </c>
      <c r="O490">
        <f t="shared" si="166"/>
        <v>2.4937655860349127E-3</v>
      </c>
      <c r="P490">
        <v>10</v>
      </c>
      <c r="Q490">
        <f t="shared" si="167"/>
        <v>2.4937655860349127E-3</v>
      </c>
      <c r="R490">
        <v>0.41</v>
      </c>
      <c r="S490">
        <f t="shared" si="174"/>
        <v>4.0999999999999996</v>
      </c>
      <c r="T490">
        <f t="shared" si="168"/>
        <v>3.0191458026509573E-2</v>
      </c>
      <c r="U490">
        <f t="shared" si="169"/>
        <v>-1.4947534731437829E-2</v>
      </c>
      <c r="V490">
        <f t="shared" si="170"/>
        <v>1.5599999999999999E-2</v>
      </c>
      <c r="W490">
        <v>0.1</v>
      </c>
      <c r="X490">
        <f t="shared" si="171"/>
        <v>0.15599999999999997</v>
      </c>
      <c r="Y490">
        <v>2</v>
      </c>
      <c r="Z490">
        <v>3</v>
      </c>
      <c r="AA490" t="s">
        <v>50</v>
      </c>
      <c r="AB490">
        <f t="shared" si="172"/>
        <v>38.418745424597091</v>
      </c>
      <c r="AC490">
        <f t="shared" si="163"/>
        <v>102.44998779892558</v>
      </c>
      <c r="AE490">
        <v>3</v>
      </c>
      <c r="AF490">
        <v>3</v>
      </c>
      <c r="AG490">
        <v>1</v>
      </c>
      <c r="AH490">
        <f t="shared" si="173"/>
        <v>46.113745881802409</v>
      </c>
      <c r="AI490">
        <f t="shared" si="164"/>
        <v>327.91997071503937</v>
      </c>
    </row>
    <row r="491" spans="1:35" x14ac:dyDescent="0.3">
      <c r="A491">
        <v>2022</v>
      </c>
      <c r="B491" t="s">
        <v>119</v>
      </c>
      <c r="C491" t="s">
        <v>447</v>
      </c>
      <c r="D491" t="s">
        <v>422</v>
      </c>
      <c r="E491" t="s">
        <v>423</v>
      </c>
      <c r="F491">
        <v>118</v>
      </c>
      <c r="G491" t="s">
        <v>22</v>
      </c>
      <c r="H491" t="s">
        <v>135</v>
      </c>
      <c r="I491" t="s">
        <v>136</v>
      </c>
      <c r="J491" t="s">
        <v>437</v>
      </c>
      <c r="K491" t="s">
        <v>438</v>
      </c>
      <c r="L491">
        <v>227587</v>
      </c>
      <c r="M491">
        <v>130906</v>
      </c>
      <c r="N491">
        <v>9</v>
      </c>
      <c r="O491">
        <f t="shared" si="166"/>
        <v>2.2443890274314215E-2</v>
      </c>
      <c r="P491">
        <v>90</v>
      </c>
      <c r="Q491">
        <f t="shared" si="167"/>
        <v>2.2443890274314215E-2</v>
      </c>
      <c r="R491">
        <v>0.35</v>
      </c>
      <c r="S491">
        <f t="shared" si="174"/>
        <v>3.5</v>
      </c>
      <c r="T491">
        <f t="shared" si="168"/>
        <v>2.5773195876288662E-2</v>
      </c>
      <c r="U491">
        <f t="shared" si="169"/>
        <v>-8.5213545261179927E-2</v>
      </c>
      <c r="V491">
        <f t="shared" si="170"/>
        <v>1.5599999999999999E-2</v>
      </c>
      <c r="W491">
        <v>0.1</v>
      </c>
      <c r="X491">
        <f t="shared" si="171"/>
        <v>0.15599999999999997</v>
      </c>
      <c r="Y491">
        <v>2</v>
      </c>
      <c r="Z491">
        <v>1</v>
      </c>
      <c r="AA491" t="s">
        <v>50</v>
      </c>
      <c r="AB491">
        <f t="shared" si="172"/>
        <v>35.496478698597699</v>
      </c>
      <c r="AC491">
        <f t="shared" si="163"/>
        <v>283.97182958878159</v>
      </c>
      <c r="AE491">
        <v>3</v>
      </c>
      <c r="AF491">
        <v>1</v>
      </c>
      <c r="AG491">
        <v>1</v>
      </c>
      <c r="AH491">
        <f t="shared" si="173"/>
        <v>23.644651393135696</v>
      </c>
      <c r="AI491">
        <f t="shared" si="164"/>
        <v>504.4192297202282</v>
      </c>
    </row>
    <row r="492" spans="1:35" x14ac:dyDescent="0.3">
      <c r="A492">
        <v>2022</v>
      </c>
      <c r="B492" t="s">
        <v>119</v>
      </c>
      <c r="C492" t="s">
        <v>447</v>
      </c>
      <c r="D492" t="s">
        <v>422</v>
      </c>
      <c r="E492" t="s">
        <v>423</v>
      </c>
      <c r="F492">
        <v>118</v>
      </c>
      <c r="G492" t="s">
        <v>22</v>
      </c>
      <c r="H492" t="s">
        <v>56</v>
      </c>
      <c r="I492" t="s">
        <v>132</v>
      </c>
      <c r="J492" t="s">
        <v>175</v>
      </c>
      <c r="K492" t="s">
        <v>176</v>
      </c>
      <c r="L492">
        <v>227433</v>
      </c>
      <c r="M492">
        <v>152269</v>
      </c>
      <c r="N492">
        <v>16</v>
      </c>
      <c r="O492">
        <f t="shared" si="166"/>
        <v>3.9900249376558602E-2</v>
      </c>
      <c r="P492">
        <v>160</v>
      </c>
      <c r="Q492">
        <f t="shared" si="167"/>
        <v>3.9900249376558602E-2</v>
      </c>
      <c r="R492">
        <v>0.02</v>
      </c>
      <c r="S492">
        <f t="shared" si="174"/>
        <v>0.2</v>
      </c>
      <c r="T492">
        <f t="shared" si="168"/>
        <v>1.4727540500736379E-3</v>
      </c>
      <c r="U492">
        <f t="shared" si="169"/>
        <v>-0.12853357426700401</v>
      </c>
      <c r="V492">
        <f t="shared" si="170"/>
        <v>1.5599999999999999E-2</v>
      </c>
      <c r="W492">
        <v>0.1</v>
      </c>
      <c r="X492">
        <f t="shared" si="171"/>
        <v>0.15599999999999997</v>
      </c>
      <c r="Y492">
        <v>2</v>
      </c>
      <c r="Z492">
        <v>2</v>
      </c>
      <c r="AA492" t="s">
        <v>50</v>
      </c>
      <c r="AB492">
        <f t="shared" si="172"/>
        <v>22.627416997969519</v>
      </c>
      <c r="AC492">
        <f t="shared" si="163"/>
        <v>90.509667991878075</v>
      </c>
      <c r="AE492">
        <v>2.5</v>
      </c>
      <c r="AF492">
        <v>2.2000000000000002</v>
      </c>
      <c r="AG492">
        <v>2</v>
      </c>
      <c r="AH492">
        <f t="shared" si="173"/>
        <v>11.70025097327898</v>
      </c>
      <c r="AI492">
        <f t="shared" si="164"/>
        <v>68.074187480895873</v>
      </c>
    </row>
    <row r="493" spans="1:35" x14ac:dyDescent="0.3">
      <c r="A493">
        <v>2022</v>
      </c>
      <c r="B493" t="s">
        <v>119</v>
      </c>
      <c r="C493" t="s">
        <v>447</v>
      </c>
      <c r="D493" t="s">
        <v>422</v>
      </c>
      <c r="E493" t="s">
        <v>423</v>
      </c>
      <c r="F493">
        <v>118</v>
      </c>
      <c r="G493" t="s">
        <v>22</v>
      </c>
      <c r="I493" t="s">
        <v>139</v>
      </c>
      <c r="J493" t="s">
        <v>140</v>
      </c>
      <c r="K493" t="s">
        <v>141</v>
      </c>
      <c r="L493">
        <v>227884</v>
      </c>
      <c r="M493">
        <v>129984</v>
      </c>
      <c r="N493">
        <v>2</v>
      </c>
      <c r="O493">
        <f t="shared" si="166"/>
        <v>4.9875311720698253E-3</v>
      </c>
      <c r="P493">
        <v>20</v>
      </c>
      <c r="Q493">
        <f t="shared" si="167"/>
        <v>4.9875311720698253E-3</v>
      </c>
      <c r="R493">
        <v>5.0000000000000001E-3</v>
      </c>
      <c r="S493">
        <f t="shared" si="174"/>
        <v>0.05</v>
      </c>
      <c r="T493">
        <f t="shared" si="168"/>
        <v>3.6818851251840947E-4</v>
      </c>
      <c r="U493">
        <f t="shared" si="169"/>
        <v>-2.6437976293000619E-2</v>
      </c>
      <c r="V493">
        <f t="shared" si="170"/>
        <v>1.5599999999999999E-2</v>
      </c>
      <c r="W493">
        <v>0.1</v>
      </c>
      <c r="X493">
        <f t="shared" si="171"/>
        <v>0.15599999999999997</v>
      </c>
      <c r="Y493">
        <v>2</v>
      </c>
      <c r="Z493">
        <v>3</v>
      </c>
      <c r="AA493" t="s">
        <v>50</v>
      </c>
      <c r="AB493">
        <f t="shared" si="172"/>
        <v>6</v>
      </c>
      <c r="AC493">
        <f t="shared" si="163"/>
        <v>16</v>
      </c>
      <c r="AE493">
        <v>1.58</v>
      </c>
      <c r="AF493">
        <v>2.33</v>
      </c>
      <c r="AG493">
        <v>2.5</v>
      </c>
      <c r="AH493">
        <f t="shared" si="173"/>
        <v>2.0579651630919313</v>
      </c>
      <c r="AI493">
        <f t="shared" si="164"/>
        <v>14.310835055998654</v>
      </c>
    </row>
    <row r="494" spans="1:35" x14ac:dyDescent="0.3">
      <c r="A494">
        <v>2022</v>
      </c>
      <c r="B494" t="s">
        <v>119</v>
      </c>
      <c r="C494" t="s">
        <v>447</v>
      </c>
      <c r="D494" t="s">
        <v>422</v>
      </c>
      <c r="E494" t="s">
        <v>423</v>
      </c>
      <c r="F494">
        <v>118</v>
      </c>
      <c r="G494" t="s">
        <v>79</v>
      </c>
      <c r="H494" t="s">
        <v>245</v>
      </c>
      <c r="I494" t="s">
        <v>246</v>
      </c>
      <c r="J494" t="s">
        <v>247</v>
      </c>
      <c r="K494" t="s">
        <v>248</v>
      </c>
      <c r="L494">
        <v>218231</v>
      </c>
      <c r="M494">
        <v>140589</v>
      </c>
      <c r="N494">
        <v>1</v>
      </c>
      <c r="O494">
        <f t="shared" si="166"/>
        <v>2.4937655860349127E-3</v>
      </c>
      <c r="P494">
        <v>10</v>
      </c>
      <c r="Q494">
        <f t="shared" si="167"/>
        <v>2.4937655860349127E-3</v>
      </c>
      <c r="R494">
        <v>5.0000000000000001E-3</v>
      </c>
      <c r="S494">
        <f t="shared" si="174"/>
        <v>0.05</v>
      </c>
      <c r="T494">
        <f t="shared" si="168"/>
        <v>3.6818851251840947E-4</v>
      </c>
      <c r="U494">
        <f t="shared" si="169"/>
        <v>-1.4947534731437829E-2</v>
      </c>
      <c r="V494">
        <f t="shared" si="170"/>
        <v>1.5599999999999999E-2</v>
      </c>
      <c r="W494">
        <v>0.1</v>
      </c>
      <c r="X494">
        <f t="shared" si="171"/>
        <v>0.15599999999999997</v>
      </c>
      <c r="Y494">
        <v>2</v>
      </c>
      <c r="Z494">
        <v>3</v>
      </c>
      <c r="AA494" t="s">
        <v>50</v>
      </c>
      <c r="AB494">
        <f t="shared" si="172"/>
        <v>4.2426406871192848</v>
      </c>
      <c r="AC494">
        <f t="shared" si="163"/>
        <v>11.313708498984759</v>
      </c>
      <c r="AE494">
        <v>3</v>
      </c>
      <c r="AF494">
        <v>3</v>
      </c>
      <c r="AG494">
        <v>1</v>
      </c>
      <c r="AH494">
        <f t="shared" si="173"/>
        <v>1.6922713918888781</v>
      </c>
      <c r="AI494">
        <f t="shared" si="164"/>
        <v>12.033929897876465</v>
      </c>
    </row>
    <row r="495" spans="1:35" x14ac:dyDescent="0.3">
      <c r="A495">
        <v>2022</v>
      </c>
      <c r="B495" t="s">
        <v>119</v>
      </c>
      <c r="C495" t="s">
        <v>447</v>
      </c>
      <c r="D495" t="s">
        <v>422</v>
      </c>
      <c r="E495" t="s">
        <v>423</v>
      </c>
      <c r="F495">
        <v>118</v>
      </c>
      <c r="G495" t="s">
        <v>79</v>
      </c>
      <c r="H495" t="s">
        <v>113</v>
      </c>
      <c r="I495" t="s">
        <v>123</v>
      </c>
      <c r="J495" t="s">
        <v>124</v>
      </c>
      <c r="K495" t="s">
        <v>125</v>
      </c>
      <c r="L495">
        <v>218310</v>
      </c>
      <c r="M495">
        <v>141435</v>
      </c>
      <c r="N495">
        <v>1</v>
      </c>
      <c r="O495">
        <f t="shared" si="166"/>
        <v>2.4937655860349127E-3</v>
      </c>
      <c r="P495">
        <v>10</v>
      </c>
      <c r="Q495">
        <f t="shared" si="167"/>
        <v>2.4937655860349127E-3</v>
      </c>
      <c r="R495">
        <v>0.03</v>
      </c>
      <c r="S495">
        <f t="shared" si="174"/>
        <v>0.3</v>
      </c>
      <c r="T495">
        <f t="shared" si="168"/>
        <v>2.2091310751104569E-3</v>
      </c>
      <c r="U495">
        <f t="shared" si="169"/>
        <v>-1.4947534731437829E-2</v>
      </c>
      <c r="V495">
        <f t="shared" si="170"/>
        <v>1.5599999999999999E-2</v>
      </c>
      <c r="W495">
        <v>0.1</v>
      </c>
      <c r="X495">
        <f t="shared" si="171"/>
        <v>0.15599999999999997</v>
      </c>
      <c r="Y495">
        <v>2</v>
      </c>
      <c r="Z495">
        <v>2</v>
      </c>
      <c r="AA495" t="s">
        <v>50</v>
      </c>
      <c r="AB495">
        <f t="shared" si="172"/>
        <v>6.9282032302755088</v>
      </c>
      <c r="AC495">
        <f t="shared" si="163"/>
        <v>27.712812921102035</v>
      </c>
      <c r="AE495">
        <v>1</v>
      </c>
      <c r="AF495">
        <v>1</v>
      </c>
      <c r="AG495">
        <v>2</v>
      </c>
      <c r="AH495">
        <f t="shared" si="173"/>
        <v>1.4416868484808529</v>
      </c>
      <c r="AI495">
        <f t="shared" si="164"/>
        <v>46.133979151387294</v>
      </c>
    </row>
    <row r="496" spans="1:35" x14ac:dyDescent="0.3">
      <c r="A496">
        <v>2022</v>
      </c>
      <c r="B496" t="s">
        <v>119</v>
      </c>
      <c r="C496" t="s">
        <v>447</v>
      </c>
      <c r="D496" t="s">
        <v>422</v>
      </c>
      <c r="E496" t="s">
        <v>423</v>
      </c>
      <c r="F496">
        <v>118</v>
      </c>
      <c r="G496" t="s">
        <v>51</v>
      </c>
      <c r="H496" t="s">
        <v>211</v>
      </c>
      <c r="I496" t="s">
        <v>442</v>
      </c>
      <c r="J496" t="s">
        <v>443</v>
      </c>
      <c r="K496" t="s">
        <v>444</v>
      </c>
      <c r="L496">
        <v>102823</v>
      </c>
      <c r="M496">
        <v>107648</v>
      </c>
      <c r="N496">
        <v>1</v>
      </c>
      <c r="O496">
        <f t="shared" si="166"/>
        <v>2.4937655860349127E-3</v>
      </c>
      <c r="P496">
        <v>10</v>
      </c>
      <c r="Q496">
        <f t="shared" si="167"/>
        <v>2.4937655860349127E-3</v>
      </c>
      <c r="R496">
        <v>0.03</v>
      </c>
      <c r="S496">
        <f t="shared" si="174"/>
        <v>0.3</v>
      </c>
      <c r="T496">
        <f t="shared" si="168"/>
        <v>2.2091310751104569E-3</v>
      </c>
      <c r="U496">
        <f t="shared" si="169"/>
        <v>-1.4947534731437829E-2</v>
      </c>
      <c r="V496">
        <f t="shared" si="170"/>
        <v>1.5599999999999999E-2</v>
      </c>
      <c r="W496">
        <v>0.1</v>
      </c>
      <c r="X496">
        <f t="shared" si="171"/>
        <v>0.15599999999999997</v>
      </c>
      <c r="Y496">
        <v>2</v>
      </c>
      <c r="Z496">
        <v>2</v>
      </c>
      <c r="AA496" t="s">
        <v>50</v>
      </c>
      <c r="AB496">
        <f t="shared" si="172"/>
        <v>6.9282032302755088</v>
      </c>
      <c r="AC496">
        <f t="shared" si="163"/>
        <v>27.712812921102035</v>
      </c>
      <c r="AE496">
        <v>1</v>
      </c>
      <c r="AF496">
        <v>2</v>
      </c>
      <c r="AG496">
        <v>1</v>
      </c>
      <c r="AH496">
        <f t="shared" si="173"/>
        <v>1.4416868484808529</v>
      </c>
      <c r="AI496">
        <f t="shared" si="164"/>
        <v>46.133979151387294</v>
      </c>
    </row>
    <row r="497" spans="1:36" x14ac:dyDescent="0.3">
      <c r="A497">
        <v>2022</v>
      </c>
      <c r="B497" t="s">
        <v>119</v>
      </c>
      <c r="C497" t="s">
        <v>447</v>
      </c>
      <c r="D497" t="s">
        <v>422</v>
      </c>
      <c r="E497" t="s">
        <v>423</v>
      </c>
      <c r="F497">
        <v>118</v>
      </c>
      <c r="G497" t="s">
        <v>22</v>
      </c>
      <c r="I497" t="s">
        <v>148</v>
      </c>
      <c r="J497" t="s">
        <v>161</v>
      </c>
      <c r="K497" t="s">
        <v>161</v>
      </c>
      <c r="L497">
        <v>1007755</v>
      </c>
      <c r="M497">
        <v>129433</v>
      </c>
      <c r="N497">
        <v>1</v>
      </c>
      <c r="O497">
        <f t="shared" si="166"/>
        <v>2.4937655860349127E-3</v>
      </c>
      <c r="P497">
        <v>10</v>
      </c>
      <c r="Q497">
        <f t="shared" si="167"/>
        <v>2.4937655860349127E-3</v>
      </c>
      <c r="R497">
        <v>5.0000000000000001E-3</v>
      </c>
      <c r="S497">
        <f t="shared" si="174"/>
        <v>0.05</v>
      </c>
      <c r="T497">
        <f t="shared" si="168"/>
        <v>3.6818851251840947E-4</v>
      </c>
      <c r="U497">
        <f t="shared" si="169"/>
        <v>-1.4947534731437829E-2</v>
      </c>
      <c r="V497">
        <f t="shared" si="170"/>
        <v>1.5599999999999999E-2</v>
      </c>
      <c r="W497">
        <v>0.1</v>
      </c>
      <c r="X497">
        <f t="shared" si="171"/>
        <v>0.15599999999999997</v>
      </c>
      <c r="Y497">
        <v>2</v>
      </c>
      <c r="Z497">
        <v>3</v>
      </c>
      <c r="AA497" t="s">
        <v>50</v>
      </c>
      <c r="AB497">
        <f t="shared" si="172"/>
        <v>4.2426406871192848</v>
      </c>
      <c r="AC497">
        <f t="shared" si="163"/>
        <v>11.313708498984759</v>
      </c>
      <c r="AE497">
        <v>1</v>
      </c>
      <c r="AF497">
        <v>3.33</v>
      </c>
      <c r="AG497">
        <v>2</v>
      </c>
      <c r="AH497">
        <f t="shared" si="173"/>
        <v>1.2522808299977697</v>
      </c>
      <c r="AI497">
        <f t="shared" si="164"/>
        <v>12.033929897876465</v>
      </c>
    </row>
    <row r="498" spans="1:36" x14ac:dyDescent="0.3">
      <c r="A498">
        <v>2022</v>
      </c>
      <c r="B498" t="s">
        <v>119</v>
      </c>
      <c r="C498" t="s">
        <v>447</v>
      </c>
      <c r="D498" t="s">
        <v>422</v>
      </c>
      <c r="E498" t="s">
        <v>423</v>
      </c>
      <c r="F498">
        <v>118</v>
      </c>
      <c r="G498" t="s">
        <v>22</v>
      </c>
      <c r="H498" t="s">
        <v>135</v>
      </c>
      <c r="I498" t="s">
        <v>136</v>
      </c>
      <c r="K498" t="s">
        <v>136</v>
      </c>
      <c r="L498">
        <v>2000538</v>
      </c>
      <c r="M498">
        <v>985</v>
      </c>
      <c r="N498">
        <v>1</v>
      </c>
      <c r="O498">
        <f t="shared" si="166"/>
        <v>2.4937655860349127E-3</v>
      </c>
      <c r="P498">
        <v>10</v>
      </c>
      <c r="Q498">
        <f t="shared" si="167"/>
        <v>2.4937655860349127E-3</v>
      </c>
      <c r="R498">
        <v>5.0000000000000001E-3</v>
      </c>
      <c r="S498">
        <f t="shared" si="174"/>
        <v>0.05</v>
      </c>
      <c r="T498">
        <f t="shared" si="168"/>
        <v>3.6818851251840947E-4</v>
      </c>
      <c r="U498">
        <f t="shared" si="169"/>
        <v>-1.4947534731437829E-2</v>
      </c>
      <c r="V498">
        <f t="shared" si="170"/>
        <v>1.5599999999999999E-2</v>
      </c>
      <c r="W498">
        <v>0.1</v>
      </c>
      <c r="X498">
        <f t="shared" si="171"/>
        <v>0.15599999999999997</v>
      </c>
      <c r="Y498">
        <v>2</v>
      </c>
      <c r="Z498">
        <v>1.07692307692308</v>
      </c>
      <c r="AA498" t="s">
        <v>50</v>
      </c>
      <c r="AB498">
        <f t="shared" si="172"/>
        <v>1.5229992210171834</v>
      </c>
      <c r="AC498">
        <f t="shared" si="163"/>
        <v>11.313708498984759</v>
      </c>
      <c r="AE498">
        <v>3</v>
      </c>
      <c r="AF498">
        <v>1</v>
      </c>
      <c r="AG498">
        <v>1</v>
      </c>
      <c r="AH498">
        <f t="shared" si="173"/>
        <v>0.56409046396295937</v>
      </c>
      <c r="AI498">
        <f t="shared" si="164"/>
        <v>12.033929897876465</v>
      </c>
    </row>
    <row r="499" spans="1:36" x14ac:dyDescent="0.3">
      <c r="A499">
        <v>2022</v>
      </c>
      <c r="B499" t="s">
        <v>119</v>
      </c>
      <c r="C499" t="s">
        <v>447</v>
      </c>
      <c r="D499" t="s">
        <v>422</v>
      </c>
      <c r="E499" t="s">
        <v>423</v>
      </c>
      <c r="F499">
        <v>118</v>
      </c>
      <c r="G499" t="s">
        <v>22</v>
      </c>
      <c r="H499" t="s">
        <v>67</v>
      </c>
      <c r="I499" t="s">
        <v>84</v>
      </c>
      <c r="J499" t="s">
        <v>85</v>
      </c>
      <c r="K499" t="s">
        <v>86</v>
      </c>
      <c r="L499">
        <v>227135</v>
      </c>
      <c r="M499">
        <v>130604</v>
      </c>
      <c r="N499">
        <v>2</v>
      </c>
      <c r="O499">
        <f t="shared" si="166"/>
        <v>4.9875311720698253E-3</v>
      </c>
      <c r="P499">
        <v>20</v>
      </c>
      <c r="Q499">
        <f t="shared" si="167"/>
        <v>4.9875311720698253E-3</v>
      </c>
      <c r="R499">
        <v>5.0000000000000001E-3</v>
      </c>
      <c r="S499">
        <f t="shared" si="174"/>
        <v>0.05</v>
      </c>
      <c r="T499">
        <f t="shared" si="168"/>
        <v>3.6818851251840947E-4</v>
      </c>
      <c r="U499">
        <f t="shared" si="169"/>
        <v>-2.6437976293000619E-2</v>
      </c>
      <c r="V499">
        <f t="shared" si="170"/>
        <v>1.5599999999999999E-2</v>
      </c>
      <c r="W499">
        <v>0.1</v>
      </c>
      <c r="X499">
        <f t="shared" si="171"/>
        <v>0.15599999999999997</v>
      </c>
      <c r="Y499">
        <v>2</v>
      </c>
      <c r="Z499">
        <v>2</v>
      </c>
      <c r="AA499" t="s">
        <v>50</v>
      </c>
      <c r="AB499">
        <f t="shared" si="172"/>
        <v>4</v>
      </c>
      <c r="AC499">
        <f t="shared" si="163"/>
        <v>16</v>
      </c>
      <c r="AE499">
        <v>1</v>
      </c>
      <c r="AF499">
        <v>2</v>
      </c>
      <c r="AG499">
        <v>1</v>
      </c>
      <c r="AH499">
        <f t="shared" si="173"/>
        <v>0.44721359549995793</v>
      </c>
      <c r="AI499">
        <f t="shared" si="164"/>
        <v>14.310835055998654</v>
      </c>
    </row>
    <row r="500" spans="1:36" x14ac:dyDescent="0.3">
      <c r="A500">
        <v>2022</v>
      </c>
      <c r="B500" t="s">
        <v>119</v>
      </c>
      <c r="C500" t="s">
        <v>447</v>
      </c>
      <c r="D500" t="s">
        <v>422</v>
      </c>
      <c r="E500" t="s">
        <v>423</v>
      </c>
      <c r="F500">
        <v>118</v>
      </c>
      <c r="G500" t="s">
        <v>79</v>
      </c>
      <c r="H500" t="s">
        <v>433</v>
      </c>
      <c r="I500" t="s">
        <v>434</v>
      </c>
      <c r="J500" t="s">
        <v>435</v>
      </c>
      <c r="K500" t="s">
        <v>436</v>
      </c>
      <c r="L500">
        <v>102721</v>
      </c>
      <c r="M500">
        <v>140702</v>
      </c>
      <c r="N500">
        <v>1</v>
      </c>
      <c r="O500">
        <f t="shared" si="166"/>
        <v>2.4937655860349127E-3</v>
      </c>
      <c r="P500">
        <v>10</v>
      </c>
      <c r="Q500">
        <f t="shared" si="167"/>
        <v>2.4937655860349127E-3</v>
      </c>
      <c r="R500">
        <v>5.0000000000000001E-3</v>
      </c>
      <c r="S500">
        <f t="shared" si="174"/>
        <v>0.05</v>
      </c>
      <c r="T500">
        <f t="shared" si="168"/>
        <v>3.6818851251840947E-4</v>
      </c>
      <c r="U500">
        <f t="shared" si="169"/>
        <v>-1.4947534731437829E-2</v>
      </c>
      <c r="V500">
        <f t="shared" si="170"/>
        <v>1.5599999999999999E-2</v>
      </c>
      <c r="W500">
        <v>0.1</v>
      </c>
      <c r="X500">
        <f t="shared" si="171"/>
        <v>0.15599999999999997</v>
      </c>
      <c r="Y500">
        <v>2</v>
      </c>
      <c r="Z500">
        <v>3</v>
      </c>
      <c r="AA500" t="s">
        <v>50</v>
      </c>
      <c r="AB500">
        <f t="shared" si="172"/>
        <v>4.2426406871192848</v>
      </c>
      <c r="AC500">
        <f t="shared" si="163"/>
        <v>11.313708498984759</v>
      </c>
      <c r="AE500">
        <v>1</v>
      </c>
      <c r="AF500">
        <v>1</v>
      </c>
      <c r="AG500">
        <v>1</v>
      </c>
      <c r="AH500">
        <f t="shared" si="173"/>
        <v>0.18803015465431977</v>
      </c>
      <c r="AI500">
        <f t="shared" si="164"/>
        <v>12.033929897876465</v>
      </c>
    </row>
    <row r="501" spans="1:36" x14ac:dyDescent="0.3">
      <c r="A501">
        <v>2022</v>
      </c>
      <c r="B501" t="s">
        <v>119</v>
      </c>
      <c r="C501" t="s">
        <v>447</v>
      </c>
      <c r="D501" t="s">
        <v>422</v>
      </c>
      <c r="E501" t="s">
        <v>423</v>
      </c>
      <c r="F501">
        <v>118</v>
      </c>
      <c r="G501" t="s">
        <v>22</v>
      </c>
      <c r="I501" t="s">
        <v>145</v>
      </c>
      <c r="J501" t="s">
        <v>146</v>
      </c>
      <c r="K501" t="s">
        <v>147</v>
      </c>
      <c r="L501">
        <v>227757</v>
      </c>
      <c r="M501">
        <v>129884</v>
      </c>
      <c r="N501">
        <v>5</v>
      </c>
      <c r="O501">
        <f t="shared" si="166"/>
        <v>1.2468827930174564E-2</v>
      </c>
      <c r="P501">
        <v>50</v>
      </c>
      <c r="Q501">
        <f t="shared" si="167"/>
        <v>1.2468827930174564E-2</v>
      </c>
      <c r="R501">
        <v>5.0000000000000001E-3</v>
      </c>
      <c r="S501">
        <f t="shared" si="174"/>
        <v>0.05</v>
      </c>
      <c r="T501">
        <f t="shared" si="168"/>
        <v>3.6818851251840947E-4</v>
      </c>
      <c r="U501">
        <f t="shared" si="169"/>
        <v>-5.4669869262748992E-2</v>
      </c>
      <c r="V501">
        <f t="shared" si="170"/>
        <v>1.5599999999999999E-2</v>
      </c>
      <c r="W501">
        <v>0.1</v>
      </c>
      <c r="X501">
        <f t="shared" si="171"/>
        <v>0.15599999999999997</v>
      </c>
      <c r="Y501">
        <v>3</v>
      </c>
      <c r="Z501">
        <v>2</v>
      </c>
      <c r="AA501" t="s">
        <v>60</v>
      </c>
      <c r="AB501">
        <f t="shared" si="172"/>
        <v>9.4868329805051381</v>
      </c>
      <c r="AC501">
        <f t="shared" si="163"/>
        <v>25.298221281347033</v>
      </c>
      <c r="AE501">
        <v>2.88</v>
      </c>
      <c r="AF501">
        <v>4</v>
      </c>
      <c r="AG501">
        <v>2</v>
      </c>
      <c r="AH501">
        <f t="shared" si="173"/>
        <v>6.4781720661928226</v>
      </c>
      <c r="AI501">
        <f t="shared" si="164"/>
        <v>17.994922406091174</v>
      </c>
    </row>
    <row r="502" spans="1:36" x14ac:dyDescent="0.3">
      <c r="A502">
        <v>2022</v>
      </c>
      <c r="B502" t="s">
        <v>119</v>
      </c>
      <c r="C502" t="s">
        <v>447</v>
      </c>
      <c r="D502" t="s">
        <v>422</v>
      </c>
      <c r="E502" t="s">
        <v>423</v>
      </c>
      <c r="F502">
        <v>118</v>
      </c>
      <c r="G502" t="s">
        <v>22</v>
      </c>
      <c r="H502" t="s">
        <v>56</v>
      </c>
      <c r="I502" t="s">
        <v>153</v>
      </c>
      <c r="J502" t="s">
        <v>154</v>
      </c>
      <c r="K502" t="s">
        <v>155</v>
      </c>
      <c r="L502">
        <v>227487</v>
      </c>
      <c r="M502">
        <v>129804</v>
      </c>
      <c r="N502">
        <v>26</v>
      </c>
      <c r="O502">
        <f t="shared" si="166"/>
        <v>6.4837905236907731E-2</v>
      </c>
      <c r="P502">
        <v>260</v>
      </c>
      <c r="Q502">
        <f t="shared" si="167"/>
        <v>6.4837905236907731E-2</v>
      </c>
      <c r="R502">
        <v>1.53</v>
      </c>
      <c r="S502">
        <f t="shared" si="174"/>
        <v>15.3</v>
      </c>
      <c r="T502">
        <f t="shared" si="168"/>
        <v>0.1126656848306333</v>
      </c>
      <c r="U502">
        <f t="shared" si="169"/>
        <v>-0.17738774843244953</v>
      </c>
      <c r="V502">
        <f t="shared" si="170"/>
        <v>1.5599999999999999E-2</v>
      </c>
      <c r="W502">
        <v>0.1</v>
      </c>
      <c r="X502">
        <f t="shared" si="171"/>
        <v>0.15599999999999997</v>
      </c>
      <c r="Y502">
        <v>3</v>
      </c>
      <c r="Z502">
        <v>1</v>
      </c>
      <c r="AA502" t="s">
        <v>100</v>
      </c>
      <c r="AB502">
        <f t="shared" si="172"/>
        <v>189.21416437465774</v>
      </c>
      <c r="AC502">
        <f t="shared" si="163"/>
        <v>1009.1422099981746</v>
      </c>
      <c r="AE502">
        <v>3</v>
      </c>
      <c r="AF502">
        <v>3</v>
      </c>
      <c r="AG502">
        <v>2</v>
      </c>
      <c r="AH502">
        <f t="shared" si="173"/>
        <v>559.15783568924849</v>
      </c>
      <c r="AI502">
        <f t="shared" si="164"/>
        <v>1988.1167491173278</v>
      </c>
    </row>
    <row r="503" spans="1:36" x14ac:dyDescent="0.3">
      <c r="A503">
        <v>2022</v>
      </c>
      <c r="B503" t="s">
        <v>119</v>
      </c>
      <c r="C503" t="s">
        <v>447</v>
      </c>
      <c r="D503" t="s">
        <v>422</v>
      </c>
      <c r="E503" t="s">
        <v>423</v>
      </c>
      <c r="F503">
        <v>118</v>
      </c>
      <c r="G503" t="s">
        <v>22</v>
      </c>
      <c r="H503" t="s">
        <v>56</v>
      </c>
      <c r="I503" t="s">
        <v>153</v>
      </c>
      <c r="J503" t="s">
        <v>425</v>
      </c>
      <c r="K503" t="s">
        <v>426</v>
      </c>
      <c r="L503">
        <v>227463</v>
      </c>
      <c r="M503">
        <v>129784</v>
      </c>
      <c r="N503">
        <v>12</v>
      </c>
      <c r="O503">
        <f t="shared" si="166"/>
        <v>2.9925187032418952E-2</v>
      </c>
      <c r="P503">
        <v>120</v>
      </c>
      <c r="Q503">
        <f t="shared" si="167"/>
        <v>2.9925187032418952E-2</v>
      </c>
      <c r="R503">
        <v>0.62</v>
      </c>
      <c r="S503">
        <f t="shared" si="174"/>
        <v>6.2</v>
      </c>
      <c r="T503">
        <f t="shared" si="168"/>
        <v>4.5655375552282773E-2</v>
      </c>
      <c r="U503">
        <f t="shared" si="169"/>
        <v>-0.10500912052424645</v>
      </c>
      <c r="V503">
        <f t="shared" si="170"/>
        <v>1.5599999999999999E-2</v>
      </c>
      <c r="W503">
        <v>0.1</v>
      </c>
      <c r="X503">
        <f t="shared" si="171"/>
        <v>0.15599999999999997</v>
      </c>
      <c r="Y503">
        <v>3</v>
      </c>
      <c r="Z503">
        <v>2</v>
      </c>
      <c r="AA503" t="s">
        <v>100</v>
      </c>
      <c r="AB503">
        <f t="shared" si="172"/>
        <v>163.65818036383027</v>
      </c>
      <c r="AC503">
        <f t="shared" si="163"/>
        <v>436.42181430354736</v>
      </c>
      <c r="AE503">
        <v>3</v>
      </c>
      <c r="AF503">
        <v>3</v>
      </c>
      <c r="AG503">
        <v>2</v>
      </c>
      <c r="AH503">
        <f t="shared" si="173"/>
        <v>234.07853123644287</v>
      </c>
      <c r="AI503">
        <f t="shared" si="164"/>
        <v>832.27922217401908</v>
      </c>
    </row>
    <row r="504" spans="1:36" x14ac:dyDescent="0.3">
      <c r="A504">
        <v>2022</v>
      </c>
      <c r="B504" t="s">
        <v>119</v>
      </c>
      <c r="C504" t="s">
        <v>447</v>
      </c>
      <c r="D504" t="s">
        <v>422</v>
      </c>
      <c r="E504" t="s">
        <v>423</v>
      </c>
      <c r="F504">
        <v>118</v>
      </c>
      <c r="G504" t="s">
        <v>22</v>
      </c>
      <c r="H504" t="s">
        <v>96</v>
      </c>
      <c r="I504" t="s">
        <v>97</v>
      </c>
      <c r="J504" t="s">
        <v>110</v>
      </c>
      <c r="K504" t="s">
        <v>111</v>
      </c>
      <c r="L504" t="s">
        <v>112</v>
      </c>
      <c r="M504">
        <v>157576</v>
      </c>
      <c r="N504">
        <v>8</v>
      </c>
      <c r="O504">
        <f t="shared" si="166"/>
        <v>1.9950124688279301E-2</v>
      </c>
      <c r="P504">
        <v>80</v>
      </c>
      <c r="Q504">
        <f t="shared" si="167"/>
        <v>1.9950124688279301E-2</v>
      </c>
      <c r="R504">
        <v>0.16</v>
      </c>
      <c r="S504">
        <f t="shared" si="174"/>
        <v>1.6</v>
      </c>
      <c r="T504">
        <f t="shared" si="168"/>
        <v>1.1782032400589103E-2</v>
      </c>
      <c r="U504">
        <f t="shared" si="169"/>
        <v>-7.8095159813002149E-2</v>
      </c>
      <c r="V504">
        <f t="shared" si="170"/>
        <v>1.5599999999999999E-2</v>
      </c>
      <c r="W504">
        <v>0.1</v>
      </c>
      <c r="X504">
        <f t="shared" si="171"/>
        <v>0.15599999999999997</v>
      </c>
      <c r="Y504">
        <v>3</v>
      </c>
      <c r="Z504">
        <v>1</v>
      </c>
      <c r="AA504" t="s">
        <v>100</v>
      </c>
      <c r="AB504">
        <f t="shared" si="172"/>
        <v>33.941125496954278</v>
      </c>
      <c r="AC504">
        <f t="shared" si="163"/>
        <v>181.01933598375615</v>
      </c>
      <c r="AE504">
        <v>3</v>
      </c>
      <c r="AF504">
        <v>3</v>
      </c>
      <c r="AG504">
        <v>4</v>
      </c>
      <c r="AH504">
        <f t="shared" si="173"/>
        <v>153.1669218320157</v>
      </c>
      <c r="AI504">
        <f t="shared" si="164"/>
        <v>272.29674992358349</v>
      </c>
    </row>
    <row r="505" spans="1:36" x14ac:dyDescent="0.3">
      <c r="A505">
        <v>2022</v>
      </c>
      <c r="B505" t="s">
        <v>119</v>
      </c>
      <c r="C505" t="s">
        <v>447</v>
      </c>
      <c r="D505" t="s">
        <v>422</v>
      </c>
      <c r="E505" t="s">
        <v>423</v>
      </c>
      <c r="F505">
        <v>118</v>
      </c>
      <c r="G505" t="s">
        <v>22</v>
      </c>
      <c r="H505" t="s">
        <v>56</v>
      </c>
      <c r="I505" t="s">
        <v>57</v>
      </c>
      <c r="J505" t="s">
        <v>130</v>
      </c>
      <c r="K505" t="s">
        <v>131</v>
      </c>
      <c r="L505">
        <v>227389</v>
      </c>
      <c r="M505">
        <v>130099</v>
      </c>
      <c r="N505">
        <v>3</v>
      </c>
      <c r="O505">
        <f t="shared" si="166"/>
        <v>7.481296758104738E-3</v>
      </c>
      <c r="P505">
        <v>30</v>
      </c>
      <c r="Q505">
        <f t="shared" si="167"/>
        <v>7.481296758104738E-3</v>
      </c>
      <c r="R505">
        <v>0.54</v>
      </c>
      <c r="S505">
        <f t="shared" si="174"/>
        <v>5.4</v>
      </c>
      <c r="T505">
        <f t="shared" si="168"/>
        <v>3.9764359351988222E-2</v>
      </c>
      <c r="U505">
        <f t="shared" si="169"/>
        <v>-3.6623559640686726E-2</v>
      </c>
      <c r="V505">
        <f t="shared" si="170"/>
        <v>1.5599999999999999E-2</v>
      </c>
      <c r="W505">
        <v>0.1</v>
      </c>
      <c r="X505">
        <f t="shared" si="171"/>
        <v>0.15599999999999997</v>
      </c>
      <c r="Y505">
        <v>3</v>
      </c>
      <c r="Z505">
        <v>2</v>
      </c>
      <c r="AA505" t="s">
        <v>100</v>
      </c>
      <c r="AB505">
        <f t="shared" si="172"/>
        <v>76.367532368147138</v>
      </c>
      <c r="AC505">
        <f t="shared" si="163"/>
        <v>203.64675298172571</v>
      </c>
      <c r="AE505">
        <v>1</v>
      </c>
      <c r="AF505">
        <v>3</v>
      </c>
      <c r="AG505">
        <v>1.5</v>
      </c>
      <c r="AH505">
        <f t="shared" si="173"/>
        <v>37.306812747934941</v>
      </c>
      <c r="AI505">
        <f t="shared" si="164"/>
        <v>530.5857813039637</v>
      </c>
    </row>
    <row r="506" spans="1:36" x14ac:dyDescent="0.3">
      <c r="A506">
        <v>2022</v>
      </c>
      <c r="B506" t="s">
        <v>119</v>
      </c>
      <c r="C506" t="s">
        <v>447</v>
      </c>
      <c r="D506" t="s">
        <v>422</v>
      </c>
      <c r="E506" t="s">
        <v>423</v>
      </c>
      <c r="F506">
        <v>118</v>
      </c>
      <c r="G506" t="s">
        <v>22</v>
      </c>
      <c r="H506" t="s">
        <v>56</v>
      </c>
      <c r="I506" t="s">
        <v>153</v>
      </c>
      <c r="J506" t="s">
        <v>301</v>
      </c>
      <c r="K506" t="s">
        <v>302</v>
      </c>
      <c r="L506">
        <v>227468</v>
      </c>
      <c r="M506">
        <v>129789</v>
      </c>
      <c r="N506">
        <v>1</v>
      </c>
      <c r="O506">
        <f t="shared" si="166"/>
        <v>2.4937655860349127E-3</v>
      </c>
      <c r="P506">
        <v>10</v>
      </c>
      <c r="Q506">
        <f t="shared" si="167"/>
        <v>2.4937655860349127E-3</v>
      </c>
      <c r="R506">
        <v>0.02</v>
      </c>
      <c r="S506">
        <f t="shared" si="174"/>
        <v>0.2</v>
      </c>
      <c r="T506">
        <f t="shared" si="168"/>
        <v>1.4727540500736379E-3</v>
      </c>
      <c r="U506">
        <f t="shared" si="169"/>
        <v>-1.4947534731437829E-2</v>
      </c>
      <c r="V506">
        <f t="shared" si="170"/>
        <v>1.5599999999999999E-2</v>
      </c>
      <c r="W506">
        <v>0.1</v>
      </c>
      <c r="X506">
        <f t="shared" si="171"/>
        <v>0.15599999999999997</v>
      </c>
      <c r="Y506">
        <v>3</v>
      </c>
      <c r="Z506">
        <v>1</v>
      </c>
      <c r="AA506" t="s">
        <v>100</v>
      </c>
      <c r="AB506">
        <f t="shared" si="172"/>
        <v>4.2426406871192848</v>
      </c>
      <c r="AC506">
        <f t="shared" si="163"/>
        <v>22.627416997969519</v>
      </c>
      <c r="AE506">
        <v>3</v>
      </c>
      <c r="AF506">
        <v>3</v>
      </c>
      <c r="AG506">
        <v>2.5</v>
      </c>
      <c r="AH506">
        <f t="shared" si="173"/>
        <v>11.966165768126228</v>
      </c>
      <c r="AI506">
        <f t="shared" si="164"/>
        <v>34.037093740447936</v>
      </c>
    </row>
    <row r="507" spans="1:36" x14ac:dyDescent="0.3">
      <c r="A507">
        <v>2022</v>
      </c>
      <c r="B507" t="s">
        <v>119</v>
      </c>
      <c r="C507" t="s">
        <v>447</v>
      </c>
      <c r="D507" t="s">
        <v>422</v>
      </c>
      <c r="E507" t="s">
        <v>423</v>
      </c>
      <c r="F507">
        <v>118</v>
      </c>
      <c r="G507" t="s">
        <v>22</v>
      </c>
      <c r="H507" t="s">
        <v>56</v>
      </c>
      <c r="I507" t="s">
        <v>153</v>
      </c>
      <c r="J507" t="s">
        <v>173</v>
      </c>
      <c r="K507" t="s">
        <v>174</v>
      </c>
      <c r="L507">
        <v>227477</v>
      </c>
      <c r="M507">
        <v>334811</v>
      </c>
      <c r="N507">
        <v>2</v>
      </c>
      <c r="O507">
        <f t="shared" si="166"/>
        <v>4.9875311720698253E-3</v>
      </c>
      <c r="P507">
        <v>20</v>
      </c>
      <c r="Q507">
        <f t="shared" si="167"/>
        <v>4.9875311720698253E-3</v>
      </c>
      <c r="R507">
        <v>5.0000000000000001E-3</v>
      </c>
      <c r="S507">
        <f>R507*10</f>
        <v>0.05</v>
      </c>
      <c r="T507">
        <f t="shared" si="168"/>
        <v>3.6818851251840947E-4</v>
      </c>
      <c r="U507">
        <f t="shared" si="169"/>
        <v>-2.6437976293000619E-2</v>
      </c>
      <c r="V507">
        <f t="shared" si="170"/>
        <v>1.5599999999999999E-2</v>
      </c>
      <c r="W507">
        <v>0.1</v>
      </c>
      <c r="X507">
        <f t="shared" si="171"/>
        <v>0.15599999999999997</v>
      </c>
      <c r="Y507">
        <v>3</v>
      </c>
      <c r="Z507">
        <v>2</v>
      </c>
      <c r="AA507" t="s">
        <v>100</v>
      </c>
      <c r="AB507">
        <f t="shared" si="172"/>
        <v>6</v>
      </c>
      <c r="AC507">
        <f t="shared" si="163"/>
        <v>16</v>
      </c>
      <c r="AE507">
        <v>3</v>
      </c>
      <c r="AF507">
        <v>3</v>
      </c>
      <c r="AG507">
        <v>2.33</v>
      </c>
      <c r="AH507">
        <f t="shared" si="173"/>
        <v>4.6890345488170588</v>
      </c>
      <c r="AI507">
        <f t="shared" si="164"/>
        <v>14.310835055998654</v>
      </c>
    </row>
    <row r="508" spans="1:36" x14ac:dyDescent="0.3">
      <c r="A508">
        <v>2022</v>
      </c>
      <c r="B508" t="s">
        <v>119</v>
      </c>
      <c r="C508" t="s">
        <v>447</v>
      </c>
      <c r="D508" t="s">
        <v>422</v>
      </c>
      <c r="E508" t="s">
        <v>423</v>
      </c>
      <c r="F508">
        <v>118</v>
      </c>
      <c r="G508" t="s">
        <v>22</v>
      </c>
      <c r="H508" t="s">
        <v>96</v>
      </c>
      <c r="I508" t="s">
        <v>97</v>
      </c>
      <c r="J508" t="s">
        <v>98</v>
      </c>
      <c r="K508" t="s">
        <v>101</v>
      </c>
      <c r="L508">
        <v>227337</v>
      </c>
      <c r="M508">
        <v>131157</v>
      </c>
      <c r="N508">
        <v>4</v>
      </c>
      <c r="O508">
        <f t="shared" si="166"/>
        <v>9.9750623441396506E-3</v>
      </c>
      <c r="P508">
        <v>40</v>
      </c>
      <c r="Q508">
        <f t="shared" si="167"/>
        <v>9.9750623441396506E-3</v>
      </c>
      <c r="R508">
        <v>5.0000000000000001E-3</v>
      </c>
      <c r="S508">
        <f t="shared" si="174"/>
        <v>0.05</v>
      </c>
      <c r="T508">
        <f t="shared" si="168"/>
        <v>3.6818851251840947E-4</v>
      </c>
      <c r="U508">
        <f t="shared" si="169"/>
        <v>-4.5961766246251159E-2</v>
      </c>
      <c r="V508">
        <f t="shared" si="170"/>
        <v>1.5599999999999999E-2</v>
      </c>
      <c r="W508">
        <v>0.1</v>
      </c>
      <c r="X508">
        <f t="shared" si="171"/>
        <v>0.15599999999999997</v>
      </c>
      <c r="Y508">
        <v>3</v>
      </c>
      <c r="Z508">
        <v>2</v>
      </c>
      <c r="AA508" t="s">
        <v>100</v>
      </c>
      <c r="AB508">
        <f t="shared" si="172"/>
        <v>8.4852813742385695</v>
      </c>
      <c r="AC508">
        <f t="shared" si="163"/>
        <v>22.627416997969519</v>
      </c>
      <c r="AE508">
        <v>2.5</v>
      </c>
      <c r="AF508">
        <v>3</v>
      </c>
      <c r="AG508">
        <v>2</v>
      </c>
      <c r="AH508">
        <f t="shared" si="173"/>
        <v>3.9887219227087427</v>
      </c>
      <c r="AI508">
        <f t="shared" si="164"/>
        <v>17.018546870223968</v>
      </c>
    </row>
    <row r="509" spans="1:36" x14ac:dyDescent="0.3">
      <c r="A509">
        <v>2022</v>
      </c>
      <c r="B509" t="s">
        <v>119</v>
      </c>
      <c r="C509" t="s">
        <v>447</v>
      </c>
      <c r="D509" t="s">
        <v>422</v>
      </c>
      <c r="E509" t="s">
        <v>423</v>
      </c>
      <c r="F509">
        <v>118</v>
      </c>
      <c r="G509" t="s">
        <v>22</v>
      </c>
      <c r="H509" t="s">
        <v>56</v>
      </c>
      <c r="I509" t="s">
        <v>153</v>
      </c>
      <c r="K509" t="s">
        <v>153</v>
      </c>
      <c r="L509">
        <v>2000533</v>
      </c>
      <c r="M509">
        <v>981</v>
      </c>
      <c r="N509">
        <v>1</v>
      </c>
      <c r="O509">
        <f t="shared" si="166"/>
        <v>2.4937655860349127E-3</v>
      </c>
      <c r="P509">
        <v>10</v>
      </c>
      <c r="Q509">
        <f t="shared" si="167"/>
        <v>2.4937655860349127E-3</v>
      </c>
      <c r="R509">
        <v>5.0000000000000001E-3</v>
      </c>
      <c r="S509">
        <f t="shared" si="174"/>
        <v>0.05</v>
      </c>
      <c r="T509">
        <f t="shared" si="168"/>
        <v>3.6818851251840947E-4</v>
      </c>
      <c r="U509">
        <f t="shared" si="169"/>
        <v>-1.4947534731437829E-2</v>
      </c>
      <c r="V509">
        <f t="shared" si="170"/>
        <v>1.5599999999999999E-2</v>
      </c>
      <c r="W509">
        <v>0.1</v>
      </c>
      <c r="X509">
        <f t="shared" si="171"/>
        <v>0.15599999999999997</v>
      </c>
      <c r="Y509">
        <v>3</v>
      </c>
      <c r="Z509">
        <v>1.6875</v>
      </c>
      <c r="AA509" t="s">
        <v>100</v>
      </c>
      <c r="AB509">
        <f t="shared" si="172"/>
        <v>3.5797280797568964</v>
      </c>
      <c r="AC509">
        <f t="shared" si="163"/>
        <v>11.313708498984759</v>
      </c>
      <c r="AE509">
        <v>3</v>
      </c>
      <c r="AF509">
        <v>2.3333333333333299</v>
      </c>
      <c r="AG509">
        <v>1.8049999999999999</v>
      </c>
      <c r="AH509">
        <f t="shared" si="173"/>
        <v>2.3757610040573272</v>
      </c>
      <c r="AI509">
        <f t="shared" si="164"/>
        <v>12.033929897876465</v>
      </c>
    </row>
    <row r="510" spans="1:36" x14ac:dyDescent="0.3">
      <c r="A510">
        <v>2022</v>
      </c>
      <c r="B510" t="s">
        <v>119</v>
      </c>
      <c r="C510" t="s">
        <v>447</v>
      </c>
      <c r="D510" t="s">
        <v>422</v>
      </c>
      <c r="E510" t="s">
        <v>423</v>
      </c>
      <c r="F510">
        <v>118</v>
      </c>
      <c r="G510" t="s">
        <v>22</v>
      </c>
      <c r="H510" t="s">
        <v>56</v>
      </c>
      <c r="I510" t="s">
        <v>153</v>
      </c>
      <c r="J510" t="s">
        <v>183</v>
      </c>
      <c r="K510" t="s">
        <v>424</v>
      </c>
      <c r="L510">
        <v>227481</v>
      </c>
      <c r="M510">
        <v>332932</v>
      </c>
      <c r="N510">
        <v>1</v>
      </c>
      <c r="O510">
        <f t="shared" si="166"/>
        <v>2.4937655860349127E-3</v>
      </c>
      <c r="P510">
        <v>10</v>
      </c>
      <c r="Q510">
        <f t="shared" si="167"/>
        <v>2.4937655860349127E-3</v>
      </c>
      <c r="R510">
        <v>5.0000000000000001E-3</v>
      </c>
      <c r="S510">
        <f t="shared" si="174"/>
        <v>0.05</v>
      </c>
      <c r="T510">
        <f t="shared" si="168"/>
        <v>3.6818851251840947E-4</v>
      </c>
      <c r="U510">
        <f t="shared" si="169"/>
        <v>-1.4947534731437829E-2</v>
      </c>
      <c r="V510">
        <f t="shared" si="170"/>
        <v>1.5599999999999999E-2</v>
      </c>
      <c r="W510">
        <v>0.1</v>
      </c>
      <c r="X510">
        <f t="shared" si="171"/>
        <v>0.15599999999999997</v>
      </c>
      <c r="Y510">
        <v>3</v>
      </c>
      <c r="Z510">
        <v>2</v>
      </c>
      <c r="AA510" t="s">
        <v>100</v>
      </c>
      <c r="AB510">
        <f t="shared" si="172"/>
        <v>4.2426406871192848</v>
      </c>
      <c r="AC510">
        <f t="shared" si="163"/>
        <v>11.313708498984759</v>
      </c>
      <c r="AE510">
        <v>3</v>
      </c>
      <c r="AF510">
        <v>1</v>
      </c>
      <c r="AG510">
        <v>1</v>
      </c>
      <c r="AH510">
        <f t="shared" si="173"/>
        <v>0.56409046396295937</v>
      </c>
      <c r="AI510">
        <f t="shared" si="164"/>
        <v>12.033929897876465</v>
      </c>
    </row>
    <row r="511" spans="1:36" s="4" customFormat="1" x14ac:dyDescent="0.3">
      <c r="N511" s="4">
        <f>SUM(N472:N510)</f>
        <v>401</v>
      </c>
      <c r="O511" s="4">
        <f>SUM(O472:O510)</f>
        <v>0.99999999999999956</v>
      </c>
      <c r="P511" s="4">
        <f t="shared" ref="P511:AI511" si="175">SUM(P472:P510)</f>
        <v>4010</v>
      </c>
      <c r="Q511" s="4">
        <f t="shared" si="175"/>
        <v>0.99999999999999956</v>
      </c>
      <c r="R511" s="4">
        <f t="shared" si="175"/>
        <v>13.580000000000005</v>
      </c>
      <c r="S511" s="4">
        <f t="shared" si="175"/>
        <v>135.79999999999998</v>
      </c>
      <c r="T511" s="4">
        <f t="shared" si="175"/>
        <v>0.99999999999999989</v>
      </c>
      <c r="U511" s="4">
        <f>-SUM(U472:U510)</f>
        <v>2.788555503449222</v>
      </c>
      <c r="Y511" s="4">
        <v>4</v>
      </c>
      <c r="Z511" s="4">
        <v>4</v>
      </c>
      <c r="AB511" s="4">
        <f t="shared" si="175"/>
        <v>3843.7408839459818</v>
      </c>
      <c r="AC511" s="4">
        <f t="shared" si="175"/>
        <v>8624.5841602609544</v>
      </c>
      <c r="AD511" s="4">
        <f>AB511/AC511</f>
        <v>0.44567260432759015</v>
      </c>
      <c r="AE511" s="4">
        <v>4</v>
      </c>
      <c r="AF511" s="4">
        <v>4</v>
      </c>
      <c r="AG511" s="4">
        <v>4</v>
      </c>
      <c r="AH511" s="4">
        <f t="shared" si="175"/>
        <v>4666.2411530640593</v>
      </c>
      <c r="AI511" s="4">
        <f t="shared" si="175"/>
        <v>15886.34496254708</v>
      </c>
      <c r="AJ511" s="4">
        <f>AH511/AI511</f>
        <v>0.29372654087928823</v>
      </c>
    </row>
    <row r="512" spans="1:36" x14ac:dyDescent="0.3">
      <c r="A512">
        <v>2022</v>
      </c>
      <c r="B512" t="s">
        <v>18</v>
      </c>
      <c r="C512" t="s">
        <v>19</v>
      </c>
      <c r="D512" t="s">
        <v>20</v>
      </c>
      <c r="E512" t="s">
        <v>21</v>
      </c>
      <c r="F512">
        <v>44</v>
      </c>
      <c r="G512" t="s">
        <v>28</v>
      </c>
      <c r="H512" t="s">
        <v>29</v>
      </c>
      <c r="I512" t="s">
        <v>30</v>
      </c>
      <c r="J512" t="s">
        <v>31</v>
      </c>
      <c r="K512" t="s">
        <v>368</v>
      </c>
      <c r="L512" t="s">
        <v>112</v>
      </c>
      <c r="M512" t="s">
        <v>112</v>
      </c>
      <c r="N512">
        <v>104</v>
      </c>
      <c r="O512">
        <f t="shared" ref="O512:O545" si="176">N512/$N$546</f>
        <v>0.55614973262032086</v>
      </c>
      <c r="P512">
        <v>1040</v>
      </c>
      <c r="Q512">
        <f t="shared" ref="Q512:Q545" si="177">P512/$P$546</f>
        <v>0.55614973262032086</v>
      </c>
      <c r="R512">
        <v>9.39</v>
      </c>
      <c r="S512">
        <f>R512*10</f>
        <v>93.9</v>
      </c>
      <c r="T512">
        <f t="shared" ref="T512:T545" si="178">S512/$S$546</f>
        <v>0.72009202453987742</v>
      </c>
      <c r="U512">
        <f t="shared" ref="U512:U545" si="179">O512*LN(O512)</f>
        <v>-0.32630290182980881</v>
      </c>
      <c r="V512">
        <f t="shared" ref="V512:V545" si="180">15.6/1000</f>
        <v>1.5599999999999999E-2</v>
      </c>
      <c r="W512">
        <v>0.1</v>
      </c>
      <c r="X512">
        <f t="shared" ref="X512:X545" si="181">V512/W512</f>
        <v>0.15599999999999997</v>
      </c>
      <c r="Y512">
        <v>4</v>
      </c>
      <c r="Z512">
        <v>3</v>
      </c>
      <c r="AA512" t="s">
        <v>27</v>
      </c>
      <c r="AB512">
        <f t="shared" ref="AB512:AB545" si="182">(SQRT(S512/P512))*P512*Z512*Y512</f>
        <v>3749.995199996928</v>
      </c>
      <c r="AC512">
        <f t="shared" si="163"/>
        <v>4999.9935999959043</v>
      </c>
      <c r="AE512">
        <v>2</v>
      </c>
      <c r="AF512">
        <v>4</v>
      </c>
      <c r="AG512">
        <v>3</v>
      </c>
      <c r="AH512">
        <f t="shared" ref="AH512:AH545" si="183">((S512/P512)^0.75)*P512*AE512*AF512*AG512</f>
        <v>4111.2015719770006</v>
      </c>
      <c r="AI512">
        <f t="shared" si="164"/>
        <v>10963.204191938668</v>
      </c>
    </row>
    <row r="513" spans="1:35" x14ac:dyDescent="0.3">
      <c r="A513">
        <v>2022</v>
      </c>
      <c r="B513" t="s">
        <v>18</v>
      </c>
      <c r="C513" t="s">
        <v>19</v>
      </c>
      <c r="D513" t="s">
        <v>20</v>
      </c>
      <c r="E513" t="s">
        <v>21</v>
      </c>
      <c r="F513">
        <v>44</v>
      </c>
      <c r="G513" t="s">
        <v>22</v>
      </c>
      <c r="I513" t="s">
        <v>105</v>
      </c>
      <c r="J513" t="s">
        <v>151</v>
      </c>
      <c r="K513" t="s">
        <v>152</v>
      </c>
      <c r="L513">
        <v>227836</v>
      </c>
      <c r="M513">
        <v>333843</v>
      </c>
      <c r="N513">
        <v>1</v>
      </c>
      <c r="O513">
        <f t="shared" si="176"/>
        <v>5.3475935828877002E-3</v>
      </c>
      <c r="P513">
        <v>10</v>
      </c>
      <c r="Q513">
        <f t="shared" si="177"/>
        <v>5.3475935828877002E-3</v>
      </c>
      <c r="R513">
        <v>1.37</v>
      </c>
      <c r="S513">
        <f t="shared" ref="S513:S545" si="184">R513*10</f>
        <v>13.700000000000001</v>
      </c>
      <c r="T513">
        <f t="shared" si="178"/>
        <v>0.10506134969325157</v>
      </c>
      <c r="U513">
        <f t="shared" si="179"/>
        <v>-2.7973842870880141E-2</v>
      </c>
      <c r="V513">
        <f t="shared" si="180"/>
        <v>1.5599999999999999E-2</v>
      </c>
      <c r="W513">
        <v>0.1</v>
      </c>
      <c r="X513">
        <f t="shared" si="181"/>
        <v>0.15599999999999997</v>
      </c>
      <c r="Y513">
        <v>3.5</v>
      </c>
      <c r="Z513">
        <v>4</v>
      </c>
      <c r="AA513" t="s">
        <v>27</v>
      </c>
      <c r="AB513">
        <f t="shared" si="182"/>
        <v>163.86579875007476</v>
      </c>
      <c r="AC513">
        <f t="shared" si="163"/>
        <v>187.27519857151401</v>
      </c>
      <c r="AE513">
        <v>2.5</v>
      </c>
      <c r="AF513">
        <v>3.75</v>
      </c>
      <c r="AG513">
        <v>3.29</v>
      </c>
      <c r="AH513">
        <f t="shared" si="183"/>
        <v>390.5778403536936</v>
      </c>
      <c r="AI513">
        <f t="shared" si="164"/>
        <v>810.43912567818074</v>
      </c>
    </row>
    <row r="514" spans="1:35" x14ac:dyDescent="0.3">
      <c r="A514">
        <v>2022</v>
      </c>
      <c r="B514" t="s">
        <v>18</v>
      </c>
      <c r="C514" t="s">
        <v>19</v>
      </c>
      <c r="D514" t="s">
        <v>20</v>
      </c>
      <c r="E514" t="s">
        <v>21</v>
      </c>
      <c r="F514">
        <v>44</v>
      </c>
      <c r="G514" t="s">
        <v>22</v>
      </c>
      <c r="H514" t="s">
        <v>23</v>
      </c>
      <c r="I514" t="s">
        <v>24</v>
      </c>
      <c r="J514" t="s">
        <v>25</v>
      </c>
      <c r="K514" t="s">
        <v>26</v>
      </c>
      <c r="L514">
        <v>227229</v>
      </c>
      <c r="M514">
        <v>146469</v>
      </c>
      <c r="N514">
        <v>2</v>
      </c>
      <c r="O514">
        <f t="shared" si="176"/>
        <v>1.06951871657754E-2</v>
      </c>
      <c r="P514">
        <v>20</v>
      </c>
      <c r="Q514">
        <f t="shared" si="177"/>
        <v>1.06951871657754E-2</v>
      </c>
      <c r="R514">
        <v>0.09</v>
      </c>
      <c r="S514">
        <f t="shared" si="184"/>
        <v>0.89999999999999991</v>
      </c>
      <c r="T514">
        <f t="shared" si="178"/>
        <v>6.9018404907975469E-3</v>
      </c>
      <c r="U514">
        <f t="shared" si="179"/>
        <v>-4.8534346912242149E-2</v>
      </c>
      <c r="V514">
        <f t="shared" si="180"/>
        <v>1.5599999999999999E-2</v>
      </c>
      <c r="W514">
        <v>0.1</v>
      </c>
      <c r="X514">
        <f t="shared" si="181"/>
        <v>0.15599999999999997</v>
      </c>
      <c r="Y514">
        <v>4</v>
      </c>
      <c r="Z514">
        <v>3</v>
      </c>
      <c r="AA514" t="s">
        <v>27</v>
      </c>
      <c r="AB514">
        <f t="shared" si="182"/>
        <v>50.911688245431421</v>
      </c>
      <c r="AC514">
        <f t="shared" si="163"/>
        <v>67.882250993908556</v>
      </c>
      <c r="AE514">
        <v>1.38</v>
      </c>
      <c r="AF514">
        <v>2</v>
      </c>
      <c r="AG514">
        <v>3.5</v>
      </c>
      <c r="AH514">
        <f t="shared" si="183"/>
        <v>18.876284199297633</v>
      </c>
      <c r="AI514">
        <f t="shared" si="164"/>
        <v>125.06026798706507</v>
      </c>
    </row>
    <row r="515" spans="1:35" x14ac:dyDescent="0.3">
      <c r="A515">
        <v>2022</v>
      </c>
      <c r="B515" t="s">
        <v>18</v>
      </c>
      <c r="C515" t="s">
        <v>19</v>
      </c>
      <c r="D515" t="s">
        <v>20</v>
      </c>
      <c r="E515" t="s">
        <v>21</v>
      </c>
      <c r="F515">
        <v>44</v>
      </c>
      <c r="G515" t="s">
        <v>35</v>
      </c>
      <c r="H515" t="s">
        <v>36</v>
      </c>
      <c r="I515" t="s">
        <v>37</v>
      </c>
      <c r="J515" t="s">
        <v>38</v>
      </c>
      <c r="K515" t="s">
        <v>39</v>
      </c>
      <c r="L515">
        <v>217719</v>
      </c>
      <c r="M515">
        <v>124373</v>
      </c>
      <c r="N515">
        <v>1</v>
      </c>
      <c r="O515">
        <f t="shared" si="176"/>
        <v>5.3475935828877002E-3</v>
      </c>
      <c r="P515">
        <v>10</v>
      </c>
      <c r="Q515">
        <f t="shared" si="177"/>
        <v>5.3475935828877002E-3</v>
      </c>
      <c r="R515">
        <v>7.0000000000000007E-2</v>
      </c>
      <c r="S515">
        <f t="shared" si="184"/>
        <v>0.70000000000000007</v>
      </c>
      <c r="T515">
        <f t="shared" si="178"/>
        <v>5.3680981595092036E-3</v>
      </c>
      <c r="U515">
        <f t="shared" si="179"/>
        <v>-2.7973842870880141E-2</v>
      </c>
      <c r="V515">
        <f t="shared" si="180"/>
        <v>1.5599999999999999E-2</v>
      </c>
      <c r="W515">
        <v>0.1</v>
      </c>
      <c r="X515">
        <f t="shared" si="181"/>
        <v>0.15599999999999997</v>
      </c>
      <c r="Y515">
        <v>4</v>
      </c>
      <c r="Z515">
        <v>3</v>
      </c>
      <c r="AA515" t="s">
        <v>27</v>
      </c>
      <c r="AB515">
        <f t="shared" si="182"/>
        <v>31.749015732775089</v>
      </c>
      <c r="AC515">
        <f t="shared" ref="AC515:AC578" si="185">(SQRT(S515/P515))*P515*4*4</f>
        <v>42.332020977033451</v>
      </c>
      <c r="AE515">
        <v>1.38</v>
      </c>
      <c r="AF515">
        <v>3.5</v>
      </c>
      <c r="AG515">
        <v>2.5</v>
      </c>
      <c r="AH515">
        <f t="shared" si="183"/>
        <v>16.432765940432532</v>
      </c>
      <c r="AI515">
        <f t="shared" ref="AI515:AI578" si="186">((S515/P515)^0.75)*P515*4*4*4</f>
        <v>87.097061713265603</v>
      </c>
    </row>
    <row r="516" spans="1:35" x14ac:dyDescent="0.3">
      <c r="A516">
        <v>2022</v>
      </c>
      <c r="B516" t="s">
        <v>18</v>
      </c>
      <c r="C516" t="s">
        <v>19</v>
      </c>
      <c r="D516" t="s">
        <v>20</v>
      </c>
      <c r="E516" t="s">
        <v>21</v>
      </c>
      <c r="F516">
        <v>44</v>
      </c>
      <c r="G516" t="s">
        <v>22</v>
      </c>
      <c r="H516" t="s">
        <v>67</v>
      </c>
      <c r="I516" t="s">
        <v>68</v>
      </c>
      <c r="J516" t="s">
        <v>69</v>
      </c>
      <c r="K516" t="s">
        <v>190</v>
      </c>
      <c r="L516">
        <v>226797</v>
      </c>
      <c r="M516">
        <v>130116</v>
      </c>
      <c r="N516">
        <v>2</v>
      </c>
      <c r="O516">
        <f t="shared" si="176"/>
        <v>1.06951871657754E-2</v>
      </c>
      <c r="P516">
        <v>20</v>
      </c>
      <c r="Q516">
        <f t="shared" si="177"/>
        <v>1.06951871657754E-2</v>
      </c>
      <c r="R516">
        <v>0.04</v>
      </c>
      <c r="S516">
        <f t="shared" si="184"/>
        <v>0.4</v>
      </c>
      <c r="T516">
        <f t="shared" si="178"/>
        <v>3.0674846625766876E-3</v>
      </c>
      <c r="U516">
        <f t="shared" si="179"/>
        <v>-4.8534346912242149E-2</v>
      </c>
      <c r="V516">
        <f t="shared" si="180"/>
        <v>1.5599999999999999E-2</v>
      </c>
      <c r="W516">
        <v>0.1</v>
      </c>
      <c r="X516">
        <f t="shared" si="181"/>
        <v>0.15599999999999997</v>
      </c>
      <c r="Y516">
        <v>4</v>
      </c>
      <c r="Z516">
        <v>3</v>
      </c>
      <c r="AA516" t="s">
        <v>27</v>
      </c>
      <c r="AB516">
        <f t="shared" si="182"/>
        <v>33.941125496954278</v>
      </c>
      <c r="AC516">
        <f t="shared" si="185"/>
        <v>45.254833995939038</v>
      </c>
      <c r="AE516">
        <v>2</v>
      </c>
      <c r="AF516">
        <v>2</v>
      </c>
      <c r="AG516">
        <v>2</v>
      </c>
      <c r="AH516">
        <f t="shared" si="183"/>
        <v>8.5092734351119841</v>
      </c>
      <c r="AI516">
        <f t="shared" si="186"/>
        <v>68.074187480895873</v>
      </c>
    </row>
    <row r="517" spans="1:35" x14ac:dyDescent="0.3">
      <c r="A517">
        <v>2022</v>
      </c>
      <c r="B517" t="s">
        <v>18</v>
      </c>
      <c r="C517" t="s">
        <v>19</v>
      </c>
      <c r="D517" t="s">
        <v>20</v>
      </c>
      <c r="E517" t="s">
        <v>21</v>
      </c>
      <c r="F517">
        <v>44</v>
      </c>
      <c r="G517" t="s">
        <v>22</v>
      </c>
      <c r="H517" t="s">
        <v>67</v>
      </c>
      <c r="I517" t="s">
        <v>224</v>
      </c>
      <c r="J517" t="s">
        <v>225</v>
      </c>
      <c r="K517" t="s">
        <v>226</v>
      </c>
      <c r="L517">
        <v>227033</v>
      </c>
      <c r="M517">
        <v>130362</v>
      </c>
      <c r="N517">
        <v>1</v>
      </c>
      <c r="O517">
        <f t="shared" si="176"/>
        <v>5.3475935828877002E-3</v>
      </c>
      <c r="P517">
        <v>10</v>
      </c>
      <c r="Q517">
        <f t="shared" si="177"/>
        <v>5.3475935828877002E-3</v>
      </c>
      <c r="R517">
        <v>0.05</v>
      </c>
      <c r="S517">
        <f t="shared" si="184"/>
        <v>0.5</v>
      </c>
      <c r="T517">
        <f t="shared" si="178"/>
        <v>3.8343558282208597E-3</v>
      </c>
      <c r="U517">
        <f t="shared" si="179"/>
        <v>-2.7973842870880141E-2</v>
      </c>
      <c r="V517">
        <f t="shared" si="180"/>
        <v>1.5599999999999999E-2</v>
      </c>
      <c r="W517">
        <v>0.1</v>
      </c>
      <c r="X517">
        <f t="shared" si="181"/>
        <v>0.15599999999999997</v>
      </c>
      <c r="Y517">
        <v>4</v>
      </c>
      <c r="Z517">
        <v>3</v>
      </c>
      <c r="AA517" t="s">
        <v>27</v>
      </c>
      <c r="AB517">
        <f t="shared" si="182"/>
        <v>26.832815729997478</v>
      </c>
      <c r="AC517">
        <f t="shared" si="185"/>
        <v>35.777087639996637</v>
      </c>
      <c r="AE517">
        <v>3</v>
      </c>
      <c r="AF517">
        <v>2</v>
      </c>
      <c r="AG517">
        <v>1</v>
      </c>
      <c r="AH517">
        <f t="shared" si="183"/>
        <v>6.3442275806433841</v>
      </c>
      <c r="AI517">
        <f t="shared" si="186"/>
        <v>67.671760860196102</v>
      </c>
    </row>
    <row r="518" spans="1:35" x14ac:dyDescent="0.3">
      <c r="A518">
        <v>2022</v>
      </c>
      <c r="B518" t="s">
        <v>18</v>
      </c>
      <c r="C518" t="s">
        <v>19</v>
      </c>
      <c r="D518" t="s">
        <v>20</v>
      </c>
      <c r="E518" t="s">
        <v>21</v>
      </c>
      <c r="F518">
        <v>44</v>
      </c>
      <c r="G518" t="s">
        <v>22</v>
      </c>
      <c r="H518" t="s">
        <v>67</v>
      </c>
      <c r="I518" t="s">
        <v>375</v>
      </c>
      <c r="J518" t="s">
        <v>376</v>
      </c>
      <c r="K518" t="s">
        <v>377</v>
      </c>
      <c r="L518">
        <v>226813</v>
      </c>
      <c r="M518">
        <v>130140</v>
      </c>
      <c r="N518">
        <v>1</v>
      </c>
      <c r="O518">
        <f t="shared" si="176"/>
        <v>5.3475935828877002E-3</v>
      </c>
      <c r="P518">
        <v>10</v>
      </c>
      <c r="Q518">
        <f t="shared" si="177"/>
        <v>5.3475935828877002E-3</v>
      </c>
      <c r="R518">
        <v>0.01</v>
      </c>
      <c r="S518">
        <f t="shared" si="184"/>
        <v>0.1</v>
      </c>
      <c r="T518">
        <f t="shared" si="178"/>
        <v>7.6687116564417191E-4</v>
      </c>
      <c r="U518">
        <f t="shared" si="179"/>
        <v>-2.7973842870880141E-2</v>
      </c>
      <c r="V518">
        <f t="shared" si="180"/>
        <v>1.5599999999999999E-2</v>
      </c>
      <c r="W518">
        <v>0.1</v>
      </c>
      <c r="X518">
        <f t="shared" si="181"/>
        <v>0.15599999999999997</v>
      </c>
      <c r="Y518">
        <v>4</v>
      </c>
      <c r="Z518">
        <v>3</v>
      </c>
      <c r="AA518" t="s">
        <v>27</v>
      </c>
      <c r="AB518">
        <f t="shared" si="182"/>
        <v>12</v>
      </c>
      <c r="AC518">
        <f t="shared" si="185"/>
        <v>16</v>
      </c>
      <c r="AE518">
        <v>3</v>
      </c>
      <c r="AF518">
        <v>2</v>
      </c>
      <c r="AG518">
        <v>3</v>
      </c>
      <c r="AH518">
        <f t="shared" si="183"/>
        <v>5.6920997883030839</v>
      </c>
      <c r="AI518">
        <f t="shared" si="186"/>
        <v>20.238577025077632</v>
      </c>
    </row>
    <row r="519" spans="1:35" x14ac:dyDescent="0.3">
      <c r="A519">
        <v>2022</v>
      </c>
      <c r="B519" t="s">
        <v>18</v>
      </c>
      <c r="C519" t="s">
        <v>19</v>
      </c>
      <c r="D519" t="s">
        <v>20</v>
      </c>
      <c r="E519" t="s">
        <v>21</v>
      </c>
      <c r="F519">
        <v>44</v>
      </c>
      <c r="G519" t="s">
        <v>22</v>
      </c>
      <c r="H519" t="s">
        <v>67</v>
      </c>
      <c r="I519" t="s">
        <v>87</v>
      </c>
      <c r="J519" t="s">
        <v>88</v>
      </c>
      <c r="K519" t="s">
        <v>88</v>
      </c>
      <c r="L519">
        <v>1007370</v>
      </c>
      <c r="M519">
        <v>129466</v>
      </c>
      <c r="N519">
        <v>4</v>
      </c>
      <c r="O519">
        <f t="shared" si="176"/>
        <v>2.1390374331550801E-2</v>
      </c>
      <c r="P519">
        <v>40</v>
      </c>
      <c r="Q519">
        <f t="shared" si="177"/>
        <v>2.1390374331550801E-2</v>
      </c>
      <c r="R519">
        <v>0.08</v>
      </c>
      <c r="S519">
        <f t="shared" si="184"/>
        <v>0.8</v>
      </c>
      <c r="T519">
        <f t="shared" si="178"/>
        <v>6.1349693251533752E-3</v>
      </c>
      <c r="U519">
        <f t="shared" si="179"/>
        <v>-8.2242016165448045E-2</v>
      </c>
      <c r="V519">
        <f t="shared" si="180"/>
        <v>1.5599999999999999E-2</v>
      </c>
      <c r="W519">
        <v>0.1</v>
      </c>
      <c r="X519">
        <f t="shared" si="181"/>
        <v>0.15599999999999997</v>
      </c>
      <c r="Y519">
        <v>4</v>
      </c>
      <c r="Z519">
        <v>3</v>
      </c>
      <c r="AA519" t="s">
        <v>27</v>
      </c>
      <c r="AB519">
        <f t="shared" si="182"/>
        <v>67.882250993908556</v>
      </c>
      <c r="AC519">
        <f t="shared" si="185"/>
        <v>90.509667991878075</v>
      </c>
      <c r="AE519">
        <v>1</v>
      </c>
      <c r="AF519">
        <v>2</v>
      </c>
      <c r="AG519">
        <v>1</v>
      </c>
      <c r="AH519">
        <f t="shared" si="183"/>
        <v>4.254636717555992</v>
      </c>
      <c r="AI519">
        <f t="shared" si="186"/>
        <v>136.14837496179175</v>
      </c>
    </row>
    <row r="520" spans="1:35" x14ac:dyDescent="0.3">
      <c r="A520">
        <v>2022</v>
      </c>
      <c r="B520" t="s">
        <v>18</v>
      </c>
      <c r="C520" t="s">
        <v>19</v>
      </c>
      <c r="D520" t="s">
        <v>20</v>
      </c>
      <c r="E520" t="s">
        <v>21</v>
      </c>
      <c r="F520">
        <v>44</v>
      </c>
      <c r="K520" t="s">
        <v>75</v>
      </c>
      <c r="L520">
        <v>5000018</v>
      </c>
      <c r="M520">
        <v>152391</v>
      </c>
      <c r="N520">
        <v>2</v>
      </c>
      <c r="O520">
        <f t="shared" si="176"/>
        <v>1.06951871657754E-2</v>
      </c>
      <c r="P520">
        <v>20</v>
      </c>
      <c r="Q520">
        <f t="shared" si="177"/>
        <v>1.06951871657754E-2</v>
      </c>
      <c r="R520">
        <v>0.01</v>
      </c>
      <c r="S520">
        <f t="shared" si="184"/>
        <v>0.1</v>
      </c>
      <c r="T520">
        <f t="shared" si="178"/>
        <v>7.6687116564417191E-4</v>
      </c>
      <c r="U520">
        <f t="shared" si="179"/>
        <v>-4.8534346912242149E-2</v>
      </c>
      <c r="V520">
        <f t="shared" si="180"/>
        <v>1.5599999999999999E-2</v>
      </c>
      <c r="W520">
        <v>0.1</v>
      </c>
      <c r="X520">
        <f t="shared" si="181"/>
        <v>0.15599999999999997</v>
      </c>
      <c r="Y520">
        <v>4</v>
      </c>
      <c r="Z520">
        <v>3</v>
      </c>
      <c r="AA520" t="s">
        <v>27</v>
      </c>
      <c r="AB520">
        <f t="shared" si="182"/>
        <v>16.970562748477139</v>
      </c>
      <c r="AC520">
        <f t="shared" si="185"/>
        <v>22.627416997969519</v>
      </c>
      <c r="AE520">
        <v>2</v>
      </c>
      <c r="AF520">
        <v>2</v>
      </c>
      <c r="AG520">
        <v>2</v>
      </c>
      <c r="AH520">
        <f t="shared" si="183"/>
        <v>3.0084824744691163</v>
      </c>
      <c r="AI520">
        <f t="shared" si="186"/>
        <v>24.067859795752931</v>
      </c>
    </row>
    <row r="521" spans="1:35" x14ac:dyDescent="0.3">
      <c r="A521">
        <v>2022</v>
      </c>
      <c r="B521" t="s">
        <v>18</v>
      </c>
      <c r="C521" t="s">
        <v>19</v>
      </c>
      <c r="D521" t="s">
        <v>20</v>
      </c>
      <c r="E521" t="s">
        <v>21</v>
      </c>
      <c r="F521">
        <v>44</v>
      </c>
      <c r="G521" t="s">
        <v>378</v>
      </c>
      <c r="H521" t="s">
        <v>379</v>
      </c>
      <c r="I521" t="s">
        <v>380</v>
      </c>
      <c r="J521" t="s">
        <v>381</v>
      </c>
      <c r="K521" t="s">
        <v>382</v>
      </c>
      <c r="L521">
        <v>234279</v>
      </c>
      <c r="M521">
        <v>136063</v>
      </c>
      <c r="N521">
        <v>1</v>
      </c>
      <c r="O521">
        <f t="shared" si="176"/>
        <v>5.3475935828877002E-3</v>
      </c>
      <c r="P521">
        <v>10</v>
      </c>
      <c r="Q521">
        <f t="shared" si="177"/>
        <v>5.3475935828877002E-3</v>
      </c>
      <c r="R521">
        <v>0.02</v>
      </c>
      <c r="S521">
        <f t="shared" si="184"/>
        <v>0.2</v>
      </c>
      <c r="T521">
        <f t="shared" si="178"/>
        <v>1.5337423312883438E-3</v>
      </c>
      <c r="U521">
        <f t="shared" si="179"/>
        <v>-2.7973842870880141E-2</v>
      </c>
      <c r="V521">
        <f t="shared" si="180"/>
        <v>1.5599999999999999E-2</v>
      </c>
      <c r="W521">
        <v>0.1</v>
      </c>
      <c r="X521">
        <f t="shared" si="181"/>
        <v>0.15599999999999997</v>
      </c>
      <c r="Y521">
        <v>4</v>
      </c>
      <c r="Z521">
        <v>3</v>
      </c>
      <c r="AA521" t="s">
        <v>27</v>
      </c>
      <c r="AB521">
        <f t="shared" si="182"/>
        <v>16.970562748477139</v>
      </c>
      <c r="AC521">
        <f t="shared" si="185"/>
        <v>22.627416997969519</v>
      </c>
      <c r="AE521">
        <v>2.5</v>
      </c>
      <c r="AF521">
        <v>1</v>
      </c>
      <c r="AG521">
        <v>2</v>
      </c>
      <c r="AH521">
        <f t="shared" si="183"/>
        <v>2.6591479484724951</v>
      </c>
      <c r="AI521">
        <f t="shared" si="186"/>
        <v>34.037093740447936</v>
      </c>
    </row>
    <row r="522" spans="1:35" x14ac:dyDescent="0.3">
      <c r="A522">
        <v>2022</v>
      </c>
      <c r="B522" t="s">
        <v>18</v>
      </c>
      <c r="C522" t="s">
        <v>19</v>
      </c>
      <c r="D522" t="s">
        <v>20</v>
      </c>
      <c r="E522" t="s">
        <v>21</v>
      </c>
      <c r="F522">
        <v>44</v>
      </c>
      <c r="G522" t="s">
        <v>22</v>
      </c>
      <c r="H522" t="s">
        <v>67</v>
      </c>
      <c r="I522" t="s">
        <v>196</v>
      </c>
      <c r="J522" t="s">
        <v>344</v>
      </c>
      <c r="K522" t="s">
        <v>458</v>
      </c>
      <c r="L522">
        <v>1007424</v>
      </c>
      <c r="M522">
        <v>129499</v>
      </c>
      <c r="N522">
        <v>1</v>
      </c>
      <c r="O522">
        <f t="shared" si="176"/>
        <v>5.3475935828877002E-3</v>
      </c>
      <c r="P522">
        <v>10</v>
      </c>
      <c r="Q522">
        <f t="shared" si="177"/>
        <v>5.3475935828877002E-3</v>
      </c>
      <c r="R522">
        <v>0.01</v>
      </c>
      <c r="S522">
        <f t="shared" si="184"/>
        <v>0.1</v>
      </c>
      <c r="T522">
        <f t="shared" si="178"/>
        <v>7.6687116564417191E-4</v>
      </c>
      <c r="U522">
        <f t="shared" si="179"/>
        <v>-2.7973842870880141E-2</v>
      </c>
      <c r="V522">
        <f t="shared" si="180"/>
        <v>1.5599999999999999E-2</v>
      </c>
      <c r="W522">
        <v>0.1</v>
      </c>
      <c r="X522">
        <f t="shared" si="181"/>
        <v>0.15599999999999997</v>
      </c>
      <c r="Y522">
        <v>4</v>
      </c>
      <c r="Z522">
        <v>3</v>
      </c>
      <c r="AA522" t="s">
        <v>27</v>
      </c>
      <c r="AB522">
        <f t="shared" si="182"/>
        <v>12</v>
      </c>
      <c r="AC522">
        <f t="shared" si="185"/>
        <v>16</v>
      </c>
      <c r="AE522">
        <v>1</v>
      </c>
      <c r="AF522">
        <v>2</v>
      </c>
      <c r="AG522">
        <v>4</v>
      </c>
      <c r="AH522">
        <f t="shared" si="183"/>
        <v>2.529822128134704</v>
      </c>
      <c r="AI522">
        <f t="shared" si="186"/>
        <v>20.238577025077632</v>
      </c>
    </row>
    <row r="523" spans="1:35" x14ac:dyDescent="0.3">
      <c r="A523">
        <v>2022</v>
      </c>
      <c r="B523" t="s">
        <v>18</v>
      </c>
      <c r="C523" t="s">
        <v>19</v>
      </c>
      <c r="D523" t="s">
        <v>20</v>
      </c>
      <c r="E523" t="s">
        <v>21</v>
      </c>
      <c r="F523">
        <v>44</v>
      </c>
      <c r="G523" t="s">
        <v>22</v>
      </c>
      <c r="H523" t="s">
        <v>67</v>
      </c>
      <c r="I523" t="s">
        <v>196</v>
      </c>
      <c r="J523" t="s">
        <v>196</v>
      </c>
      <c r="K523" t="s">
        <v>196</v>
      </c>
      <c r="L523">
        <v>2000496</v>
      </c>
      <c r="M523">
        <v>939</v>
      </c>
      <c r="N523">
        <v>1</v>
      </c>
      <c r="O523">
        <f t="shared" si="176"/>
        <v>5.3475935828877002E-3</v>
      </c>
      <c r="P523">
        <v>10</v>
      </c>
      <c r="Q523">
        <f t="shared" si="177"/>
        <v>5.3475935828877002E-3</v>
      </c>
      <c r="R523">
        <v>0.01</v>
      </c>
      <c r="S523">
        <f t="shared" si="184"/>
        <v>0.1</v>
      </c>
      <c r="T523">
        <f t="shared" si="178"/>
        <v>7.6687116564417191E-4</v>
      </c>
      <c r="U523">
        <f t="shared" si="179"/>
        <v>-2.7973842870880141E-2</v>
      </c>
      <c r="V523">
        <f t="shared" si="180"/>
        <v>1.5599999999999999E-2</v>
      </c>
      <c r="W523">
        <v>0.1</v>
      </c>
      <c r="X523">
        <f t="shared" si="181"/>
        <v>0.15599999999999997</v>
      </c>
      <c r="Y523">
        <v>3.7916666666666701</v>
      </c>
      <c r="Z523">
        <v>2.875</v>
      </c>
      <c r="AA523" t="s">
        <v>27</v>
      </c>
      <c r="AB523">
        <f t="shared" si="182"/>
        <v>10.901041666666677</v>
      </c>
      <c r="AC523">
        <f t="shared" si="185"/>
        <v>16</v>
      </c>
      <c r="AE523">
        <v>1.45</v>
      </c>
      <c r="AF523">
        <v>2.0550000000000002</v>
      </c>
      <c r="AG523">
        <v>1.6666666666666701</v>
      </c>
      <c r="AH523">
        <f t="shared" si="183"/>
        <v>1.5704661429811251</v>
      </c>
      <c r="AI523">
        <f t="shared" si="186"/>
        <v>20.238577025077632</v>
      </c>
    </row>
    <row r="524" spans="1:35" x14ac:dyDescent="0.3">
      <c r="A524">
        <v>2022</v>
      </c>
      <c r="B524" t="s">
        <v>18</v>
      </c>
      <c r="C524" t="s">
        <v>19</v>
      </c>
      <c r="D524" t="s">
        <v>20</v>
      </c>
      <c r="E524" t="s">
        <v>21</v>
      </c>
      <c r="F524">
        <v>44</v>
      </c>
      <c r="G524" t="s">
        <v>22</v>
      </c>
      <c r="H524" t="s">
        <v>56</v>
      </c>
      <c r="I524" t="s">
        <v>90</v>
      </c>
      <c r="J524" t="s">
        <v>117</v>
      </c>
      <c r="K524" t="s">
        <v>118</v>
      </c>
      <c r="L524">
        <v>227496</v>
      </c>
      <c r="M524">
        <v>131573</v>
      </c>
      <c r="N524">
        <v>10</v>
      </c>
      <c r="O524">
        <f t="shared" si="176"/>
        <v>5.3475935828877004E-2</v>
      </c>
      <c r="P524">
        <v>100</v>
      </c>
      <c r="Q524">
        <f t="shared" si="177"/>
        <v>5.3475935828877004E-2</v>
      </c>
      <c r="R524">
        <v>0.03</v>
      </c>
      <c r="S524">
        <f t="shared" si="184"/>
        <v>0.3</v>
      </c>
      <c r="T524">
        <f t="shared" si="178"/>
        <v>2.3006134969325155E-3</v>
      </c>
      <c r="U524">
        <f t="shared" si="179"/>
        <v>-0.15660553603532304</v>
      </c>
      <c r="V524">
        <f t="shared" si="180"/>
        <v>1.5599999999999999E-2</v>
      </c>
      <c r="W524">
        <v>0.1</v>
      </c>
      <c r="X524">
        <f t="shared" si="181"/>
        <v>0.15599999999999997</v>
      </c>
      <c r="Y524">
        <v>3</v>
      </c>
      <c r="Z524">
        <v>1</v>
      </c>
      <c r="AA524" t="s">
        <v>93</v>
      </c>
      <c r="AB524">
        <f t="shared" si="182"/>
        <v>16.431676725154983</v>
      </c>
      <c r="AC524">
        <f t="shared" si="185"/>
        <v>87.635609200826579</v>
      </c>
      <c r="AE524">
        <v>3</v>
      </c>
      <c r="AF524">
        <v>3</v>
      </c>
      <c r="AG524">
        <v>1</v>
      </c>
      <c r="AH524">
        <f t="shared" si="183"/>
        <v>11.536749172698324</v>
      </c>
      <c r="AI524">
        <f t="shared" si="186"/>
        <v>82.039105228076963</v>
      </c>
    </row>
    <row r="525" spans="1:35" x14ac:dyDescent="0.3">
      <c r="A525">
        <v>2022</v>
      </c>
      <c r="B525" t="s">
        <v>18</v>
      </c>
      <c r="C525" t="s">
        <v>19</v>
      </c>
      <c r="D525" t="s">
        <v>20</v>
      </c>
      <c r="E525" t="s">
        <v>21</v>
      </c>
      <c r="F525">
        <v>44</v>
      </c>
      <c r="G525" t="s">
        <v>22</v>
      </c>
      <c r="H525" t="s">
        <v>56</v>
      </c>
      <c r="I525" t="s">
        <v>90</v>
      </c>
      <c r="J525" t="s">
        <v>91</v>
      </c>
      <c r="K525" t="s">
        <v>92</v>
      </c>
      <c r="L525">
        <v>227550</v>
      </c>
      <c r="M525">
        <v>131534</v>
      </c>
      <c r="N525">
        <v>2</v>
      </c>
      <c r="O525">
        <f t="shared" si="176"/>
        <v>1.06951871657754E-2</v>
      </c>
      <c r="P525">
        <v>20</v>
      </c>
      <c r="Q525">
        <f t="shared" si="177"/>
        <v>1.06951871657754E-2</v>
      </c>
      <c r="R525">
        <v>0.02</v>
      </c>
      <c r="S525">
        <f t="shared" si="184"/>
        <v>0.2</v>
      </c>
      <c r="T525">
        <f t="shared" si="178"/>
        <v>1.5337423312883438E-3</v>
      </c>
      <c r="U525">
        <f t="shared" si="179"/>
        <v>-4.8534346912242149E-2</v>
      </c>
      <c r="V525">
        <f t="shared" si="180"/>
        <v>1.5599999999999999E-2</v>
      </c>
      <c r="W525">
        <v>0.1</v>
      </c>
      <c r="X525">
        <f t="shared" si="181"/>
        <v>0.15599999999999997</v>
      </c>
      <c r="Y525">
        <v>3</v>
      </c>
      <c r="Z525">
        <v>1</v>
      </c>
      <c r="AA525" t="s">
        <v>93</v>
      </c>
      <c r="AB525">
        <f t="shared" si="182"/>
        <v>6</v>
      </c>
      <c r="AC525">
        <f t="shared" si="185"/>
        <v>32</v>
      </c>
      <c r="AE525">
        <v>1</v>
      </c>
      <c r="AF525">
        <v>3</v>
      </c>
      <c r="AG525">
        <v>1</v>
      </c>
      <c r="AH525">
        <f t="shared" si="183"/>
        <v>1.897366596101028</v>
      </c>
      <c r="AI525">
        <f t="shared" si="186"/>
        <v>40.477154050155264</v>
      </c>
    </row>
    <row r="526" spans="1:35" x14ac:dyDescent="0.3">
      <c r="A526">
        <v>2022</v>
      </c>
      <c r="B526" t="s">
        <v>18</v>
      </c>
      <c r="C526" t="s">
        <v>19</v>
      </c>
      <c r="D526" t="s">
        <v>20</v>
      </c>
      <c r="E526" t="s">
        <v>21</v>
      </c>
      <c r="F526">
        <v>44</v>
      </c>
      <c r="G526" t="s">
        <v>22</v>
      </c>
      <c r="H526" t="s">
        <v>56</v>
      </c>
      <c r="I526" t="s">
        <v>132</v>
      </c>
      <c r="J526" t="s">
        <v>133</v>
      </c>
      <c r="K526" t="s">
        <v>134</v>
      </c>
      <c r="L526">
        <v>227416</v>
      </c>
      <c r="M526">
        <v>129955</v>
      </c>
      <c r="N526">
        <v>11</v>
      </c>
      <c r="O526">
        <f t="shared" si="176"/>
        <v>5.8823529411764705E-2</v>
      </c>
      <c r="P526">
        <v>110</v>
      </c>
      <c r="Q526">
        <f t="shared" si="177"/>
        <v>5.8823529411764705E-2</v>
      </c>
      <c r="R526">
        <v>0.03</v>
      </c>
      <c r="S526">
        <f t="shared" si="184"/>
        <v>0.3</v>
      </c>
      <c r="T526">
        <f t="shared" si="178"/>
        <v>2.3006134969325155E-3</v>
      </c>
      <c r="U526">
        <f t="shared" si="179"/>
        <v>-0.16665960847389508</v>
      </c>
      <c r="V526">
        <f t="shared" si="180"/>
        <v>1.5599999999999999E-2</v>
      </c>
      <c r="W526">
        <v>0.1</v>
      </c>
      <c r="X526">
        <f t="shared" si="181"/>
        <v>0.15599999999999997</v>
      </c>
      <c r="Y526">
        <v>2</v>
      </c>
      <c r="Z526">
        <v>2</v>
      </c>
      <c r="AA526" t="s">
        <v>50</v>
      </c>
      <c r="AB526">
        <f t="shared" si="182"/>
        <v>22.978250586152114</v>
      </c>
      <c r="AC526">
        <f t="shared" si="185"/>
        <v>91.913002344608458</v>
      </c>
      <c r="AE526">
        <v>3</v>
      </c>
      <c r="AF526">
        <v>3</v>
      </c>
      <c r="AG526">
        <v>2</v>
      </c>
      <c r="AH526">
        <f t="shared" si="183"/>
        <v>23.629885510587986</v>
      </c>
      <c r="AI526">
        <f t="shared" si="186"/>
        <v>84.017370704312839</v>
      </c>
    </row>
    <row r="527" spans="1:35" x14ac:dyDescent="0.3">
      <c r="A527">
        <v>2022</v>
      </c>
      <c r="B527" t="s">
        <v>18</v>
      </c>
      <c r="C527" t="s">
        <v>19</v>
      </c>
      <c r="D527" t="s">
        <v>20</v>
      </c>
      <c r="E527" t="s">
        <v>21</v>
      </c>
      <c r="F527">
        <v>44</v>
      </c>
      <c r="G527" t="s">
        <v>79</v>
      </c>
      <c r="H527" t="s">
        <v>80</v>
      </c>
      <c r="I527" t="s">
        <v>81</v>
      </c>
      <c r="J527" t="s">
        <v>82</v>
      </c>
      <c r="K527" t="s">
        <v>83</v>
      </c>
      <c r="L527">
        <v>218348</v>
      </c>
      <c r="M527">
        <v>954693</v>
      </c>
      <c r="N527">
        <v>6</v>
      </c>
      <c r="O527">
        <f t="shared" si="176"/>
        <v>3.2085561497326207E-2</v>
      </c>
      <c r="P527">
        <v>60</v>
      </c>
      <c r="Q527">
        <f t="shared" si="177"/>
        <v>3.2085561497326207E-2</v>
      </c>
      <c r="R527">
        <v>0.05</v>
      </c>
      <c r="S527">
        <f t="shared" si="184"/>
        <v>0.5</v>
      </c>
      <c r="T527">
        <f t="shared" si="178"/>
        <v>3.8343558282208597E-3</v>
      </c>
      <c r="U527">
        <f t="shared" si="179"/>
        <v>-0.11035344858694754</v>
      </c>
      <c r="V527">
        <f t="shared" si="180"/>
        <v>1.5599999999999999E-2</v>
      </c>
      <c r="W527">
        <v>0.1</v>
      </c>
      <c r="X527">
        <f t="shared" si="181"/>
        <v>0.15599999999999997</v>
      </c>
      <c r="Y527">
        <v>2</v>
      </c>
      <c r="Z527">
        <v>2</v>
      </c>
      <c r="AA527" t="s">
        <v>50</v>
      </c>
      <c r="AB527">
        <f t="shared" si="182"/>
        <v>21.908902300206641</v>
      </c>
      <c r="AC527">
        <f t="shared" si="185"/>
        <v>87.635609200826565</v>
      </c>
      <c r="AE527">
        <v>2.5</v>
      </c>
      <c r="AF527">
        <v>2</v>
      </c>
      <c r="AG527">
        <v>2.5</v>
      </c>
      <c r="AH527">
        <f t="shared" si="183"/>
        <v>20.685943247792956</v>
      </c>
      <c r="AI527">
        <f t="shared" si="186"/>
        <v>105.91202942869994</v>
      </c>
    </row>
    <row r="528" spans="1:35" x14ac:dyDescent="0.3">
      <c r="A528">
        <v>2022</v>
      </c>
      <c r="B528" t="s">
        <v>18</v>
      </c>
      <c r="C528" t="s">
        <v>19</v>
      </c>
      <c r="D528" t="s">
        <v>20</v>
      </c>
      <c r="E528" t="s">
        <v>21</v>
      </c>
      <c r="F528">
        <v>44</v>
      </c>
      <c r="G528" t="s">
        <v>452</v>
      </c>
      <c r="H528" t="s">
        <v>453</v>
      </c>
      <c r="I528" t="s">
        <v>454</v>
      </c>
      <c r="J528" t="s">
        <v>455</v>
      </c>
      <c r="K528" t="s">
        <v>456</v>
      </c>
      <c r="L528">
        <v>217893</v>
      </c>
      <c r="M528">
        <v>139106</v>
      </c>
      <c r="N528">
        <v>1</v>
      </c>
      <c r="O528">
        <f t="shared" si="176"/>
        <v>5.3475935828877002E-3</v>
      </c>
      <c r="P528">
        <v>10</v>
      </c>
      <c r="Q528">
        <f t="shared" si="177"/>
        <v>5.3475935828877002E-3</v>
      </c>
      <c r="R528">
        <v>0.01</v>
      </c>
      <c r="S528">
        <f t="shared" si="184"/>
        <v>0.1</v>
      </c>
      <c r="T528">
        <f t="shared" si="178"/>
        <v>7.6687116564417191E-4</v>
      </c>
      <c r="U528">
        <f t="shared" si="179"/>
        <v>-2.7973842870880141E-2</v>
      </c>
      <c r="V528">
        <f t="shared" si="180"/>
        <v>1.5599999999999999E-2</v>
      </c>
      <c r="W528">
        <v>0.1</v>
      </c>
      <c r="X528">
        <f t="shared" si="181"/>
        <v>0.15599999999999997</v>
      </c>
      <c r="Y528">
        <v>2</v>
      </c>
      <c r="Z528">
        <v>2</v>
      </c>
      <c r="AA528" t="s">
        <v>50</v>
      </c>
      <c r="AB528">
        <f t="shared" si="182"/>
        <v>4</v>
      </c>
      <c r="AC528">
        <f t="shared" si="185"/>
        <v>16</v>
      </c>
      <c r="AE528">
        <v>2.5</v>
      </c>
      <c r="AF528">
        <v>4</v>
      </c>
      <c r="AG528">
        <v>3</v>
      </c>
      <c r="AH528">
        <f t="shared" si="183"/>
        <v>9.4868329805051399</v>
      </c>
      <c r="AI528">
        <f t="shared" si="186"/>
        <v>20.238577025077632</v>
      </c>
    </row>
    <row r="529" spans="1:35" x14ac:dyDescent="0.3">
      <c r="A529">
        <v>2022</v>
      </c>
      <c r="B529" t="s">
        <v>18</v>
      </c>
      <c r="C529" t="s">
        <v>19</v>
      </c>
      <c r="D529" t="s">
        <v>20</v>
      </c>
      <c r="E529" t="s">
        <v>21</v>
      </c>
      <c r="F529">
        <v>44</v>
      </c>
      <c r="G529" t="s">
        <v>79</v>
      </c>
      <c r="H529" t="s">
        <v>113</v>
      </c>
      <c r="I529" t="s">
        <v>459</v>
      </c>
      <c r="J529" t="s">
        <v>460</v>
      </c>
      <c r="K529" t="s">
        <v>461</v>
      </c>
      <c r="L529">
        <v>218263</v>
      </c>
      <c r="M529">
        <v>1417307</v>
      </c>
      <c r="N529">
        <v>1</v>
      </c>
      <c r="O529">
        <f t="shared" si="176"/>
        <v>5.3475935828877002E-3</v>
      </c>
      <c r="P529">
        <v>10</v>
      </c>
      <c r="Q529">
        <f t="shared" si="177"/>
        <v>5.3475935828877002E-3</v>
      </c>
      <c r="R529">
        <v>0.04</v>
      </c>
      <c r="S529">
        <f t="shared" si="184"/>
        <v>0.4</v>
      </c>
      <c r="T529">
        <f t="shared" si="178"/>
        <v>3.0674846625766876E-3</v>
      </c>
      <c r="U529">
        <f t="shared" si="179"/>
        <v>-2.7973842870880141E-2</v>
      </c>
      <c r="V529">
        <f t="shared" si="180"/>
        <v>1.5599999999999999E-2</v>
      </c>
      <c r="W529">
        <v>0.1</v>
      </c>
      <c r="X529">
        <f t="shared" si="181"/>
        <v>0.15599999999999997</v>
      </c>
      <c r="Y529">
        <v>2</v>
      </c>
      <c r="Z529">
        <v>2</v>
      </c>
      <c r="AA529" t="s">
        <v>50</v>
      </c>
      <c r="AB529">
        <f t="shared" si="182"/>
        <v>8</v>
      </c>
      <c r="AC529">
        <f t="shared" si="185"/>
        <v>32</v>
      </c>
      <c r="AE529">
        <v>2.5</v>
      </c>
      <c r="AF529">
        <v>1</v>
      </c>
      <c r="AG529">
        <v>2</v>
      </c>
      <c r="AH529">
        <f t="shared" si="183"/>
        <v>4.4721359549995814</v>
      </c>
      <c r="AI529">
        <f t="shared" si="186"/>
        <v>57.243340223994636</v>
      </c>
    </row>
    <row r="530" spans="1:35" x14ac:dyDescent="0.3">
      <c r="A530">
        <v>2022</v>
      </c>
      <c r="B530" t="s">
        <v>18</v>
      </c>
      <c r="C530" t="s">
        <v>19</v>
      </c>
      <c r="D530" t="s">
        <v>20</v>
      </c>
      <c r="E530" t="s">
        <v>21</v>
      </c>
      <c r="F530">
        <v>44</v>
      </c>
      <c r="G530" t="s">
        <v>22</v>
      </c>
      <c r="H530" t="s">
        <v>56</v>
      </c>
      <c r="I530" t="s">
        <v>132</v>
      </c>
      <c r="J530" t="s">
        <v>175</v>
      </c>
      <c r="K530" t="s">
        <v>176</v>
      </c>
      <c r="L530">
        <v>227433</v>
      </c>
      <c r="M530">
        <v>152269</v>
      </c>
      <c r="N530">
        <v>2</v>
      </c>
      <c r="O530">
        <f t="shared" si="176"/>
        <v>1.06951871657754E-2</v>
      </c>
      <c r="P530">
        <v>20</v>
      </c>
      <c r="Q530">
        <f t="shared" si="177"/>
        <v>1.06951871657754E-2</v>
      </c>
      <c r="R530">
        <v>5.0000000000000001E-3</v>
      </c>
      <c r="S530">
        <f t="shared" si="184"/>
        <v>0.05</v>
      </c>
      <c r="T530">
        <f t="shared" si="178"/>
        <v>3.8343558282208595E-4</v>
      </c>
      <c r="U530">
        <f t="shared" si="179"/>
        <v>-4.8534346912242149E-2</v>
      </c>
      <c r="V530">
        <f t="shared" si="180"/>
        <v>1.5599999999999999E-2</v>
      </c>
      <c r="W530">
        <v>0.1</v>
      </c>
      <c r="X530">
        <f t="shared" si="181"/>
        <v>0.15599999999999997</v>
      </c>
      <c r="Y530">
        <v>2</v>
      </c>
      <c r="Z530">
        <v>2</v>
      </c>
      <c r="AA530" t="s">
        <v>50</v>
      </c>
      <c r="AB530">
        <f t="shared" si="182"/>
        <v>4</v>
      </c>
      <c r="AC530">
        <f t="shared" si="185"/>
        <v>16</v>
      </c>
      <c r="AE530">
        <v>2.5</v>
      </c>
      <c r="AF530">
        <v>2.2000000000000002</v>
      </c>
      <c r="AG530">
        <v>2</v>
      </c>
      <c r="AH530">
        <f t="shared" si="183"/>
        <v>2.459674775249769</v>
      </c>
      <c r="AI530">
        <f t="shared" si="186"/>
        <v>14.310835055998654</v>
      </c>
    </row>
    <row r="531" spans="1:35" x14ac:dyDescent="0.3">
      <c r="A531">
        <v>2022</v>
      </c>
      <c r="B531" t="s">
        <v>18</v>
      </c>
      <c r="C531" t="s">
        <v>19</v>
      </c>
      <c r="D531" t="s">
        <v>20</v>
      </c>
      <c r="E531" t="s">
        <v>21</v>
      </c>
      <c r="F531">
        <v>44</v>
      </c>
      <c r="G531" t="s">
        <v>79</v>
      </c>
      <c r="H531" t="s">
        <v>245</v>
      </c>
      <c r="I531" t="s">
        <v>246</v>
      </c>
      <c r="J531" t="s">
        <v>247</v>
      </c>
      <c r="K531" t="s">
        <v>248</v>
      </c>
      <c r="L531">
        <v>218231</v>
      </c>
      <c r="M531">
        <v>140589</v>
      </c>
      <c r="N531">
        <v>1</v>
      </c>
      <c r="O531">
        <f t="shared" si="176"/>
        <v>5.3475935828877002E-3</v>
      </c>
      <c r="P531">
        <v>10</v>
      </c>
      <c r="Q531">
        <f t="shared" si="177"/>
        <v>5.3475935828877002E-3</v>
      </c>
      <c r="R531">
        <v>5.0000000000000001E-3</v>
      </c>
      <c r="S531">
        <f t="shared" si="184"/>
        <v>0.05</v>
      </c>
      <c r="T531">
        <f t="shared" si="178"/>
        <v>3.8343558282208595E-4</v>
      </c>
      <c r="U531">
        <f t="shared" si="179"/>
        <v>-2.7973842870880141E-2</v>
      </c>
      <c r="V531">
        <f t="shared" si="180"/>
        <v>1.5599999999999999E-2</v>
      </c>
      <c r="W531">
        <v>0.1</v>
      </c>
      <c r="X531">
        <f t="shared" si="181"/>
        <v>0.15599999999999997</v>
      </c>
      <c r="Y531">
        <v>2</v>
      </c>
      <c r="Z531">
        <v>3</v>
      </c>
      <c r="AA531" t="s">
        <v>50</v>
      </c>
      <c r="AB531">
        <f t="shared" si="182"/>
        <v>4.2426406871192848</v>
      </c>
      <c r="AC531">
        <f t="shared" si="185"/>
        <v>11.313708498984759</v>
      </c>
      <c r="AE531">
        <v>3</v>
      </c>
      <c r="AF531">
        <v>3</v>
      </c>
      <c r="AG531">
        <v>1</v>
      </c>
      <c r="AH531">
        <f t="shared" si="183"/>
        <v>1.6922713918888781</v>
      </c>
      <c r="AI531">
        <f t="shared" si="186"/>
        <v>12.033929897876465</v>
      </c>
    </row>
    <row r="532" spans="1:35" x14ac:dyDescent="0.3">
      <c r="A532">
        <v>2022</v>
      </c>
      <c r="B532" t="s">
        <v>18</v>
      </c>
      <c r="C532" t="s">
        <v>19</v>
      </c>
      <c r="D532" t="s">
        <v>20</v>
      </c>
      <c r="E532" t="s">
        <v>21</v>
      </c>
      <c r="F532">
        <v>44</v>
      </c>
      <c r="G532" t="s">
        <v>22</v>
      </c>
      <c r="I532" t="s">
        <v>148</v>
      </c>
      <c r="J532" t="s">
        <v>149</v>
      </c>
      <c r="K532" t="s">
        <v>150</v>
      </c>
      <c r="L532">
        <v>227872</v>
      </c>
      <c r="M532">
        <v>130578</v>
      </c>
      <c r="N532">
        <v>2</v>
      </c>
      <c r="O532">
        <f t="shared" si="176"/>
        <v>1.06951871657754E-2</v>
      </c>
      <c r="P532">
        <v>20</v>
      </c>
      <c r="Q532">
        <f t="shared" si="177"/>
        <v>1.06951871657754E-2</v>
      </c>
      <c r="R532">
        <v>5.0000000000000001E-3</v>
      </c>
      <c r="S532">
        <f t="shared" si="184"/>
        <v>0.05</v>
      </c>
      <c r="T532">
        <f t="shared" si="178"/>
        <v>3.8343558282208595E-4</v>
      </c>
      <c r="U532">
        <f t="shared" si="179"/>
        <v>-4.8534346912242149E-2</v>
      </c>
      <c r="V532">
        <f t="shared" si="180"/>
        <v>1.5599999999999999E-2</v>
      </c>
      <c r="W532">
        <v>0.1</v>
      </c>
      <c r="X532">
        <f t="shared" si="181"/>
        <v>0.15599999999999997</v>
      </c>
      <c r="Y532">
        <v>2</v>
      </c>
      <c r="Z532">
        <v>3</v>
      </c>
      <c r="AA532" t="s">
        <v>50</v>
      </c>
      <c r="AB532">
        <f t="shared" si="182"/>
        <v>6</v>
      </c>
      <c r="AC532">
        <f t="shared" si="185"/>
        <v>16</v>
      </c>
      <c r="AE532">
        <v>1</v>
      </c>
      <c r="AF532">
        <v>3.25</v>
      </c>
      <c r="AG532">
        <v>2</v>
      </c>
      <c r="AH532">
        <f t="shared" si="183"/>
        <v>1.4534441853748632</v>
      </c>
      <c r="AI532">
        <f t="shared" si="186"/>
        <v>14.310835055998654</v>
      </c>
    </row>
    <row r="533" spans="1:35" x14ac:dyDescent="0.3">
      <c r="A533">
        <v>2022</v>
      </c>
      <c r="B533" t="s">
        <v>18</v>
      </c>
      <c r="C533" t="s">
        <v>19</v>
      </c>
      <c r="D533" t="s">
        <v>20</v>
      </c>
      <c r="E533" t="s">
        <v>21</v>
      </c>
      <c r="F533">
        <v>44</v>
      </c>
      <c r="G533" t="s">
        <v>51</v>
      </c>
      <c r="H533" t="s">
        <v>52</v>
      </c>
      <c r="I533" t="s">
        <v>193</v>
      </c>
      <c r="J533" t="s">
        <v>194</v>
      </c>
      <c r="K533" t="s">
        <v>195</v>
      </c>
      <c r="L533" t="s">
        <v>112</v>
      </c>
      <c r="M533">
        <v>110618</v>
      </c>
      <c r="N533">
        <v>1</v>
      </c>
      <c r="O533">
        <f t="shared" si="176"/>
        <v>5.3475935828877002E-3</v>
      </c>
      <c r="P533">
        <v>10</v>
      </c>
      <c r="Q533">
        <f t="shared" si="177"/>
        <v>5.3475935828877002E-3</v>
      </c>
      <c r="R533">
        <v>0.01</v>
      </c>
      <c r="S533">
        <f t="shared" si="184"/>
        <v>0.1</v>
      </c>
      <c r="T533">
        <f t="shared" si="178"/>
        <v>7.6687116564417191E-4</v>
      </c>
      <c r="U533">
        <f t="shared" si="179"/>
        <v>-2.7973842870880141E-2</v>
      </c>
      <c r="V533">
        <f t="shared" si="180"/>
        <v>1.5599999999999999E-2</v>
      </c>
      <c r="W533">
        <v>0.1</v>
      </c>
      <c r="X533">
        <f t="shared" si="181"/>
        <v>0.15599999999999997</v>
      </c>
      <c r="Y533">
        <v>2</v>
      </c>
      <c r="Z533">
        <v>3</v>
      </c>
      <c r="AA533" t="s">
        <v>50</v>
      </c>
      <c r="AB533">
        <f t="shared" si="182"/>
        <v>6</v>
      </c>
      <c r="AC533">
        <f t="shared" si="185"/>
        <v>16</v>
      </c>
      <c r="AE533">
        <v>1</v>
      </c>
      <c r="AF533">
        <v>2.67</v>
      </c>
      <c r="AG533">
        <v>1.5</v>
      </c>
      <c r="AH533">
        <f t="shared" si="183"/>
        <v>1.2664922028974361</v>
      </c>
      <c r="AI533">
        <f t="shared" si="186"/>
        <v>20.238577025077632</v>
      </c>
    </row>
    <row r="534" spans="1:35" x14ac:dyDescent="0.3">
      <c r="A534">
        <v>2022</v>
      </c>
      <c r="B534" t="s">
        <v>18</v>
      </c>
      <c r="C534" t="s">
        <v>19</v>
      </c>
      <c r="D534" t="s">
        <v>20</v>
      </c>
      <c r="E534" t="s">
        <v>21</v>
      </c>
      <c r="F534">
        <v>44</v>
      </c>
      <c r="G534" t="s">
        <v>51</v>
      </c>
      <c r="H534" t="s">
        <v>52</v>
      </c>
      <c r="I534" t="s">
        <v>53</v>
      </c>
      <c r="J534" t="s">
        <v>54</v>
      </c>
      <c r="K534" t="s">
        <v>457</v>
      </c>
      <c r="L534">
        <v>233415</v>
      </c>
      <c r="M534">
        <v>110474</v>
      </c>
      <c r="N534">
        <v>1</v>
      </c>
      <c r="O534">
        <f t="shared" si="176"/>
        <v>5.3475935828877002E-3</v>
      </c>
      <c r="P534">
        <v>10</v>
      </c>
      <c r="Q534">
        <f t="shared" si="177"/>
        <v>5.3475935828877002E-3</v>
      </c>
      <c r="R534">
        <v>5.0000000000000001E-3</v>
      </c>
      <c r="S534">
        <f t="shared" si="184"/>
        <v>0.05</v>
      </c>
      <c r="T534">
        <f t="shared" si="178"/>
        <v>3.8343558282208595E-4</v>
      </c>
      <c r="U534">
        <f t="shared" si="179"/>
        <v>-2.7973842870880141E-2</v>
      </c>
      <c r="V534">
        <f t="shared" si="180"/>
        <v>1.5599999999999999E-2</v>
      </c>
      <c r="W534">
        <v>0.1</v>
      </c>
      <c r="X534">
        <f t="shared" si="181"/>
        <v>0.15599999999999997</v>
      </c>
      <c r="Y534">
        <v>2</v>
      </c>
      <c r="Z534">
        <v>3</v>
      </c>
      <c r="AA534" t="s">
        <v>50</v>
      </c>
      <c r="AB534">
        <f t="shared" si="182"/>
        <v>4.2426406871192848</v>
      </c>
      <c r="AC534">
        <f t="shared" si="185"/>
        <v>11.313708498984759</v>
      </c>
      <c r="AE534">
        <v>3</v>
      </c>
      <c r="AF534">
        <v>2</v>
      </c>
      <c r="AG534">
        <v>1</v>
      </c>
      <c r="AH534">
        <f t="shared" si="183"/>
        <v>1.1281809279259187</v>
      </c>
      <c r="AI534">
        <f t="shared" si="186"/>
        <v>12.033929897876465</v>
      </c>
    </row>
    <row r="535" spans="1:35" x14ac:dyDescent="0.3">
      <c r="A535">
        <v>2022</v>
      </c>
      <c r="B535" t="s">
        <v>18</v>
      </c>
      <c r="C535" t="s">
        <v>19</v>
      </c>
      <c r="D535" t="s">
        <v>20</v>
      </c>
      <c r="E535" t="s">
        <v>21</v>
      </c>
      <c r="F535">
        <v>44</v>
      </c>
      <c r="G535" t="s">
        <v>22</v>
      </c>
      <c r="H535" t="s">
        <v>67</v>
      </c>
      <c r="I535" t="s">
        <v>84</v>
      </c>
      <c r="J535" t="s">
        <v>85</v>
      </c>
      <c r="K535" t="s">
        <v>199</v>
      </c>
      <c r="L535">
        <v>227130</v>
      </c>
      <c r="M535">
        <v>130599</v>
      </c>
      <c r="N535">
        <v>3</v>
      </c>
      <c r="O535">
        <f t="shared" si="176"/>
        <v>1.6042780748663103E-2</v>
      </c>
      <c r="P535">
        <v>30</v>
      </c>
      <c r="Q535">
        <f t="shared" si="177"/>
        <v>1.6042780748663103E-2</v>
      </c>
      <c r="R535">
        <v>0.01</v>
      </c>
      <c r="S535">
        <f t="shared" si="184"/>
        <v>0.1</v>
      </c>
      <c r="T535">
        <f t="shared" si="178"/>
        <v>7.6687116564417191E-4</v>
      </c>
      <c r="U535">
        <f t="shared" si="179"/>
        <v>-6.6296732537750966E-2</v>
      </c>
      <c r="V535">
        <f t="shared" si="180"/>
        <v>1.5599999999999999E-2</v>
      </c>
      <c r="W535">
        <v>0.1</v>
      </c>
      <c r="X535">
        <f t="shared" si="181"/>
        <v>0.15599999999999997</v>
      </c>
      <c r="Y535">
        <v>2</v>
      </c>
      <c r="Z535">
        <v>2</v>
      </c>
      <c r="AA535" t="s">
        <v>50</v>
      </c>
      <c r="AB535">
        <f t="shared" si="182"/>
        <v>6.9282032302755097</v>
      </c>
      <c r="AC535">
        <f t="shared" si="185"/>
        <v>27.712812921102039</v>
      </c>
      <c r="AE535">
        <v>1</v>
      </c>
      <c r="AF535">
        <v>2</v>
      </c>
      <c r="AG535">
        <v>1</v>
      </c>
      <c r="AH535">
        <f t="shared" si="183"/>
        <v>0.83235829005756345</v>
      </c>
      <c r="AI535">
        <f t="shared" si="186"/>
        <v>26.635465281842031</v>
      </c>
    </row>
    <row r="536" spans="1:35" x14ac:dyDescent="0.3">
      <c r="A536">
        <v>2022</v>
      </c>
      <c r="B536" t="s">
        <v>18</v>
      </c>
      <c r="C536" t="s">
        <v>19</v>
      </c>
      <c r="D536" t="s">
        <v>20</v>
      </c>
      <c r="E536" t="s">
        <v>21</v>
      </c>
      <c r="F536">
        <v>44</v>
      </c>
      <c r="G536" t="s">
        <v>22</v>
      </c>
      <c r="H536" t="s">
        <v>67</v>
      </c>
      <c r="I536" t="s">
        <v>84</v>
      </c>
      <c r="J536" t="s">
        <v>85</v>
      </c>
      <c r="K536" t="s">
        <v>86</v>
      </c>
      <c r="L536">
        <v>227135</v>
      </c>
      <c r="M536">
        <v>130604</v>
      </c>
      <c r="N536">
        <v>1</v>
      </c>
      <c r="O536">
        <f t="shared" si="176"/>
        <v>5.3475935828877002E-3</v>
      </c>
      <c r="P536">
        <v>10</v>
      </c>
      <c r="Q536">
        <f t="shared" si="177"/>
        <v>5.3475935828877002E-3</v>
      </c>
      <c r="R536">
        <v>0.01</v>
      </c>
      <c r="S536">
        <f t="shared" si="184"/>
        <v>0.1</v>
      </c>
      <c r="T536">
        <f t="shared" si="178"/>
        <v>7.6687116564417191E-4</v>
      </c>
      <c r="U536">
        <f t="shared" si="179"/>
        <v>-2.7973842870880141E-2</v>
      </c>
      <c r="V536">
        <f t="shared" si="180"/>
        <v>1.5599999999999999E-2</v>
      </c>
      <c r="W536">
        <v>0.1</v>
      </c>
      <c r="X536">
        <f t="shared" si="181"/>
        <v>0.15599999999999997</v>
      </c>
      <c r="Y536">
        <v>2</v>
      </c>
      <c r="Z536">
        <v>2</v>
      </c>
      <c r="AA536" t="s">
        <v>50</v>
      </c>
      <c r="AB536">
        <f t="shared" si="182"/>
        <v>4</v>
      </c>
      <c r="AC536">
        <f t="shared" si="185"/>
        <v>16</v>
      </c>
      <c r="AE536">
        <v>1</v>
      </c>
      <c r="AF536">
        <v>2</v>
      </c>
      <c r="AG536">
        <v>1</v>
      </c>
      <c r="AH536">
        <f t="shared" si="183"/>
        <v>0.63245553203367599</v>
      </c>
      <c r="AI536">
        <f t="shared" si="186"/>
        <v>20.238577025077632</v>
      </c>
    </row>
    <row r="537" spans="1:35" x14ac:dyDescent="0.3">
      <c r="A537">
        <v>2022</v>
      </c>
      <c r="B537" t="s">
        <v>18</v>
      </c>
      <c r="C537" t="s">
        <v>19</v>
      </c>
      <c r="D537" t="s">
        <v>20</v>
      </c>
      <c r="E537" t="s">
        <v>21</v>
      </c>
      <c r="F537">
        <v>44</v>
      </c>
      <c r="G537" t="s">
        <v>45</v>
      </c>
      <c r="H537" t="s">
        <v>71</v>
      </c>
      <c r="I537" t="s">
        <v>72</v>
      </c>
      <c r="J537" t="s">
        <v>73</v>
      </c>
      <c r="K537" t="s">
        <v>74</v>
      </c>
      <c r="L537">
        <v>217978</v>
      </c>
      <c r="M537">
        <v>140129</v>
      </c>
      <c r="N537">
        <v>1</v>
      </c>
      <c r="O537">
        <f t="shared" si="176"/>
        <v>5.3475935828877002E-3</v>
      </c>
      <c r="P537">
        <v>10</v>
      </c>
      <c r="Q537">
        <f t="shared" si="177"/>
        <v>5.3475935828877002E-3</v>
      </c>
      <c r="R537">
        <v>5.0000000000000001E-3</v>
      </c>
      <c r="S537">
        <f t="shared" si="184"/>
        <v>0.05</v>
      </c>
      <c r="T537">
        <f t="shared" si="178"/>
        <v>3.8343558282208595E-4</v>
      </c>
      <c r="U537">
        <f t="shared" si="179"/>
        <v>-2.7973842870880141E-2</v>
      </c>
      <c r="V537">
        <f t="shared" si="180"/>
        <v>1.5599999999999999E-2</v>
      </c>
      <c r="W537">
        <v>0.1</v>
      </c>
      <c r="X537">
        <f t="shared" si="181"/>
        <v>0.15599999999999997</v>
      </c>
      <c r="Y537">
        <v>2</v>
      </c>
      <c r="Z537">
        <v>3</v>
      </c>
      <c r="AA537" t="s">
        <v>50</v>
      </c>
      <c r="AB537">
        <f t="shared" si="182"/>
        <v>4.2426406871192848</v>
      </c>
      <c r="AC537">
        <f t="shared" si="185"/>
        <v>11.313708498984759</v>
      </c>
      <c r="AE537">
        <v>1</v>
      </c>
      <c r="AF537">
        <v>3</v>
      </c>
      <c r="AG537">
        <v>1</v>
      </c>
      <c r="AH537">
        <f t="shared" si="183"/>
        <v>0.56409046396295937</v>
      </c>
      <c r="AI537">
        <f t="shared" si="186"/>
        <v>12.033929897876465</v>
      </c>
    </row>
    <row r="538" spans="1:35" x14ac:dyDescent="0.3">
      <c r="A538">
        <v>2022</v>
      </c>
      <c r="B538" t="s">
        <v>18</v>
      </c>
      <c r="C538" t="s">
        <v>19</v>
      </c>
      <c r="D538" t="s">
        <v>20</v>
      </c>
      <c r="E538" t="s">
        <v>21</v>
      </c>
      <c r="F538">
        <v>44</v>
      </c>
      <c r="G538" t="s">
        <v>22</v>
      </c>
      <c r="I538" t="s">
        <v>102</v>
      </c>
      <c r="J538" t="s">
        <v>103</v>
      </c>
      <c r="K538" t="s">
        <v>104</v>
      </c>
      <c r="L538">
        <v>227806</v>
      </c>
      <c r="M538">
        <v>130331</v>
      </c>
      <c r="N538">
        <v>5</v>
      </c>
      <c r="O538">
        <f t="shared" si="176"/>
        <v>2.6737967914438502E-2</v>
      </c>
      <c r="P538">
        <v>50</v>
      </c>
      <c r="Q538">
        <f t="shared" si="177"/>
        <v>2.6737967914438502E-2</v>
      </c>
      <c r="R538">
        <v>0.99</v>
      </c>
      <c r="S538">
        <f t="shared" si="184"/>
        <v>9.9</v>
      </c>
      <c r="T538">
        <f t="shared" si="178"/>
        <v>7.5920245398773026E-2</v>
      </c>
      <c r="U538">
        <f t="shared" si="179"/>
        <v>-9.6836115091456856E-2</v>
      </c>
      <c r="V538">
        <f t="shared" si="180"/>
        <v>1.5599999999999999E-2</v>
      </c>
      <c r="W538">
        <v>0.1</v>
      </c>
      <c r="X538">
        <f t="shared" si="181"/>
        <v>0.15599999999999997</v>
      </c>
      <c r="Y538">
        <v>3</v>
      </c>
      <c r="Z538">
        <v>1</v>
      </c>
      <c r="AA538" t="s">
        <v>60</v>
      </c>
      <c r="AB538">
        <f t="shared" si="182"/>
        <v>66.745786383860974</v>
      </c>
      <c r="AC538">
        <f t="shared" si="185"/>
        <v>355.97752738059182</v>
      </c>
      <c r="AE538">
        <v>3</v>
      </c>
      <c r="AF538">
        <v>4</v>
      </c>
      <c r="AG538">
        <v>2.71</v>
      </c>
      <c r="AH538">
        <f t="shared" si="183"/>
        <v>482.63568992799333</v>
      </c>
      <c r="AI538">
        <f t="shared" si="186"/>
        <v>949.83653614365232</v>
      </c>
    </row>
    <row r="539" spans="1:35" x14ac:dyDescent="0.3">
      <c r="A539">
        <v>2022</v>
      </c>
      <c r="B539" t="s">
        <v>18</v>
      </c>
      <c r="C539" t="s">
        <v>19</v>
      </c>
      <c r="D539" t="s">
        <v>20</v>
      </c>
      <c r="E539" t="s">
        <v>21</v>
      </c>
      <c r="F539">
        <v>44</v>
      </c>
      <c r="G539" t="s">
        <v>22</v>
      </c>
      <c r="I539" t="s">
        <v>145</v>
      </c>
      <c r="J539" t="s">
        <v>227</v>
      </c>
      <c r="K539" t="s">
        <v>228</v>
      </c>
      <c r="L539">
        <v>227760</v>
      </c>
      <c r="M539">
        <v>129898</v>
      </c>
      <c r="N539">
        <v>3</v>
      </c>
      <c r="O539">
        <f t="shared" si="176"/>
        <v>1.6042780748663103E-2</v>
      </c>
      <c r="P539">
        <v>30</v>
      </c>
      <c r="Q539">
        <f t="shared" si="177"/>
        <v>1.6042780748663103E-2</v>
      </c>
      <c r="R539">
        <v>0.6</v>
      </c>
      <c r="S539">
        <f t="shared" si="184"/>
        <v>6</v>
      </c>
      <c r="T539">
        <f t="shared" si="178"/>
        <v>4.6012269938650312E-2</v>
      </c>
      <c r="U539">
        <f t="shared" si="179"/>
        <v>-6.6296732537750966E-2</v>
      </c>
      <c r="V539">
        <f t="shared" si="180"/>
        <v>1.5599999999999999E-2</v>
      </c>
      <c r="W539">
        <v>0.1</v>
      </c>
      <c r="X539">
        <f t="shared" si="181"/>
        <v>0.15599999999999997</v>
      </c>
      <c r="Y539">
        <v>3</v>
      </c>
      <c r="Z539">
        <v>2</v>
      </c>
      <c r="AA539" t="s">
        <v>60</v>
      </c>
      <c r="AB539">
        <f t="shared" si="182"/>
        <v>80.498447189992419</v>
      </c>
      <c r="AC539">
        <f t="shared" si="185"/>
        <v>214.66252583997979</v>
      </c>
      <c r="AE539">
        <v>3</v>
      </c>
      <c r="AF539">
        <v>3</v>
      </c>
      <c r="AG539">
        <v>4</v>
      </c>
      <c r="AH539">
        <f t="shared" si="183"/>
        <v>322.99533674378364</v>
      </c>
      <c r="AI539">
        <f t="shared" si="186"/>
        <v>574.21393198894873</v>
      </c>
    </row>
    <row r="540" spans="1:35" x14ac:dyDescent="0.3">
      <c r="A540">
        <v>2022</v>
      </c>
      <c r="B540" t="s">
        <v>18</v>
      </c>
      <c r="C540" t="s">
        <v>19</v>
      </c>
      <c r="D540" t="s">
        <v>20</v>
      </c>
      <c r="E540" t="s">
        <v>21</v>
      </c>
      <c r="F540">
        <v>44</v>
      </c>
      <c r="G540" t="s">
        <v>22</v>
      </c>
      <c r="I540" t="s">
        <v>145</v>
      </c>
      <c r="J540" t="s">
        <v>146</v>
      </c>
      <c r="K540" t="s">
        <v>147</v>
      </c>
      <c r="L540">
        <v>227757</v>
      </c>
      <c r="M540">
        <v>129884</v>
      </c>
      <c r="N540">
        <v>1</v>
      </c>
      <c r="O540">
        <f t="shared" si="176"/>
        <v>5.3475935828877002E-3</v>
      </c>
      <c r="P540">
        <v>10</v>
      </c>
      <c r="Q540">
        <f t="shared" si="177"/>
        <v>5.3475935828877002E-3</v>
      </c>
      <c r="R540">
        <v>5.0000000000000001E-3</v>
      </c>
      <c r="S540">
        <f t="shared" si="184"/>
        <v>0.05</v>
      </c>
      <c r="T540">
        <f t="shared" si="178"/>
        <v>3.8343558282208595E-4</v>
      </c>
      <c r="U540">
        <f t="shared" si="179"/>
        <v>-2.7973842870880141E-2</v>
      </c>
      <c r="V540">
        <f t="shared" si="180"/>
        <v>1.5599999999999999E-2</v>
      </c>
      <c r="W540">
        <v>0.1</v>
      </c>
      <c r="X540">
        <f t="shared" si="181"/>
        <v>0.15599999999999997</v>
      </c>
      <c r="Y540">
        <v>3</v>
      </c>
      <c r="Z540">
        <v>2</v>
      </c>
      <c r="AA540" t="s">
        <v>60</v>
      </c>
      <c r="AB540">
        <f t="shared" si="182"/>
        <v>4.2426406871192848</v>
      </c>
      <c r="AC540">
        <f t="shared" si="185"/>
        <v>11.313708498984759</v>
      </c>
      <c r="AE540">
        <v>2.88</v>
      </c>
      <c r="AF540">
        <v>4</v>
      </c>
      <c r="AG540">
        <v>2</v>
      </c>
      <c r="AH540">
        <f t="shared" si="183"/>
        <v>4.3322147632355277</v>
      </c>
      <c r="AI540">
        <f t="shared" si="186"/>
        <v>12.033929897876465</v>
      </c>
    </row>
    <row r="541" spans="1:35" x14ac:dyDescent="0.3">
      <c r="A541">
        <v>2022</v>
      </c>
      <c r="B541" t="s">
        <v>18</v>
      </c>
      <c r="C541" t="s">
        <v>19</v>
      </c>
      <c r="D541" t="s">
        <v>20</v>
      </c>
      <c r="E541" t="s">
        <v>21</v>
      </c>
      <c r="F541">
        <v>44</v>
      </c>
      <c r="G541" t="s">
        <v>22</v>
      </c>
      <c r="H541" t="s">
        <v>96</v>
      </c>
      <c r="I541" t="s">
        <v>97</v>
      </c>
      <c r="J541" t="s">
        <v>110</v>
      </c>
      <c r="K541" t="s">
        <v>111</v>
      </c>
      <c r="L541" t="s">
        <v>112</v>
      </c>
      <c r="M541">
        <v>157576</v>
      </c>
      <c r="N541">
        <v>5</v>
      </c>
      <c r="O541">
        <f t="shared" si="176"/>
        <v>2.6737967914438502E-2</v>
      </c>
      <c r="P541">
        <v>50</v>
      </c>
      <c r="Q541">
        <f t="shared" si="177"/>
        <v>2.6737967914438502E-2</v>
      </c>
      <c r="R541">
        <v>0.02</v>
      </c>
      <c r="S541">
        <f t="shared" si="184"/>
        <v>0.2</v>
      </c>
      <c r="T541">
        <f t="shared" si="178"/>
        <v>1.5337423312883438E-3</v>
      </c>
      <c r="U541">
        <f t="shared" si="179"/>
        <v>-9.6836115091456856E-2</v>
      </c>
      <c r="V541">
        <f t="shared" si="180"/>
        <v>1.5599999999999999E-2</v>
      </c>
      <c r="W541">
        <v>0.1</v>
      </c>
      <c r="X541">
        <f t="shared" si="181"/>
        <v>0.15599999999999997</v>
      </c>
      <c r="Y541">
        <v>3</v>
      </c>
      <c r="Z541">
        <v>1</v>
      </c>
      <c r="AA541" t="s">
        <v>100</v>
      </c>
      <c r="AB541">
        <f t="shared" si="182"/>
        <v>9.4868329805051381</v>
      </c>
      <c r="AC541">
        <f t="shared" si="185"/>
        <v>50.596442562694065</v>
      </c>
      <c r="AE541">
        <v>3</v>
      </c>
      <c r="AF541">
        <v>3</v>
      </c>
      <c r="AG541">
        <v>4</v>
      </c>
      <c r="AH541">
        <f t="shared" si="183"/>
        <v>28.629746235613833</v>
      </c>
      <c r="AI541">
        <f t="shared" si="186"/>
        <v>50.897326641091254</v>
      </c>
    </row>
    <row r="542" spans="1:35" x14ac:dyDescent="0.3">
      <c r="A542">
        <v>2022</v>
      </c>
      <c r="B542" t="s">
        <v>18</v>
      </c>
      <c r="C542" t="s">
        <v>19</v>
      </c>
      <c r="D542" t="s">
        <v>20</v>
      </c>
      <c r="E542" t="s">
        <v>21</v>
      </c>
      <c r="F542">
        <v>44</v>
      </c>
      <c r="G542" t="s">
        <v>22</v>
      </c>
      <c r="H542" t="s">
        <v>56</v>
      </c>
      <c r="I542" t="s">
        <v>153</v>
      </c>
      <c r="J542" t="s">
        <v>154</v>
      </c>
      <c r="K542" t="s">
        <v>155</v>
      </c>
      <c r="L542">
        <v>227487</v>
      </c>
      <c r="M542">
        <v>129804</v>
      </c>
      <c r="N542">
        <v>1</v>
      </c>
      <c r="O542">
        <f t="shared" si="176"/>
        <v>5.3475935828877002E-3</v>
      </c>
      <c r="P542">
        <v>10</v>
      </c>
      <c r="Q542">
        <f t="shared" si="177"/>
        <v>5.3475935828877002E-3</v>
      </c>
      <c r="R542">
        <v>0.02</v>
      </c>
      <c r="S542">
        <f t="shared" si="184"/>
        <v>0.2</v>
      </c>
      <c r="T542">
        <f t="shared" si="178"/>
        <v>1.5337423312883438E-3</v>
      </c>
      <c r="U542">
        <f t="shared" si="179"/>
        <v>-2.7973842870880141E-2</v>
      </c>
      <c r="V542">
        <f t="shared" si="180"/>
        <v>1.5599999999999999E-2</v>
      </c>
      <c r="W542">
        <v>0.1</v>
      </c>
      <c r="X542">
        <f t="shared" si="181"/>
        <v>0.15599999999999997</v>
      </c>
      <c r="Y542">
        <v>3</v>
      </c>
      <c r="Z542">
        <v>1</v>
      </c>
      <c r="AA542" t="s">
        <v>100</v>
      </c>
      <c r="AB542">
        <f t="shared" si="182"/>
        <v>4.2426406871192848</v>
      </c>
      <c r="AC542">
        <f t="shared" si="185"/>
        <v>22.627416997969519</v>
      </c>
      <c r="AE542">
        <v>3</v>
      </c>
      <c r="AF542">
        <v>3</v>
      </c>
      <c r="AG542">
        <v>2</v>
      </c>
      <c r="AH542">
        <f t="shared" si="183"/>
        <v>9.5729326145009814</v>
      </c>
      <c r="AI542">
        <f t="shared" si="186"/>
        <v>34.037093740447936</v>
      </c>
    </row>
    <row r="543" spans="1:35" x14ac:dyDescent="0.3">
      <c r="A543">
        <v>2022</v>
      </c>
      <c r="B543" t="s">
        <v>18</v>
      </c>
      <c r="C543" t="s">
        <v>19</v>
      </c>
      <c r="D543" t="s">
        <v>20</v>
      </c>
      <c r="E543" t="s">
        <v>21</v>
      </c>
      <c r="F543">
        <v>44</v>
      </c>
      <c r="G543" t="s">
        <v>22</v>
      </c>
      <c r="H543" t="s">
        <v>96</v>
      </c>
      <c r="I543" t="s">
        <v>97</v>
      </c>
      <c r="J543" t="s">
        <v>98</v>
      </c>
      <c r="K543" t="s">
        <v>99</v>
      </c>
      <c r="L543">
        <v>227336</v>
      </c>
      <c r="M543">
        <v>131155</v>
      </c>
      <c r="N543">
        <v>2</v>
      </c>
      <c r="O543">
        <f t="shared" si="176"/>
        <v>1.06951871657754E-2</v>
      </c>
      <c r="P543">
        <v>20</v>
      </c>
      <c r="Q543">
        <f t="shared" si="177"/>
        <v>1.06951871657754E-2</v>
      </c>
      <c r="R543">
        <v>0.01</v>
      </c>
      <c r="S543">
        <f t="shared" si="184"/>
        <v>0.1</v>
      </c>
      <c r="T543">
        <f t="shared" si="178"/>
        <v>7.6687116564417191E-4</v>
      </c>
      <c r="U543">
        <f t="shared" si="179"/>
        <v>-4.8534346912242149E-2</v>
      </c>
      <c r="V543">
        <f t="shared" si="180"/>
        <v>1.5599999999999999E-2</v>
      </c>
      <c r="W543">
        <v>0.1</v>
      </c>
      <c r="X543">
        <f t="shared" si="181"/>
        <v>0.15599999999999997</v>
      </c>
      <c r="Y543">
        <v>3</v>
      </c>
      <c r="Z543">
        <v>2</v>
      </c>
      <c r="AA543" t="s">
        <v>100</v>
      </c>
      <c r="AB543">
        <f t="shared" si="182"/>
        <v>8.4852813742385695</v>
      </c>
      <c r="AC543">
        <f t="shared" si="185"/>
        <v>22.627416997969519</v>
      </c>
      <c r="AE543">
        <v>2.5</v>
      </c>
      <c r="AF543">
        <v>3</v>
      </c>
      <c r="AG543">
        <v>2</v>
      </c>
      <c r="AH543">
        <f t="shared" si="183"/>
        <v>5.6409046396295928</v>
      </c>
      <c r="AI543">
        <f t="shared" si="186"/>
        <v>24.067859795752931</v>
      </c>
    </row>
    <row r="544" spans="1:35" x14ac:dyDescent="0.3">
      <c r="A544">
        <v>2022</v>
      </c>
      <c r="B544" t="s">
        <v>18</v>
      </c>
      <c r="C544" t="s">
        <v>19</v>
      </c>
      <c r="D544" t="s">
        <v>20</v>
      </c>
      <c r="E544" t="s">
        <v>21</v>
      </c>
      <c r="F544">
        <v>44</v>
      </c>
      <c r="G544" t="s">
        <v>22</v>
      </c>
      <c r="H544" t="s">
        <v>96</v>
      </c>
      <c r="I544" t="s">
        <v>97</v>
      </c>
      <c r="J544" t="s">
        <v>98</v>
      </c>
      <c r="K544" t="s">
        <v>101</v>
      </c>
      <c r="L544">
        <v>227337</v>
      </c>
      <c r="M544">
        <v>131157</v>
      </c>
      <c r="N544">
        <v>4</v>
      </c>
      <c r="O544">
        <f t="shared" si="176"/>
        <v>2.1390374331550801E-2</v>
      </c>
      <c r="P544">
        <v>40</v>
      </c>
      <c r="Q544">
        <f t="shared" si="177"/>
        <v>2.1390374331550801E-2</v>
      </c>
      <c r="R544">
        <v>5.0000000000000001E-3</v>
      </c>
      <c r="S544">
        <f t="shared" si="184"/>
        <v>0.05</v>
      </c>
      <c r="T544">
        <f t="shared" si="178"/>
        <v>3.8343558282208595E-4</v>
      </c>
      <c r="U544">
        <f t="shared" si="179"/>
        <v>-8.2242016165448045E-2</v>
      </c>
      <c r="V544">
        <f t="shared" si="180"/>
        <v>1.5599999999999999E-2</v>
      </c>
      <c r="W544">
        <v>0.1</v>
      </c>
      <c r="X544">
        <f t="shared" si="181"/>
        <v>0.15599999999999997</v>
      </c>
      <c r="Y544">
        <v>3</v>
      </c>
      <c r="Z544">
        <v>2</v>
      </c>
      <c r="AA544" t="s">
        <v>100</v>
      </c>
      <c r="AB544">
        <f t="shared" si="182"/>
        <v>8.4852813742385695</v>
      </c>
      <c r="AC544">
        <f t="shared" si="185"/>
        <v>22.627416997969519</v>
      </c>
      <c r="AE544">
        <v>2.5</v>
      </c>
      <c r="AF544">
        <v>3</v>
      </c>
      <c r="AG544">
        <v>2</v>
      </c>
      <c r="AH544">
        <f t="shared" si="183"/>
        <v>3.9887219227087427</v>
      </c>
      <c r="AI544">
        <f t="shared" si="186"/>
        <v>17.018546870223968</v>
      </c>
    </row>
    <row r="545" spans="1:36" x14ac:dyDescent="0.3">
      <c r="A545">
        <v>2022</v>
      </c>
      <c r="B545" t="s">
        <v>18</v>
      </c>
      <c r="C545" t="s">
        <v>19</v>
      </c>
      <c r="D545" t="s">
        <v>20</v>
      </c>
      <c r="E545" t="s">
        <v>21</v>
      </c>
      <c r="F545">
        <v>44</v>
      </c>
      <c r="G545" t="s">
        <v>22</v>
      </c>
      <c r="H545" t="s">
        <v>96</v>
      </c>
      <c r="I545" t="s">
        <v>97</v>
      </c>
      <c r="J545" t="s">
        <v>98</v>
      </c>
      <c r="K545" t="s">
        <v>200</v>
      </c>
      <c r="L545">
        <v>227334</v>
      </c>
      <c r="M545">
        <v>131160</v>
      </c>
      <c r="N545">
        <v>2</v>
      </c>
      <c r="O545">
        <f t="shared" si="176"/>
        <v>1.06951871657754E-2</v>
      </c>
      <c r="P545">
        <v>20</v>
      </c>
      <c r="Q545">
        <f t="shared" si="177"/>
        <v>1.06951871657754E-2</v>
      </c>
      <c r="R545">
        <v>5.0000000000000001E-3</v>
      </c>
      <c r="S545">
        <f t="shared" si="184"/>
        <v>0.05</v>
      </c>
      <c r="T545">
        <f t="shared" si="178"/>
        <v>3.8343558282208595E-4</v>
      </c>
      <c r="U545">
        <f t="shared" si="179"/>
        <v>-4.8534346912242149E-2</v>
      </c>
      <c r="V545">
        <f t="shared" si="180"/>
        <v>1.5599999999999999E-2</v>
      </c>
      <c r="W545">
        <v>0.1</v>
      </c>
      <c r="X545">
        <f t="shared" si="181"/>
        <v>0.15599999999999997</v>
      </c>
      <c r="Y545">
        <v>3</v>
      </c>
      <c r="Z545">
        <v>2</v>
      </c>
      <c r="AA545" t="s">
        <v>100</v>
      </c>
      <c r="AB545">
        <f t="shared" si="182"/>
        <v>6</v>
      </c>
      <c r="AC545">
        <f t="shared" si="185"/>
        <v>16</v>
      </c>
      <c r="AE545">
        <v>2.5</v>
      </c>
      <c r="AF545">
        <v>3</v>
      </c>
      <c r="AG545">
        <v>2</v>
      </c>
      <c r="AH545">
        <f t="shared" si="183"/>
        <v>3.3541019662496847</v>
      </c>
      <c r="AI545">
        <f t="shared" si="186"/>
        <v>14.310835055998654</v>
      </c>
    </row>
    <row r="546" spans="1:36" s="4" customFormat="1" x14ac:dyDescent="0.3">
      <c r="N546" s="4">
        <f>SUM(N512:N545)</f>
        <v>187</v>
      </c>
      <c r="O546" s="4">
        <f>SUM(O512:O545)</f>
        <v>1.0000000000000004</v>
      </c>
      <c r="P546" s="4">
        <f t="shared" ref="P546:AI546" si="187">SUM(P512:P545)</f>
        <v>1870</v>
      </c>
      <c r="Q546" s="4">
        <f t="shared" si="187"/>
        <v>1.0000000000000004</v>
      </c>
      <c r="R546" s="4">
        <f t="shared" si="187"/>
        <v>13.040000000000003</v>
      </c>
      <c r="S546" s="4">
        <f t="shared" si="187"/>
        <v>130.39999999999998</v>
      </c>
      <c r="T546" s="4">
        <f t="shared" si="187"/>
        <v>1.0000000000000004</v>
      </c>
      <c r="U546" s="4">
        <f>-SUM(U512:U545)</f>
        <v>2.0865274837473065</v>
      </c>
      <c r="Y546" s="4">
        <v>4</v>
      </c>
      <c r="Z546" s="4">
        <v>4</v>
      </c>
      <c r="AB546" s="4">
        <f t="shared" si="187"/>
        <v>4501.1819276899105</v>
      </c>
      <c r="AC546" s="4">
        <f t="shared" si="187"/>
        <v>6751.5501086025915</v>
      </c>
      <c r="AD546" s="4">
        <f>AB546/AC546</f>
        <v>0.66668866486744427</v>
      </c>
      <c r="AE546" s="4">
        <v>4</v>
      </c>
      <c r="AF546" s="4">
        <v>4</v>
      </c>
      <c r="AG546" s="4">
        <v>4</v>
      </c>
      <c r="AH546" s="4">
        <f t="shared" si="187"/>
        <v>5514.5441487318867</v>
      </c>
      <c r="AI546" s="4">
        <f t="shared" si="187"/>
        <v>14574.695371163429</v>
      </c>
      <c r="AJ546" s="4">
        <f>AH546/AI546</f>
        <v>0.37836428194874078</v>
      </c>
    </row>
    <row r="547" spans="1:36" x14ac:dyDescent="0.3">
      <c r="A547">
        <v>2022</v>
      </c>
      <c r="B547" t="s">
        <v>179</v>
      </c>
      <c r="C547" t="s">
        <v>180</v>
      </c>
      <c r="D547" t="s">
        <v>462</v>
      </c>
      <c r="E547" t="s">
        <v>463</v>
      </c>
      <c r="F547">
        <v>49</v>
      </c>
      <c r="G547" t="s">
        <v>28</v>
      </c>
      <c r="H547" t="s">
        <v>29</v>
      </c>
      <c r="I547" t="s">
        <v>30</v>
      </c>
      <c r="J547" t="s">
        <v>31</v>
      </c>
      <c r="K547" t="s">
        <v>185</v>
      </c>
      <c r="L547" t="s">
        <v>112</v>
      </c>
      <c r="M547" t="s">
        <v>112</v>
      </c>
      <c r="N547">
        <v>174</v>
      </c>
      <c r="O547">
        <f t="shared" ref="O547:O580" si="188">N547/$N$581</f>
        <v>0.61484098939929333</v>
      </c>
      <c r="P547">
        <v>1740</v>
      </c>
      <c r="Q547">
        <f t="shared" ref="Q547:Q580" si="189">P547/$P$581</f>
        <v>0.61484098939929333</v>
      </c>
      <c r="R547">
        <v>15.33</v>
      </c>
      <c r="S547">
        <f>R547*10</f>
        <v>153.30000000000001</v>
      </c>
      <c r="T547">
        <f t="shared" ref="T547:T580" si="190">S547/$S$581</f>
        <v>0.46752058554437292</v>
      </c>
      <c r="U547">
        <f t="shared" ref="U547:U580" si="191">O547*LN(O547)</f>
        <v>-0.29905349161341094</v>
      </c>
      <c r="V547">
        <f t="shared" ref="V547:V580" si="192">15.6/1000</f>
        <v>1.5599999999999999E-2</v>
      </c>
      <c r="W547">
        <v>0.1</v>
      </c>
      <c r="X547">
        <f t="shared" ref="X547:X580" si="193">V547/W547</f>
        <v>0.15599999999999997</v>
      </c>
      <c r="Y547">
        <v>4</v>
      </c>
      <c r="Z547">
        <v>3</v>
      </c>
      <c r="AA547" t="s">
        <v>27</v>
      </c>
      <c r="AB547">
        <f t="shared" ref="AB547:AB580" si="194">(SQRT(S547/P547))*P547*Z547*Y547</f>
        <v>6197.6485863591843</v>
      </c>
      <c r="AC547">
        <f t="shared" si="185"/>
        <v>8263.5314484789124</v>
      </c>
      <c r="AE547">
        <v>2</v>
      </c>
      <c r="AF547">
        <v>4</v>
      </c>
      <c r="AG547">
        <v>3</v>
      </c>
      <c r="AH547">
        <f t="shared" ref="AH547:AH580" si="195">((S547/P547)^0.75)*P547*AE547*AF547*AG547</f>
        <v>6753.1309300105704</v>
      </c>
      <c r="AI547">
        <f t="shared" si="186"/>
        <v>18008.349146694854</v>
      </c>
    </row>
    <row r="548" spans="1:36" x14ac:dyDescent="0.3">
      <c r="A548">
        <v>2022</v>
      </c>
      <c r="B548" t="s">
        <v>179</v>
      </c>
      <c r="C548" t="s">
        <v>180</v>
      </c>
      <c r="D548" t="s">
        <v>462</v>
      </c>
      <c r="E548" t="s">
        <v>463</v>
      </c>
      <c r="F548">
        <v>49</v>
      </c>
      <c r="G548" t="s">
        <v>35</v>
      </c>
      <c r="H548" t="s">
        <v>36</v>
      </c>
      <c r="I548" t="s">
        <v>37</v>
      </c>
      <c r="J548" t="s">
        <v>38</v>
      </c>
      <c r="K548" t="s">
        <v>39</v>
      </c>
      <c r="L548" t="s">
        <v>112</v>
      </c>
      <c r="M548" t="s">
        <v>112</v>
      </c>
      <c r="N548">
        <v>2</v>
      </c>
      <c r="O548">
        <f t="shared" si="188"/>
        <v>7.0671378091872791E-3</v>
      </c>
      <c r="P548">
        <v>20</v>
      </c>
      <c r="Q548">
        <f t="shared" si="189"/>
        <v>7.0671378091872791E-3</v>
      </c>
      <c r="R548">
        <v>13.01</v>
      </c>
      <c r="S548">
        <f t="shared" ref="S548:S580" si="196">R548*10</f>
        <v>130.1</v>
      </c>
      <c r="T548">
        <f t="shared" si="190"/>
        <v>0.39676730710582464</v>
      </c>
      <c r="U548">
        <f t="shared" si="191"/>
        <v>-3.4998584573026799E-2</v>
      </c>
      <c r="V548">
        <f t="shared" si="192"/>
        <v>1.5599999999999999E-2</v>
      </c>
      <c r="W548">
        <v>0.1</v>
      </c>
      <c r="X548">
        <f t="shared" si="193"/>
        <v>0.15599999999999997</v>
      </c>
      <c r="Y548">
        <v>4</v>
      </c>
      <c r="Z548">
        <v>3</v>
      </c>
      <c r="AA548" t="s">
        <v>27</v>
      </c>
      <c r="AB548">
        <f t="shared" si="194"/>
        <v>612.11763575312875</v>
      </c>
      <c r="AC548">
        <f t="shared" si="185"/>
        <v>816.15684767083837</v>
      </c>
      <c r="AE548">
        <v>1.38</v>
      </c>
      <c r="AF548">
        <v>3.5</v>
      </c>
      <c r="AG548">
        <v>2.5</v>
      </c>
      <c r="AH548">
        <f t="shared" si="195"/>
        <v>983.67721240808942</v>
      </c>
      <c r="AI548">
        <f t="shared" si="186"/>
        <v>5213.6928856412205</v>
      </c>
    </row>
    <row r="549" spans="1:36" x14ac:dyDescent="0.3">
      <c r="A549">
        <v>2022</v>
      </c>
      <c r="B549" t="s">
        <v>179</v>
      </c>
      <c r="C549" t="s">
        <v>180</v>
      </c>
      <c r="D549" t="s">
        <v>462</v>
      </c>
      <c r="E549" t="s">
        <v>463</v>
      </c>
      <c r="F549">
        <v>49</v>
      </c>
      <c r="G549" t="s">
        <v>22</v>
      </c>
      <c r="I549" t="s">
        <v>105</v>
      </c>
      <c r="J549" t="s">
        <v>151</v>
      </c>
      <c r="K549" t="s">
        <v>152</v>
      </c>
      <c r="L549" t="s">
        <v>112</v>
      </c>
      <c r="M549" t="s">
        <v>112</v>
      </c>
      <c r="N549">
        <v>1</v>
      </c>
      <c r="O549">
        <f t="shared" si="188"/>
        <v>3.5335689045936395E-3</v>
      </c>
      <c r="P549">
        <v>10</v>
      </c>
      <c r="Q549">
        <f t="shared" si="189"/>
        <v>3.5335689045936395E-3</v>
      </c>
      <c r="R549">
        <v>1.69</v>
      </c>
      <c r="S549">
        <f t="shared" si="196"/>
        <v>16.899999999999999</v>
      </c>
      <c r="T549">
        <f t="shared" si="190"/>
        <v>5.1540103690149393E-2</v>
      </c>
      <c r="U549">
        <f t="shared" si="191"/>
        <v>-1.9948575610046777E-2</v>
      </c>
      <c r="V549">
        <f t="shared" si="192"/>
        <v>1.5599999999999999E-2</v>
      </c>
      <c r="W549">
        <v>0.1</v>
      </c>
      <c r="X549">
        <f t="shared" si="193"/>
        <v>0.15599999999999997</v>
      </c>
      <c r="Y549">
        <v>3.5</v>
      </c>
      <c r="Z549">
        <v>4</v>
      </c>
      <c r="AA549" t="s">
        <v>27</v>
      </c>
      <c r="AB549">
        <f t="shared" si="194"/>
        <v>182</v>
      </c>
      <c r="AC549">
        <f t="shared" si="185"/>
        <v>208</v>
      </c>
      <c r="AE549">
        <v>2.5</v>
      </c>
      <c r="AF549">
        <v>3.75</v>
      </c>
      <c r="AG549">
        <v>3.29</v>
      </c>
      <c r="AH549">
        <f t="shared" si="195"/>
        <v>457.17471498271993</v>
      </c>
      <c r="AI549">
        <f t="shared" si="186"/>
        <v>948.62595368248276</v>
      </c>
    </row>
    <row r="550" spans="1:36" x14ac:dyDescent="0.3">
      <c r="A550">
        <v>2022</v>
      </c>
      <c r="B550" t="s">
        <v>179</v>
      </c>
      <c r="C550" t="s">
        <v>180</v>
      </c>
      <c r="D550" t="s">
        <v>462</v>
      </c>
      <c r="E550" t="s">
        <v>463</v>
      </c>
      <c r="F550">
        <v>49</v>
      </c>
      <c r="G550" t="s">
        <v>22</v>
      </c>
      <c r="H550" t="s">
        <v>67</v>
      </c>
      <c r="I550" t="s">
        <v>224</v>
      </c>
      <c r="J550" t="s">
        <v>225</v>
      </c>
      <c r="K550" t="s">
        <v>226</v>
      </c>
      <c r="L550" t="s">
        <v>112</v>
      </c>
      <c r="M550" t="s">
        <v>112</v>
      </c>
      <c r="N550">
        <v>5</v>
      </c>
      <c r="O550">
        <f t="shared" si="188"/>
        <v>1.7667844522968199E-2</v>
      </c>
      <c r="P550">
        <v>50</v>
      </c>
      <c r="Q550">
        <f t="shared" si="189"/>
        <v>1.7667844522968199E-2</v>
      </c>
      <c r="R550">
        <v>0.37</v>
      </c>
      <c r="S550">
        <f t="shared" si="196"/>
        <v>3.7</v>
      </c>
      <c r="T550">
        <f t="shared" si="190"/>
        <v>1.1283928026837442E-2</v>
      </c>
      <c r="U550">
        <f t="shared" si="191"/>
        <v>-7.1307579243977695E-2</v>
      </c>
      <c r="V550">
        <f t="shared" si="192"/>
        <v>1.5599999999999999E-2</v>
      </c>
      <c r="W550">
        <v>0.1</v>
      </c>
      <c r="X550">
        <f t="shared" si="193"/>
        <v>0.15599999999999997</v>
      </c>
      <c r="Y550">
        <v>4</v>
      </c>
      <c r="Z550">
        <v>3</v>
      </c>
      <c r="AA550" t="s">
        <v>27</v>
      </c>
      <c r="AB550">
        <f t="shared" si="194"/>
        <v>163.21764610482532</v>
      </c>
      <c r="AC550">
        <f t="shared" si="185"/>
        <v>217.6235281397671</v>
      </c>
      <c r="AE550">
        <v>3</v>
      </c>
      <c r="AF550">
        <v>2</v>
      </c>
      <c r="AG550">
        <v>1</v>
      </c>
      <c r="AH550">
        <f t="shared" si="195"/>
        <v>42.564255799479938</v>
      </c>
      <c r="AI550">
        <f t="shared" si="186"/>
        <v>454.01872852778604</v>
      </c>
    </row>
    <row r="551" spans="1:36" x14ac:dyDescent="0.3">
      <c r="A551">
        <v>2022</v>
      </c>
      <c r="B551" t="s">
        <v>179</v>
      </c>
      <c r="C551" t="s">
        <v>180</v>
      </c>
      <c r="D551" t="s">
        <v>462</v>
      </c>
      <c r="E551" t="s">
        <v>463</v>
      </c>
      <c r="F551">
        <v>49</v>
      </c>
      <c r="G551" t="s">
        <v>378</v>
      </c>
      <c r="H551" t="s">
        <v>379</v>
      </c>
      <c r="I551" t="s">
        <v>380</v>
      </c>
      <c r="J551" t="s">
        <v>381</v>
      </c>
      <c r="K551" t="s">
        <v>382</v>
      </c>
      <c r="L551" t="s">
        <v>112</v>
      </c>
      <c r="M551" t="s">
        <v>112</v>
      </c>
      <c r="N551">
        <v>1</v>
      </c>
      <c r="O551">
        <f t="shared" si="188"/>
        <v>3.5335689045936395E-3</v>
      </c>
      <c r="P551">
        <v>10</v>
      </c>
      <c r="Q551">
        <f t="shared" si="189"/>
        <v>3.5335689045936395E-3</v>
      </c>
      <c r="R551">
        <v>0.1</v>
      </c>
      <c r="S551">
        <f t="shared" si="196"/>
        <v>1</v>
      </c>
      <c r="T551">
        <f t="shared" si="190"/>
        <v>3.0497102775236327E-3</v>
      </c>
      <c r="U551">
        <f t="shared" si="191"/>
        <v>-1.9948575610046777E-2</v>
      </c>
      <c r="V551">
        <f t="shared" si="192"/>
        <v>1.5599999999999999E-2</v>
      </c>
      <c r="W551">
        <v>0.1</v>
      </c>
      <c r="X551">
        <f t="shared" si="193"/>
        <v>0.15599999999999997</v>
      </c>
      <c r="Y551">
        <v>4</v>
      </c>
      <c r="Z551">
        <v>3</v>
      </c>
      <c r="AA551" t="s">
        <v>27</v>
      </c>
      <c r="AB551">
        <f t="shared" si="194"/>
        <v>37.947331922020552</v>
      </c>
      <c r="AC551">
        <f t="shared" si="185"/>
        <v>50.596442562694072</v>
      </c>
      <c r="AE551">
        <v>2.5</v>
      </c>
      <c r="AF551">
        <v>1</v>
      </c>
      <c r="AG551">
        <v>2</v>
      </c>
      <c r="AH551">
        <f t="shared" si="195"/>
        <v>8.8913970501946142</v>
      </c>
      <c r="AI551">
        <f t="shared" si="186"/>
        <v>113.80988224249107</v>
      </c>
    </row>
    <row r="552" spans="1:36" x14ac:dyDescent="0.3">
      <c r="A552">
        <v>2022</v>
      </c>
      <c r="B552" t="s">
        <v>179</v>
      </c>
      <c r="C552" t="s">
        <v>180</v>
      </c>
      <c r="D552" t="s">
        <v>462</v>
      </c>
      <c r="E552" t="s">
        <v>463</v>
      </c>
      <c r="F552">
        <v>49</v>
      </c>
      <c r="G552" t="s">
        <v>22</v>
      </c>
      <c r="H552" t="s">
        <v>67</v>
      </c>
      <c r="I552" t="s">
        <v>375</v>
      </c>
      <c r="J552" t="s">
        <v>376</v>
      </c>
      <c r="K552" t="s">
        <v>377</v>
      </c>
      <c r="L552" t="s">
        <v>112</v>
      </c>
      <c r="M552" t="s">
        <v>112</v>
      </c>
      <c r="N552">
        <v>1</v>
      </c>
      <c r="O552">
        <f t="shared" si="188"/>
        <v>3.5335689045936395E-3</v>
      </c>
      <c r="P552">
        <v>10</v>
      </c>
      <c r="Q552">
        <f t="shared" si="189"/>
        <v>3.5335689045936395E-3</v>
      </c>
      <c r="R552">
        <v>0.01</v>
      </c>
      <c r="S552">
        <f t="shared" si="196"/>
        <v>0.1</v>
      </c>
      <c r="T552">
        <f t="shared" si="190"/>
        <v>3.0497102775236331E-4</v>
      </c>
      <c r="U552">
        <f t="shared" si="191"/>
        <v>-1.9948575610046777E-2</v>
      </c>
      <c r="V552">
        <f t="shared" si="192"/>
        <v>1.5599999999999999E-2</v>
      </c>
      <c r="W552">
        <v>0.1</v>
      </c>
      <c r="X552">
        <f t="shared" si="193"/>
        <v>0.15599999999999997</v>
      </c>
      <c r="Y552">
        <v>4</v>
      </c>
      <c r="Z552">
        <v>3</v>
      </c>
      <c r="AA552" t="s">
        <v>27</v>
      </c>
      <c r="AB552">
        <f t="shared" si="194"/>
        <v>12</v>
      </c>
      <c r="AC552">
        <f t="shared" si="185"/>
        <v>16</v>
      </c>
      <c r="AE552">
        <v>3</v>
      </c>
      <c r="AF552">
        <v>2</v>
      </c>
      <c r="AG552">
        <v>3</v>
      </c>
      <c r="AH552">
        <f t="shared" si="195"/>
        <v>5.6920997883030839</v>
      </c>
      <c r="AI552">
        <f t="shared" si="186"/>
        <v>20.238577025077632</v>
      </c>
    </row>
    <row r="553" spans="1:36" x14ac:dyDescent="0.3">
      <c r="A553">
        <v>2022</v>
      </c>
      <c r="B553" t="s">
        <v>179</v>
      </c>
      <c r="C553" t="s">
        <v>180</v>
      </c>
      <c r="D553" t="s">
        <v>462</v>
      </c>
      <c r="E553" t="s">
        <v>463</v>
      </c>
      <c r="F553">
        <v>49</v>
      </c>
      <c r="G553" t="s">
        <v>22</v>
      </c>
      <c r="H553" t="s">
        <v>23</v>
      </c>
      <c r="I553" t="s">
        <v>24</v>
      </c>
      <c r="J553" t="s">
        <v>25</v>
      </c>
      <c r="K553" t="s">
        <v>26</v>
      </c>
      <c r="L553" t="s">
        <v>112</v>
      </c>
      <c r="M553" t="s">
        <v>112</v>
      </c>
      <c r="N553">
        <v>1</v>
      </c>
      <c r="O553">
        <f t="shared" si="188"/>
        <v>3.5335689045936395E-3</v>
      </c>
      <c r="P553">
        <v>10</v>
      </c>
      <c r="Q553">
        <f t="shared" si="189"/>
        <v>3.5335689045936395E-3</v>
      </c>
      <c r="R553">
        <v>0.01</v>
      </c>
      <c r="S553">
        <f t="shared" si="196"/>
        <v>0.1</v>
      </c>
      <c r="T553">
        <f t="shared" si="190"/>
        <v>3.0497102775236331E-4</v>
      </c>
      <c r="U553">
        <f t="shared" si="191"/>
        <v>-1.9948575610046777E-2</v>
      </c>
      <c r="V553">
        <f t="shared" si="192"/>
        <v>1.5599999999999999E-2</v>
      </c>
      <c r="W553">
        <v>0.1</v>
      </c>
      <c r="X553">
        <f t="shared" si="193"/>
        <v>0.15599999999999997</v>
      </c>
      <c r="Y553">
        <v>4</v>
      </c>
      <c r="Z553">
        <v>3</v>
      </c>
      <c r="AA553" t="s">
        <v>27</v>
      </c>
      <c r="AB553">
        <f t="shared" si="194"/>
        <v>12</v>
      </c>
      <c r="AC553">
        <f t="shared" si="185"/>
        <v>16</v>
      </c>
      <c r="AE553">
        <v>1.38</v>
      </c>
      <c r="AF553">
        <v>2</v>
      </c>
      <c r="AG553">
        <v>3.5</v>
      </c>
      <c r="AH553">
        <f t="shared" si="195"/>
        <v>3.0547602197226547</v>
      </c>
      <c r="AI553">
        <f t="shared" si="186"/>
        <v>20.238577025077632</v>
      </c>
    </row>
    <row r="554" spans="1:36" x14ac:dyDescent="0.3">
      <c r="A554">
        <v>2022</v>
      </c>
      <c r="B554" t="s">
        <v>179</v>
      </c>
      <c r="C554" t="s">
        <v>180</v>
      </c>
      <c r="D554" t="s">
        <v>462</v>
      </c>
      <c r="E554" t="s">
        <v>463</v>
      </c>
      <c r="F554">
        <v>49</v>
      </c>
      <c r="G554" t="s">
        <v>51</v>
      </c>
      <c r="H554" t="s">
        <v>126</v>
      </c>
      <c r="I554" t="s">
        <v>127</v>
      </c>
      <c r="J554" t="s">
        <v>470</v>
      </c>
      <c r="K554" t="s">
        <v>471</v>
      </c>
      <c r="L554" t="s">
        <v>112</v>
      </c>
      <c r="M554" t="s">
        <v>112</v>
      </c>
      <c r="N554">
        <v>1</v>
      </c>
      <c r="O554">
        <f t="shared" si="188"/>
        <v>3.5335689045936395E-3</v>
      </c>
      <c r="P554">
        <v>10</v>
      </c>
      <c r="Q554">
        <f t="shared" si="189"/>
        <v>3.5335689045936395E-3</v>
      </c>
      <c r="R554">
        <v>0.01</v>
      </c>
      <c r="S554">
        <f t="shared" si="196"/>
        <v>0.1</v>
      </c>
      <c r="T554">
        <f t="shared" si="190"/>
        <v>3.0497102775236331E-4</v>
      </c>
      <c r="U554">
        <f t="shared" si="191"/>
        <v>-1.9948575610046777E-2</v>
      </c>
      <c r="V554">
        <f t="shared" si="192"/>
        <v>1.5599999999999999E-2</v>
      </c>
      <c r="W554">
        <v>0.1</v>
      </c>
      <c r="X554">
        <f t="shared" si="193"/>
        <v>0.15599999999999997</v>
      </c>
      <c r="Y554">
        <v>2</v>
      </c>
      <c r="Z554">
        <v>3</v>
      </c>
      <c r="AA554" t="s">
        <v>27</v>
      </c>
      <c r="AB554">
        <f t="shared" si="194"/>
        <v>6</v>
      </c>
      <c r="AC554">
        <f t="shared" si="185"/>
        <v>16</v>
      </c>
      <c r="AE554">
        <v>1.38</v>
      </c>
      <c r="AF554">
        <v>4</v>
      </c>
      <c r="AG554">
        <v>1.5</v>
      </c>
      <c r="AH554">
        <f t="shared" si="195"/>
        <v>2.6183659026194182</v>
      </c>
      <c r="AI554">
        <f t="shared" si="186"/>
        <v>20.238577025077632</v>
      </c>
    </row>
    <row r="555" spans="1:36" x14ac:dyDescent="0.3">
      <c r="A555">
        <v>2022</v>
      </c>
      <c r="B555" t="s">
        <v>179</v>
      </c>
      <c r="C555" t="s">
        <v>180</v>
      </c>
      <c r="D555" t="s">
        <v>462</v>
      </c>
      <c r="E555" t="s">
        <v>463</v>
      </c>
      <c r="F555">
        <v>49</v>
      </c>
      <c r="G555" t="s">
        <v>22</v>
      </c>
      <c r="H555" t="s">
        <v>67</v>
      </c>
      <c r="I555" t="s">
        <v>196</v>
      </c>
      <c r="J555" t="s">
        <v>261</v>
      </c>
      <c r="K555" t="s">
        <v>262</v>
      </c>
      <c r="L555" t="s">
        <v>112</v>
      </c>
      <c r="M555" t="s">
        <v>112</v>
      </c>
      <c r="N555">
        <v>1</v>
      </c>
      <c r="O555">
        <f t="shared" si="188"/>
        <v>3.5335689045936395E-3</v>
      </c>
      <c r="P555">
        <v>10</v>
      </c>
      <c r="Q555">
        <f t="shared" si="189"/>
        <v>3.5335689045936395E-3</v>
      </c>
      <c r="R555">
        <v>5.0000000000000001E-3</v>
      </c>
      <c r="S555">
        <f t="shared" si="196"/>
        <v>0.05</v>
      </c>
      <c r="T555">
        <f t="shared" si="190"/>
        <v>1.5248551387618165E-4</v>
      </c>
      <c r="U555">
        <f t="shared" si="191"/>
        <v>-1.9948575610046777E-2</v>
      </c>
      <c r="V555">
        <f t="shared" si="192"/>
        <v>1.5599999999999999E-2</v>
      </c>
      <c r="W555">
        <v>0.1</v>
      </c>
      <c r="X555">
        <f t="shared" si="193"/>
        <v>0.15599999999999997</v>
      </c>
      <c r="Y555">
        <v>4</v>
      </c>
      <c r="Z555">
        <v>3</v>
      </c>
      <c r="AA555" t="s">
        <v>27</v>
      </c>
      <c r="AB555">
        <f t="shared" si="194"/>
        <v>8.4852813742385695</v>
      </c>
      <c r="AC555">
        <f t="shared" si="185"/>
        <v>11.313708498984759</v>
      </c>
      <c r="AE555">
        <v>3</v>
      </c>
      <c r="AF555">
        <v>2</v>
      </c>
      <c r="AG555">
        <v>2</v>
      </c>
      <c r="AH555">
        <f t="shared" si="195"/>
        <v>2.2563618558518375</v>
      </c>
      <c r="AI555">
        <f t="shared" si="186"/>
        <v>12.033929897876465</v>
      </c>
    </row>
    <row r="556" spans="1:36" x14ac:dyDescent="0.3">
      <c r="A556">
        <v>2022</v>
      </c>
      <c r="B556" t="s">
        <v>179</v>
      </c>
      <c r="C556" t="s">
        <v>180</v>
      </c>
      <c r="D556" t="s">
        <v>462</v>
      </c>
      <c r="E556" t="s">
        <v>463</v>
      </c>
      <c r="F556">
        <v>49</v>
      </c>
      <c r="K556" t="s">
        <v>75</v>
      </c>
      <c r="L556" t="s">
        <v>112</v>
      </c>
      <c r="M556" t="s">
        <v>112</v>
      </c>
      <c r="N556">
        <v>1</v>
      </c>
      <c r="O556">
        <f t="shared" si="188"/>
        <v>3.5335689045936395E-3</v>
      </c>
      <c r="P556">
        <v>10</v>
      </c>
      <c r="Q556">
        <f t="shared" si="189"/>
        <v>3.5335689045936395E-3</v>
      </c>
      <c r="R556">
        <v>5.0000000000000001E-3</v>
      </c>
      <c r="S556">
        <f t="shared" si="196"/>
        <v>0.05</v>
      </c>
      <c r="T556">
        <f t="shared" si="190"/>
        <v>1.5248551387618165E-4</v>
      </c>
      <c r="U556">
        <f t="shared" si="191"/>
        <v>-1.9948575610046777E-2</v>
      </c>
      <c r="V556">
        <f t="shared" si="192"/>
        <v>1.5599999999999999E-2</v>
      </c>
      <c r="W556">
        <v>0.1</v>
      </c>
      <c r="X556">
        <f t="shared" si="193"/>
        <v>0.15599999999999997</v>
      </c>
      <c r="Y556">
        <v>4</v>
      </c>
      <c r="Z556">
        <v>3</v>
      </c>
      <c r="AA556" t="s">
        <v>27</v>
      </c>
      <c r="AB556">
        <f t="shared" si="194"/>
        <v>8.4852813742385695</v>
      </c>
      <c r="AC556">
        <f t="shared" si="185"/>
        <v>11.313708498984759</v>
      </c>
      <c r="AE556">
        <v>2</v>
      </c>
      <c r="AF556">
        <v>2</v>
      </c>
      <c r="AG556">
        <v>2</v>
      </c>
      <c r="AH556">
        <f t="shared" si="195"/>
        <v>1.5042412372345582</v>
      </c>
      <c r="AI556">
        <f t="shared" si="186"/>
        <v>12.033929897876465</v>
      </c>
    </row>
    <row r="557" spans="1:36" x14ac:dyDescent="0.3">
      <c r="A557">
        <v>2022</v>
      </c>
      <c r="B557" t="s">
        <v>179</v>
      </c>
      <c r="C557" t="s">
        <v>180</v>
      </c>
      <c r="D557" t="s">
        <v>462</v>
      </c>
      <c r="E557" t="s">
        <v>463</v>
      </c>
      <c r="F557">
        <v>49</v>
      </c>
      <c r="G557" t="s">
        <v>22</v>
      </c>
      <c r="H557" t="s">
        <v>163</v>
      </c>
      <c r="I557" t="s">
        <v>164</v>
      </c>
      <c r="J557" t="s">
        <v>165</v>
      </c>
      <c r="K557" t="s">
        <v>166</v>
      </c>
      <c r="L557" t="s">
        <v>112</v>
      </c>
      <c r="M557" t="s">
        <v>112</v>
      </c>
      <c r="N557">
        <v>1</v>
      </c>
      <c r="O557">
        <f t="shared" si="188"/>
        <v>3.5335689045936395E-3</v>
      </c>
      <c r="P557">
        <v>10</v>
      </c>
      <c r="Q557">
        <f t="shared" si="189"/>
        <v>3.5335689045936395E-3</v>
      </c>
      <c r="R557">
        <v>5.0000000000000001E-3</v>
      </c>
      <c r="S557">
        <f t="shared" si="196"/>
        <v>0.05</v>
      </c>
      <c r="T557">
        <f t="shared" si="190"/>
        <v>1.5248551387618165E-4</v>
      </c>
      <c r="U557">
        <f t="shared" si="191"/>
        <v>-1.9948575610046777E-2</v>
      </c>
      <c r="V557">
        <f t="shared" si="192"/>
        <v>1.5599999999999999E-2</v>
      </c>
      <c r="W557">
        <v>0.1</v>
      </c>
      <c r="X557">
        <f t="shared" si="193"/>
        <v>0.15599999999999997</v>
      </c>
      <c r="Y557">
        <v>4</v>
      </c>
      <c r="Z557">
        <v>3</v>
      </c>
      <c r="AA557" t="s">
        <v>27</v>
      </c>
      <c r="AB557">
        <f t="shared" si="194"/>
        <v>8.4852813742385695</v>
      </c>
      <c r="AC557">
        <f t="shared" si="185"/>
        <v>11.313708498984759</v>
      </c>
      <c r="AE557">
        <v>3</v>
      </c>
      <c r="AF557">
        <v>2</v>
      </c>
      <c r="AG557">
        <v>1</v>
      </c>
      <c r="AH557">
        <f t="shared" si="195"/>
        <v>1.1281809279259187</v>
      </c>
      <c r="AI557">
        <f t="shared" si="186"/>
        <v>12.033929897876465</v>
      </c>
    </row>
    <row r="558" spans="1:36" x14ac:dyDescent="0.3">
      <c r="A558">
        <v>2022</v>
      </c>
      <c r="B558" t="s">
        <v>179</v>
      </c>
      <c r="C558" t="s">
        <v>180</v>
      </c>
      <c r="D558" t="s">
        <v>462</v>
      </c>
      <c r="E558" t="s">
        <v>463</v>
      </c>
      <c r="F558">
        <v>49</v>
      </c>
      <c r="G558" t="s">
        <v>22</v>
      </c>
      <c r="H558" t="s">
        <v>67</v>
      </c>
      <c r="I558" t="s">
        <v>372</v>
      </c>
      <c r="J558" t="s">
        <v>468</v>
      </c>
      <c r="K558" t="s">
        <v>469</v>
      </c>
      <c r="L558" t="s">
        <v>112</v>
      </c>
      <c r="M558" t="s">
        <v>112</v>
      </c>
      <c r="N558">
        <v>2</v>
      </c>
      <c r="O558">
        <f t="shared" si="188"/>
        <v>7.0671378091872791E-3</v>
      </c>
      <c r="P558">
        <v>20</v>
      </c>
      <c r="Q558">
        <f t="shared" si="189"/>
        <v>7.0671378091872791E-3</v>
      </c>
      <c r="R558">
        <v>0.01</v>
      </c>
      <c r="S558">
        <f t="shared" si="196"/>
        <v>0.1</v>
      </c>
      <c r="T558">
        <f t="shared" si="190"/>
        <v>3.0497102775236331E-4</v>
      </c>
      <c r="U558">
        <f t="shared" si="191"/>
        <v>-3.4998584573026799E-2</v>
      </c>
      <c r="V558">
        <f t="shared" si="192"/>
        <v>1.5599999999999999E-2</v>
      </c>
      <c r="W558">
        <v>0.1</v>
      </c>
      <c r="X558">
        <f t="shared" si="193"/>
        <v>0.15599999999999997</v>
      </c>
      <c r="Y558">
        <v>4</v>
      </c>
      <c r="Z558">
        <v>3</v>
      </c>
      <c r="AA558" t="s">
        <v>27</v>
      </c>
      <c r="AB558">
        <f t="shared" si="194"/>
        <v>16.970562748477139</v>
      </c>
      <c r="AC558">
        <f t="shared" si="185"/>
        <v>22.627416997969519</v>
      </c>
      <c r="AE558">
        <v>1</v>
      </c>
      <c r="AF558">
        <v>2</v>
      </c>
      <c r="AG558">
        <v>1</v>
      </c>
      <c r="AH558">
        <f t="shared" si="195"/>
        <v>0.75212061861727908</v>
      </c>
      <c r="AI558">
        <f t="shared" si="186"/>
        <v>24.067859795752931</v>
      </c>
    </row>
    <row r="559" spans="1:36" x14ac:dyDescent="0.3">
      <c r="A559">
        <v>2022</v>
      </c>
      <c r="B559" t="s">
        <v>179</v>
      </c>
      <c r="C559" t="s">
        <v>180</v>
      </c>
      <c r="D559" t="s">
        <v>462</v>
      </c>
      <c r="E559" t="s">
        <v>463</v>
      </c>
      <c r="F559">
        <v>49</v>
      </c>
      <c r="G559" t="s">
        <v>22</v>
      </c>
      <c r="H559" t="s">
        <v>56</v>
      </c>
      <c r="I559" t="s">
        <v>90</v>
      </c>
      <c r="J559" t="s">
        <v>91</v>
      </c>
      <c r="K559" t="s">
        <v>92</v>
      </c>
      <c r="L559" t="s">
        <v>112</v>
      </c>
      <c r="M559" t="s">
        <v>112</v>
      </c>
      <c r="N559">
        <v>6</v>
      </c>
      <c r="O559">
        <f t="shared" si="188"/>
        <v>2.1201413427561839E-2</v>
      </c>
      <c r="P559">
        <v>60</v>
      </c>
      <c r="Q559">
        <f t="shared" si="189"/>
        <v>2.1201413427561839E-2</v>
      </c>
      <c r="R559">
        <v>0.08</v>
      </c>
      <c r="S559">
        <f t="shared" si="196"/>
        <v>0.8</v>
      </c>
      <c r="T559">
        <f t="shared" si="190"/>
        <v>2.4397682220189064E-3</v>
      </c>
      <c r="U559">
        <f t="shared" si="191"/>
        <v>-8.1703620390427903E-2</v>
      </c>
      <c r="V559">
        <f t="shared" si="192"/>
        <v>1.5599999999999999E-2</v>
      </c>
      <c r="W559">
        <v>0.1</v>
      </c>
      <c r="X559">
        <f t="shared" si="193"/>
        <v>0.15599999999999997</v>
      </c>
      <c r="Y559">
        <v>3</v>
      </c>
      <c r="Z559">
        <v>1</v>
      </c>
      <c r="AA559" t="s">
        <v>93</v>
      </c>
      <c r="AB559">
        <f t="shared" si="194"/>
        <v>20.784609690826528</v>
      </c>
      <c r="AC559">
        <f t="shared" si="185"/>
        <v>110.85125168440815</v>
      </c>
      <c r="AE559">
        <v>1</v>
      </c>
      <c r="AF559">
        <v>3</v>
      </c>
      <c r="AG559">
        <v>1</v>
      </c>
      <c r="AH559">
        <f t="shared" si="195"/>
        <v>7.0627942953185103</v>
      </c>
      <c r="AI559">
        <f t="shared" si="186"/>
        <v>150.67294496679489</v>
      </c>
    </row>
    <row r="560" spans="1:36" x14ac:dyDescent="0.3">
      <c r="A560">
        <v>2022</v>
      </c>
      <c r="B560" t="s">
        <v>179</v>
      </c>
      <c r="C560" t="s">
        <v>180</v>
      </c>
      <c r="D560" t="s">
        <v>462</v>
      </c>
      <c r="E560" t="s">
        <v>463</v>
      </c>
      <c r="F560">
        <v>49</v>
      </c>
      <c r="G560" t="s">
        <v>79</v>
      </c>
      <c r="H560" t="s">
        <v>80</v>
      </c>
      <c r="I560" t="s">
        <v>81</v>
      </c>
      <c r="J560" t="s">
        <v>177</v>
      </c>
      <c r="K560" t="s">
        <v>177</v>
      </c>
      <c r="L560" t="s">
        <v>112</v>
      </c>
      <c r="M560" t="s">
        <v>112</v>
      </c>
      <c r="N560">
        <v>1</v>
      </c>
      <c r="O560">
        <f t="shared" si="188"/>
        <v>3.5335689045936395E-3</v>
      </c>
      <c r="P560">
        <v>10</v>
      </c>
      <c r="Q560">
        <f t="shared" si="189"/>
        <v>3.5335689045936395E-3</v>
      </c>
      <c r="R560">
        <v>5.0000000000000001E-3</v>
      </c>
      <c r="S560">
        <f t="shared" si="196"/>
        <v>0.05</v>
      </c>
      <c r="T560">
        <f t="shared" si="190"/>
        <v>1.5248551387618165E-4</v>
      </c>
      <c r="U560">
        <f t="shared" si="191"/>
        <v>-1.9948575610046777E-2</v>
      </c>
      <c r="V560">
        <f t="shared" si="192"/>
        <v>1.5599999999999999E-2</v>
      </c>
      <c r="W560">
        <v>0.1</v>
      </c>
      <c r="X560">
        <f t="shared" si="193"/>
        <v>0.15599999999999997</v>
      </c>
      <c r="Y560">
        <v>3</v>
      </c>
      <c r="Z560">
        <v>2</v>
      </c>
      <c r="AA560" t="s">
        <v>93</v>
      </c>
      <c r="AB560">
        <f t="shared" si="194"/>
        <v>4.2426406871192848</v>
      </c>
      <c r="AC560">
        <f t="shared" si="185"/>
        <v>11.313708498984759</v>
      </c>
      <c r="AE560">
        <v>3</v>
      </c>
      <c r="AF560">
        <v>3</v>
      </c>
      <c r="AG560">
        <v>3</v>
      </c>
      <c r="AH560">
        <f t="shared" si="195"/>
        <v>5.0768141756666338</v>
      </c>
      <c r="AI560">
        <f t="shared" si="186"/>
        <v>12.033929897876465</v>
      </c>
    </row>
    <row r="561" spans="1:35" x14ac:dyDescent="0.3">
      <c r="A561">
        <v>2022</v>
      </c>
      <c r="B561" t="s">
        <v>179</v>
      </c>
      <c r="C561" t="s">
        <v>180</v>
      </c>
      <c r="D561" t="s">
        <v>462</v>
      </c>
      <c r="E561" t="s">
        <v>463</v>
      </c>
      <c r="F561">
        <v>49</v>
      </c>
      <c r="G561" t="s">
        <v>22</v>
      </c>
      <c r="H561" t="s">
        <v>56</v>
      </c>
      <c r="I561" t="s">
        <v>90</v>
      </c>
      <c r="J561" t="s">
        <v>117</v>
      </c>
      <c r="K561" t="s">
        <v>118</v>
      </c>
      <c r="L561" t="s">
        <v>112</v>
      </c>
      <c r="M561" t="s">
        <v>112</v>
      </c>
      <c r="N561">
        <v>2</v>
      </c>
      <c r="O561">
        <f t="shared" si="188"/>
        <v>7.0671378091872791E-3</v>
      </c>
      <c r="P561">
        <v>20</v>
      </c>
      <c r="Q561">
        <f t="shared" si="189"/>
        <v>7.0671378091872791E-3</v>
      </c>
      <c r="R561">
        <v>0.01</v>
      </c>
      <c r="S561">
        <f t="shared" si="196"/>
        <v>0.1</v>
      </c>
      <c r="T561">
        <f t="shared" si="190"/>
        <v>3.0497102775236331E-4</v>
      </c>
      <c r="U561">
        <f t="shared" si="191"/>
        <v>-3.4998584573026799E-2</v>
      </c>
      <c r="V561">
        <f t="shared" si="192"/>
        <v>1.5599999999999999E-2</v>
      </c>
      <c r="W561">
        <v>0.1</v>
      </c>
      <c r="X561">
        <f t="shared" si="193"/>
        <v>0.15599999999999997</v>
      </c>
      <c r="Y561">
        <v>3</v>
      </c>
      <c r="Z561">
        <v>1</v>
      </c>
      <c r="AA561" t="s">
        <v>93</v>
      </c>
      <c r="AB561">
        <f t="shared" si="194"/>
        <v>4.2426406871192848</v>
      </c>
      <c r="AC561">
        <f t="shared" si="185"/>
        <v>22.627416997969519</v>
      </c>
      <c r="AE561">
        <v>3</v>
      </c>
      <c r="AF561">
        <v>3</v>
      </c>
      <c r="AG561">
        <v>1</v>
      </c>
      <c r="AH561">
        <f t="shared" si="195"/>
        <v>3.3845427837777562</v>
      </c>
      <c r="AI561">
        <f t="shared" si="186"/>
        <v>24.067859795752931</v>
      </c>
    </row>
    <row r="562" spans="1:35" x14ac:dyDescent="0.3">
      <c r="A562">
        <v>2022</v>
      </c>
      <c r="B562" t="s">
        <v>179</v>
      </c>
      <c r="C562" t="s">
        <v>180</v>
      </c>
      <c r="D562" t="s">
        <v>462</v>
      </c>
      <c r="E562" t="s">
        <v>463</v>
      </c>
      <c r="F562">
        <v>49</v>
      </c>
      <c r="G562" t="s">
        <v>45</v>
      </c>
      <c r="H562" t="s">
        <v>46</v>
      </c>
      <c r="I562" t="s">
        <v>47</v>
      </c>
      <c r="J562" t="s">
        <v>48</v>
      </c>
      <c r="K562" t="s">
        <v>49</v>
      </c>
      <c r="L562" t="s">
        <v>112</v>
      </c>
      <c r="M562" t="s">
        <v>112</v>
      </c>
      <c r="N562">
        <v>3</v>
      </c>
      <c r="O562">
        <f t="shared" si="188"/>
        <v>1.0600706713780919E-2</v>
      </c>
      <c r="P562">
        <v>30</v>
      </c>
      <c r="Q562">
        <f t="shared" si="189"/>
        <v>1.0600706713780919E-2</v>
      </c>
      <c r="R562">
        <v>0.04</v>
      </c>
      <c r="S562">
        <f t="shared" si="196"/>
        <v>0.4</v>
      </c>
      <c r="T562">
        <f t="shared" si="190"/>
        <v>1.2198841110094532E-3</v>
      </c>
      <c r="U562">
        <f t="shared" si="191"/>
        <v>-4.8199660165814076E-2</v>
      </c>
      <c r="V562">
        <f t="shared" si="192"/>
        <v>1.5599999999999999E-2</v>
      </c>
      <c r="W562">
        <v>0.1</v>
      </c>
      <c r="X562">
        <f t="shared" si="193"/>
        <v>0.15599999999999997</v>
      </c>
      <c r="Y562">
        <v>2</v>
      </c>
      <c r="Z562">
        <v>3</v>
      </c>
      <c r="AA562" t="s">
        <v>50</v>
      </c>
      <c r="AB562">
        <f t="shared" si="194"/>
        <v>20.784609690826528</v>
      </c>
      <c r="AC562">
        <f t="shared" si="185"/>
        <v>55.425625842204077</v>
      </c>
      <c r="AE562">
        <v>3</v>
      </c>
      <c r="AF562">
        <v>2</v>
      </c>
      <c r="AG562">
        <v>2</v>
      </c>
      <c r="AH562">
        <f t="shared" si="195"/>
        <v>14.125588590637021</v>
      </c>
      <c r="AI562">
        <f t="shared" si="186"/>
        <v>75.336472483397444</v>
      </c>
    </row>
    <row r="563" spans="1:35" x14ac:dyDescent="0.3">
      <c r="A563">
        <v>2022</v>
      </c>
      <c r="B563" t="s">
        <v>179</v>
      </c>
      <c r="C563" t="s">
        <v>180</v>
      </c>
      <c r="D563" t="s">
        <v>462</v>
      </c>
      <c r="E563" t="s">
        <v>463</v>
      </c>
      <c r="F563">
        <v>49</v>
      </c>
      <c r="G563" t="s">
        <v>45</v>
      </c>
      <c r="H563" t="s">
        <v>71</v>
      </c>
      <c r="I563" t="s">
        <v>72</v>
      </c>
      <c r="J563" t="s">
        <v>73</v>
      </c>
      <c r="K563" t="s">
        <v>74</v>
      </c>
      <c r="L563" t="s">
        <v>112</v>
      </c>
      <c r="M563" t="s">
        <v>112</v>
      </c>
      <c r="N563">
        <v>28</v>
      </c>
      <c r="O563">
        <f t="shared" si="188"/>
        <v>9.8939929328621903E-2</v>
      </c>
      <c r="P563">
        <v>280</v>
      </c>
      <c r="Q563">
        <f t="shared" si="189"/>
        <v>9.8939929328621903E-2</v>
      </c>
      <c r="R563">
        <v>0.05</v>
      </c>
      <c r="S563">
        <f t="shared" si="196"/>
        <v>0.5</v>
      </c>
      <c r="T563">
        <f t="shared" si="190"/>
        <v>1.5248551387618164E-3</v>
      </c>
      <c r="U563">
        <f t="shared" si="191"/>
        <v>-0.22887203833605987</v>
      </c>
      <c r="V563">
        <f t="shared" si="192"/>
        <v>1.5599999999999999E-2</v>
      </c>
      <c r="W563">
        <v>0.1</v>
      </c>
      <c r="X563">
        <f t="shared" si="193"/>
        <v>0.15599999999999997</v>
      </c>
      <c r="Y563">
        <v>2</v>
      </c>
      <c r="Z563">
        <v>3</v>
      </c>
      <c r="AA563" t="s">
        <v>50</v>
      </c>
      <c r="AB563">
        <f t="shared" si="194"/>
        <v>70.992957397195383</v>
      </c>
      <c r="AC563">
        <f t="shared" si="185"/>
        <v>189.31455305918769</v>
      </c>
      <c r="AE563">
        <v>1</v>
      </c>
      <c r="AF563">
        <v>3</v>
      </c>
      <c r="AG563">
        <v>1</v>
      </c>
      <c r="AH563">
        <f t="shared" si="195"/>
        <v>7.2968978372933595</v>
      </c>
      <c r="AI563">
        <f t="shared" si="186"/>
        <v>155.66715386225835</v>
      </c>
    </row>
    <row r="564" spans="1:35" x14ac:dyDescent="0.3">
      <c r="A564">
        <v>2022</v>
      </c>
      <c r="B564" t="s">
        <v>179</v>
      </c>
      <c r="C564" t="s">
        <v>180</v>
      </c>
      <c r="D564" t="s">
        <v>462</v>
      </c>
      <c r="E564" t="s">
        <v>463</v>
      </c>
      <c r="F564">
        <v>49</v>
      </c>
      <c r="G564" t="s">
        <v>22</v>
      </c>
      <c r="H564" t="s">
        <v>56</v>
      </c>
      <c r="I564" t="s">
        <v>132</v>
      </c>
      <c r="J564" t="s">
        <v>133</v>
      </c>
      <c r="K564" t="s">
        <v>134</v>
      </c>
      <c r="L564" t="s">
        <v>112</v>
      </c>
      <c r="M564" t="s">
        <v>112</v>
      </c>
      <c r="N564">
        <v>4</v>
      </c>
      <c r="O564">
        <f t="shared" si="188"/>
        <v>1.4134275618374558E-2</v>
      </c>
      <c r="P564">
        <v>40</v>
      </c>
      <c r="Q564">
        <f t="shared" si="189"/>
        <v>1.4134275618374558E-2</v>
      </c>
      <c r="R564">
        <v>5.0000000000000001E-3</v>
      </c>
      <c r="S564">
        <f t="shared" si="196"/>
        <v>0.05</v>
      </c>
      <c r="T564">
        <f t="shared" si="190"/>
        <v>1.5248551387618165E-4</v>
      </c>
      <c r="U564">
        <f t="shared" si="191"/>
        <v>-6.0200035851920096E-2</v>
      </c>
      <c r="V564">
        <f t="shared" si="192"/>
        <v>1.5599999999999999E-2</v>
      </c>
      <c r="W564">
        <v>0.1</v>
      </c>
      <c r="X564">
        <f t="shared" si="193"/>
        <v>0.15599999999999997</v>
      </c>
      <c r="Y564">
        <v>2</v>
      </c>
      <c r="Z564">
        <v>2</v>
      </c>
      <c r="AA564" t="s">
        <v>50</v>
      </c>
      <c r="AB564">
        <f t="shared" si="194"/>
        <v>5.6568542494923797</v>
      </c>
      <c r="AC564">
        <f t="shared" si="185"/>
        <v>22.627416997969519</v>
      </c>
      <c r="AE564">
        <v>3</v>
      </c>
      <c r="AF564">
        <v>3</v>
      </c>
      <c r="AG564">
        <v>2</v>
      </c>
      <c r="AH564">
        <f t="shared" si="195"/>
        <v>4.7864663072504907</v>
      </c>
      <c r="AI564">
        <f t="shared" si="186"/>
        <v>17.018546870223968</v>
      </c>
    </row>
    <row r="565" spans="1:35" x14ac:dyDescent="0.3">
      <c r="A565">
        <v>2022</v>
      </c>
      <c r="B565" t="s">
        <v>179</v>
      </c>
      <c r="C565" t="s">
        <v>180</v>
      </c>
      <c r="D565" t="s">
        <v>462</v>
      </c>
      <c r="E565" t="s">
        <v>463</v>
      </c>
      <c r="F565">
        <v>49</v>
      </c>
      <c r="G565" t="s">
        <v>79</v>
      </c>
      <c r="H565" t="s">
        <v>113</v>
      </c>
      <c r="I565" t="s">
        <v>123</v>
      </c>
      <c r="J565" t="s">
        <v>124</v>
      </c>
      <c r="K565" t="s">
        <v>125</v>
      </c>
      <c r="L565" t="s">
        <v>112</v>
      </c>
      <c r="M565" t="s">
        <v>112</v>
      </c>
      <c r="N565">
        <v>3</v>
      </c>
      <c r="O565">
        <f t="shared" si="188"/>
        <v>1.0600706713780919E-2</v>
      </c>
      <c r="P565">
        <v>30</v>
      </c>
      <c r="Q565">
        <f t="shared" si="189"/>
        <v>1.0600706713780919E-2</v>
      </c>
      <c r="R565">
        <v>7.0000000000000007E-2</v>
      </c>
      <c r="S565">
        <f t="shared" si="196"/>
        <v>0.70000000000000007</v>
      </c>
      <c r="T565">
        <f t="shared" si="190"/>
        <v>2.1347971942665433E-3</v>
      </c>
      <c r="U565">
        <f t="shared" si="191"/>
        <v>-4.8199660165814076E-2</v>
      </c>
      <c r="V565">
        <f t="shared" si="192"/>
        <v>1.5599999999999999E-2</v>
      </c>
      <c r="W565">
        <v>0.1</v>
      </c>
      <c r="X565">
        <f t="shared" si="193"/>
        <v>0.15599999999999997</v>
      </c>
      <c r="Y565">
        <v>2</v>
      </c>
      <c r="Z565">
        <v>2</v>
      </c>
      <c r="AA565" t="s">
        <v>50</v>
      </c>
      <c r="AB565">
        <f t="shared" si="194"/>
        <v>18.330302779823359</v>
      </c>
      <c r="AC565">
        <f t="shared" si="185"/>
        <v>73.321211119293437</v>
      </c>
      <c r="AE565">
        <v>1</v>
      </c>
      <c r="AF565">
        <v>1</v>
      </c>
      <c r="AG565">
        <v>2</v>
      </c>
      <c r="AH565">
        <f t="shared" si="195"/>
        <v>3.5820681101671346</v>
      </c>
      <c r="AI565">
        <f t="shared" si="186"/>
        <v>114.62617952534831</v>
      </c>
    </row>
    <row r="566" spans="1:35" x14ac:dyDescent="0.3">
      <c r="A566">
        <v>2022</v>
      </c>
      <c r="B566" t="s">
        <v>179</v>
      </c>
      <c r="C566" t="s">
        <v>180</v>
      </c>
      <c r="D566" t="s">
        <v>462</v>
      </c>
      <c r="E566" t="s">
        <v>463</v>
      </c>
      <c r="F566">
        <v>49</v>
      </c>
      <c r="G566" t="s">
        <v>79</v>
      </c>
      <c r="H566" t="s">
        <v>80</v>
      </c>
      <c r="I566" t="s">
        <v>81</v>
      </c>
      <c r="J566" t="s">
        <v>82</v>
      </c>
      <c r="K566" t="s">
        <v>83</v>
      </c>
      <c r="L566" t="s">
        <v>112</v>
      </c>
      <c r="M566" t="s">
        <v>112</v>
      </c>
      <c r="N566">
        <v>1</v>
      </c>
      <c r="O566">
        <f t="shared" si="188"/>
        <v>3.5335689045936395E-3</v>
      </c>
      <c r="P566">
        <v>10</v>
      </c>
      <c r="Q566">
        <f t="shared" si="189"/>
        <v>3.5335689045936395E-3</v>
      </c>
      <c r="R566">
        <v>5.0000000000000001E-3</v>
      </c>
      <c r="S566">
        <f t="shared" si="196"/>
        <v>0.05</v>
      </c>
      <c r="T566">
        <f t="shared" si="190"/>
        <v>1.5248551387618165E-4</v>
      </c>
      <c r="U566">
        <f t="shared" si="191"/>
        <v>-1.9948575610046777E-2</v>
      </c>
      <c r="V566">
        <f t="shared" si="192"/>
        <v>1.5599999999999999E-2</v>
      </c>
      <c r="W566">
        <v>0.1</v>
      </c>
      <c r="X566">
        <f t="shared" si="193"/>
        <v>0.15599999999999997</v>
      </c>
      <c r="Y566">
        <v>2</v>
      </c>
      <c r="Z566">
        <v>2</v>
      </c>
      <c r="AA566" t="s">
        <v>50</v>
      </c>
      <c r="AB566">
        <f t="shared" si="194"/>
        <v>2.8284271247461898</v>
      </c>
      <c r="AC566">
        <f t="shared" si="185"/>
        <v>11.313708498984759</v>
      </c>
      <c r="AE566">
        <v>2.5</v>
      </c>
      <c r="AF566">
        <v>2</v>
      </c>
      <c r="AG566">
        <v>2.5</v>
      </c>
      <c r="AH566">
        <f t="shared" si="195"/>
        <v>2.350376933178997</v>
      </c>
      <c r="AI566">
        <f t="shared" si="186"/>
        <v>12.033929897876465</v>
      </c>
    </row>
    <row r="567" spans="1:35" x14ac:dyDescent="0.3">
      <c r="A567">
        <v>2022</v>
      </c>
      <c r="B567" t="s">
        <v>179</v>
      </c>
      <c r="C567" t="s">
        <v>180</v>
      </c>
      <c r="D567" t="s">
        <v>462</v>
      </c>
      <c r="E567" t="s">
        <v>463</v>
      </c>
      <c r="F567">
        <v>49</v>
      </c>
      <c r="G567" t="s">
        <v>22</v>
      </c>
      <c r="H567" t="s">
        <v>56</v>
      </c>
      <c r="I567" t="s">
        <v>132</v>
      </c>
      <c r="J567" t="s">
        <v>175</v>
      </c>
      <c r="K567" t="s">
        <v>176</v>
      </c>
      <c r="L567" t="s">
        <v>112</v>
      </c>
      <c r="M567" t="s">
        <v>112</v>
      </c>
      <c r="N567">
        <v>1</v>
      </c>
      <c r="O567">
        <f t="shared" si="188"/>
        <v>3.5335689045936395E-3</v>
      </c>
      <c r="P567">
        <v>10</v>
      </c>
      <c r="Q567">
        <f t="shared" si="189"/>
        <v>3.5335689045936395E-3</v>
      </c>
      <c r="R567">
        <v>5.0000000000000001E-3</v>
      </c>
      <c r="S567">
        <f t="shared" si="196"/>
        <v>0.05</v>
      </c>
      <c r="T567">
        <f t="shared" si="190"/>
        <v>1.5248551387618165E-4</v>
      </c>
      <c r="U567">
        <f t="shared" si="191"/>
        <v>-1.9948575610046777E-2</v>
      </c>
      <c r="V567">
        <f t="shared" si="192"/>
        <v>1.5599999999999999E-2</v>
      </c>
      <c r="W567">
        <v>0.1</v>
      </c>
      <c r="X567">
        <f t="shared" si="193"/>
        <v>0.15599999999999997</v>
      </c>
      <c r="Y567">
        <v>2</v>
      </c>
      <c r="Z567">
        <v>2</v>
      </c>
      <c r="AA567" t="s">
        <v>50</v>
      </c>
      <c r="AB567">
        <f t="shared" si="194"/>
        <v>2.8284271247461898</v>
      </c>
      <c r="AC567">
        <f t="shared" si="185"/>
        <v>11.313708498984759</v>
      </c>
      <c r="AE567">
        <v>2.5</v>
      </c>
      <c r="AF567">
        <v>2.2000000000000002</v>
      </c>
      <c r="AG567">
        <v>2</v>
      </c>
      <c r="AH567">
        <f t="shared" si="195"/>
        <v>2.0683317011975175</v>
      </c>
      <c r="AI567">
        <f t="shared" si="186"/>
        <v>12.033929897876465</v>
      </c>
    </row>
    <row r="568" spans="1:35" x14ac:dyDescent="0.3">
      <c r="A568">
        <v>2022</v>
      </c>
      <c r="B568" t="s">
        <v>179</v>
      </c>
      <c r="C568" t="s">
        <v>180</v>
      </c>
      <c r="D568" t="s">
        <v>462</v>
      </c>
      <c r="E568" t="s">
        <v>463</v>
      </c>
      <c r="F568">
        <v>49</v>
      </c>
      <c r="I568" t="s">
        <v>230</v>
      </c>
      <c r="J568" t="s">
        <v>231</v>
      </c>
      <c r="K568" t="s">
        <v>232</v>
      </c>
      <c r="L568" t="s">
        <v>112</v>
      </c>
      <c r="M568" t="s">
        <v>112</v>
      </c>
      <c r="N568">
        <v>1</v>
      </c>
      <c r="O568">
        <f t="shared" si="188"/>
        <v>3.5335689045936395E-3</v>
      </c>
      <c r="P568">
        <v>10</v>
      </c>
      <c r="Q568">
        <f t="shared" si="189"/>
        <v>3.5335689045936395E-3</v>
      </c>
      <c r="R568">
        <v>0.01</v>
      </c>
      <c r="S568">
        <f t="shared" si="196"/>
        <v>0.1</v>
      </c>
      <c r="T568">
        <f t="shared" si="190"/>
        <v>3.0497102775236331E-4</v>
      </c>
      <c r="U568">
        <f t="shared" si="191"/>
        <v>-1.9948575610046777E-2</v>
      </c>
      <c r="V568">
        <f t="shared" si="192"/>
        <v>1.5599999999999999E-2</v>
      </c>
      <c r="W568">
        <v>0.1</v>
      </c>
      <c r="X568">
        <f t="shared" si="193"/>
        <v>0.15599999999999997</v>
      </c>
      <c r="Y568">
        <v>2</v>
      </c>
      <c r="Z568">
        <v>1</v>
      </c>
      <c r="AA568" t="s">
        <v>50</v>
      </c>
      <c r="AB568">
        <f t="shared" si="194"/>
        <v>2</v>
      </c>
      <c r="AC568">
        <f t="shared" si="185"/>
        <v>16</v>
      </c>
      <c r="AE568">
        <v>3</v>
      </c>
      <c r="AF568">
        <v>2</v>
      </c>
      <c r="AG568">
        <v>1</v>
      </c>
      <c r="AH568">
        <f t="shared" si="195"/>
        <v>1.897366596101028</v>
      </c>
      <c r="AI568">
        <f t="shared" si="186"/>
        <v>20.238577025077632</v>
      </c>
    </row>
    <row r="569" spans="1:35" x14ac:dyDescent="0.3">
      <c r="A569">
        <v>2022</v>
      </c>
      <c r="B569" t="s">
        <v>179</v>
      </c>
      <c r="C569" t="s">
        <v>180</v>
      </c>
      <c r="D569" t="s">
        <v>462</v>
      </c>
      <c r="E569" t="s">
        <v>463</v>
      </c>
      <c r="F569">
        <v>49</v>
      </c>
      <c r="G569" t="s">
        <v>61</v>
      </c>
      <c r="H569" t="s">
        <v>464</v>
      </c>
      <c r="I569" t="s">
        <v>465</v>
      </c>
      <c r="J569" t="s">
        <v>466</v>
      </c>
      <c r="K569" t="s">
        <v>467</v>
      </c>
      <c r="L569" t="s">
        <v>112</v>
      </c>
      <c r="M569" t="s">
        <v>112</v>
      </c>
      <c r="N569">
        <v>1</v>
      </c>
      <c r="O569">
        <f t="shared" si="188"/>
        <v>3.5335689045936395E-3</v>
      </c>
      <c r="P569">
        <v>10</v>
      </c>
      <c r="Q569">
        <f t="shared" si="189"/>
        <v>3.5335689045936395E-3</v>
      </c>
      <c r="R569">
        <v>5.0000000000000001E-3</v>
      </c>
      <c r="S569">
        <f t="shared" si="196"/>
        <v>0.05</v>
      </c>
      <c r="T569">
        <f t="shared" si="190"/>
        <v>1.5248551387618165E-4</v>
      </c>
      <c r="U569">
        <f t="shared" si="191"/>
        <v>-1.9948575610046777E-2</v>
      </c>
      <c r="V569">
        <f t="shared" si="192"/>
        <v>1.5599999999999999E-2</v>
      </c>
      <c r="W569">
        <v>0.1</v>
      </c>
      <c r="X569">
        <f t="shared" si="193"/>
        <v>0.15599999999999997</v>
      </c>
      <c r="Y569">
        <v>2</v>
      </c>
      <c r="Z569">
        <v>1</v>
      </c>
      <c r="AA569" t="s">
        <v>50</v>
      </c>
      <c r="AB569">
        <f t="shared" si="194"/>
        <v>1.4142135623730949</v>
      </c>
      <c r="AC569">
        <f t="shared" si="185"/>
        <v>11.313708498984759</v>
      </c>
      <c r="AE569">
        <v>2.5</v>
      </c>
      <c r="AF569">
        <v>1.5</v>
      </c>
      <c r="AG569">
        <v>2.5</v>
      </c>
      <c r="AH569">
        <f t="shared" si="195"/>
        <v>1.7627826998842477</v>
      </c>
      <c r="AI569">
        <f t="shared" si="186"/>
        <v>12.033929897876465</v>
      </c>
    </row>
    <row r="570" spans="1:35" x14ac:dyDescent="0.3">
      <c r="A570">
        <v>2022</v>
      </c>
      <c r="B570" t="s">
        <v>179</v>
      </c>
      <c r="C570" t="s">
        <v>180</v>
      </c>
      <c r="D570" t="s">
        <v>462</v>
      </c>
      <c r="E570" t="s">
        <v>463</v>
      </c>
      <c r="F570">
        <v>49</v>
      </c>
      <c r="G570" t="s">
        <v>22</v>
      </c>
      <c r="I570" t="s">
        <v>148</v>
      </c>
      <c r="J570" t="s">
        <v>161</v>
      </c>
      <c r="K570" t="s">
        <v>161</v>
      </c>
      <c r="L570" t="s">
        <v>112</v>
      </c>
      <c r="M570" t="s">
        <v>112</v>
      </c>
      <c r="N570">
        <v>1</v>
      </c>
      <c r="O570">
        <f t="shared" si="188"/>
        <v>3.5335689045936395E-3</v>
      </c>
      <c r="P570">
        <v>10</v>
      </c>
      <c r="Q570">
        <f t="shared" si="189"/>
        <v>3.5335689045936395E-3</v>
      </c>
      <c r="R570">
        <v>5.0000000000000001E-3</v>
      </c>
      <c r="S570">
        <f t="shared" si="196"/>
        <v>0.05</v>
      </c>
      <c r="T570">
        <f t="shared" si="190"/>
        <v>1.5248551387618165E-4</v>
      </c>
      <c r="U570">
        <f t="shared" si="191"/>
        <v>-1.9948575610046777E-2</v>
      </c>
      <c r="V570">
        <f t="shared" si="192"/>
        <v>1.5599999999999999E-2</v>
      </c>
      <c r="W570">
        <v>0.1</v>
      </c>
      <c r="X570">
        <f t="shared" si="193"/>
        <v>0.15599999999999997</v>
      </c>
      <c r="Y570">
        <v>2</v>
      </c>
      <c r="Z570">
        <v>3</v>
      </c>
      <c r="AA570" t="s">
        <v>50</v>
      </c>
      <c r="AB570">
        <f t="shared" si="194"/>
        <v>4.2426406871192848</v>
      </c>
      <c r="AC570">
        <f t="shared" si="185"/>
        <v>11.313708498984759</v>
      </c>
      <c r="AE570">
        <v>1</v>
      </c>
      <c r="AF570">
        <v>3.33</v>
      </c>
      <c r="AG570">
        <v>2</v>
      </c>
      <c r="AH570">
        <f t="shared" si="195"/>
        <v>1.2522808299977697</v>
      </c>
      <c r="AI570">
        <f t="shared" si="186"/>
        <v>12.033929897876465</v>
      </c>
    </row>
    <row r="571" spans="1:35" x14ac:dyDescent="0.3">
      <c r="A571">
        <v>2022</v>
      </c>
      <c r="B571" t="s">
        <v>179</v>
      </c>
      <c r="C571" t="s">
        <v>180</v>
      </c>
      <c r="D571" t="s">
        <v>462</v>
      </c>
      <c r="E571" t="s">
        <v>463</v>
      </c>
      <c r="F571">
        <v>49</v>
      </c>
      <c r="G571" t="s">
        <v>51</v>
      </c>
      <c r="H571" t="s">
        <v>52</v>
      </c>
      <c r="I571" t="s">
        <v>193</v>
      </c>
      <c r="J571" t="s">
        <v>194</v>
      </c>
      <c r="K571" t="s">
        <v>195</v>
      </c>
      <c r="L571" t="s">
        <v>112</v>
      </c>
      <c r="M571" t="s">
        <v>112</v>
      </c>
      <c r="N571">
        <v>2</v>
      </c>
      <c r="O571">
        <f t="shared" si="188"/>
        <v>7.0671378091872791E-3</v>
      </c>
      <c r="P571">
        <v>20</v>
      </c>
      <c r="Q571">
        <f t="shared" si="189"/>
        <v>7.0671378091872791E-3</v>
      </c>
      <c r="R571">
        <v>5.0000000000000001E-3</v>
      </c>
      <c r="S571">
        <f t="shared" si="196"/>
        <v>0.05</v>
      </c>
      <c r="T571">
        <f t="shared" si="190"/>
        <v>1.5248551387618165E-4</v>
      </c>
      <c r="U571">
        <f t="shared" si="191"/>
        <v>-3.4998584573026799E-2</v>
      </c>
      <c r="V571">
        <f t="shared" si="192"/>
        <v>1.5599999999999999E-2</v>
      </c>
      <c r="W571">
        <v>0.1</v>
      </c>
      <c r="X571">
        <f t="shared" si="193"/>
        <v>0.15599999999999997</v>
      </c>
      <c r="Y571">
        <v>2</v>
      </c>
      <c r="Z571">
        <v>3</v>
      </c>
      <c r="AA571" t="s">
        <v>50</v>
      </c>
      <c r="AB571">
        <f t="shared" si="194"/>
        <v>6</v>
      </c>
      <c r="AC571">
        <f t="shared" si="185"/>
        <v>16</v>
      </c>
      <c r="AE571">
        <v>1</v>
      </c>
      <c r="AF571">
        <v>2.67</v>
      </c>
      <c r="AG571">
        <v>1.5</v>
      </c>
      <c r="AH571">
        <f t="shared" si="195"/>
        <v>0.89554522498866573</v>
      </c>
      <c r="AI571">
        <f t="shared" si="186"/>
        <v>14.310835055998654</v>
      </c>
    </row>
    <row r="572" spans="1:35" x14ac:dyDescent="0.3">
      <c r="A572">
        <v>2022</v>
      </c>
      <c r="B572" t="s">
        <v>179</v>
      </c>
      <c r="C572" t="s">
        <v>180</v>
      </c>
      <c r="D572" t="s">
        <v>462</v>
      </c>
      <c r="E572" t="s">
        <v>463</v>
      </c>
      <c r="F572">
        <v>49</v>
      </c>
      <c r="G572" t="s">
        <v>22</v>
      </c>
      <c r="H572" t="s">
        <v>67</v>
      </c>
      <c r="I572" t="s">
        <v>84</v>
      </c>
      <c r="J572" t="s">
        <v>85</v>
      </c>
      <c r="K572" t="s">
        <v>199</v>
      </c>
      <c r="L572" t="s">
        <v>112</v>
      </c>
      <c r="M572" t="s">
        <v>112</v>
      </c>
      <c r="N572">
        <v>3</v>
      </c>
      <c r="O572">
        <f t="shared" si="188"/>
        <v>1.0600706713780919E-2</v>
      </c>
      <c r="P572">
        <v>30</v>
      </c>
      <c r="Q572">
        <f t="shared" si="189"/>
        <v>1.0600706713780919E-2</v>
      </c>
      <c r="R572">
        <v>5.0000000000000001E-3</v>
      </c>
      <c r="S572">
        <f t="shared" si="196"/>
        <v>0.05</v>
      </c>
      <c r="T572">
        <f t="shared" si="190"/>
        <v>1.5248551387618165E-4</v>
      </c>
      <c r="U572">
        <f t="shared" si="191"/>
        <v>-4.8199660165814076E-2</v>
      </c>
      <c r="V572">
        <f t="shared" si="192"/>
        <v>1.5599999999999999E-2</v>
      </c>
      <c r="W572">
        <v>0.1</v>
      </c>
      <c r="X572">
        <f t="shared" si="193"/>
        <v>0.15599999999999997</v>
      </c>
      <c r="Y572">
        <v>2</v>
      </c>
      <c r="Z572">
        <v>2</v>
      </c>
      <c r="AA572" t="s">
        <v>50</v>
      </c>
      <c r="AB572">
        <f t="shared" si="194"/>
        <v>4.8989794855663567</v>
      </c>
      <c r="AC572">
        <f t="shared" si="185"/>
        <v>19.595917942265427</v>
      </c>
      <c r="AE572">
        <v>1</v>
      </c>
      <c r="AF572">
        <v>2</v>
      </c>
      <c r="AG572">
        <v>1</v>
      </c>
      <c r="AH572">
        <f t="shared" si="195"/>
        <v>0.49492320038397675</v>
      </c>
      <c r="AI572">
        <f t="shared" si="186"/>
        <v>15.837542412287256</v>
      </c>
    </row>
    <row r="573" spans="1:35" x14ac:dyDescent="0.3">
      <c r="A573">
        <v>2022</v>
      </c>
      <c r="B573" t="s">
        <v>179</v>
      </c>
      <c r="C573" t="s">
        <v>180</v>
      </c>
      <c r="D573" t="s">
        <v>462</v>
      </c>
      <c r="E573" t="s">
        <v>463</v>
      </c>
      <c r="F573">
        <v>49</v>
      </c>
      <c r="G573" t="s">
        <v>22</v>
      </c>
      <c r="H573" t="s">
        <v>67</v>
      </c>
      <c r="I573" t="s">
        <v>84</v>
      </c>
      <c r="J573" t="s">
        <v>85</v>
      </c>
      <c r="K573" t="s">
        <v>86</v>
      </c>
      <c r="L573" t="s">
        <v>112</v>
      </c>
      <c r="M573" t="s">
        <v>112</v>
      </c>
      <c r="N573">
        <v>1</v>
      </c>
      <c r="O573">
        <f t="shared" si="188"/>
        <v>3.5335689045936395E-3</v>
      </c>
      <c r="P573">
        <v>10</v>
      </c>
      <c r="Q573">
        <f t="shared" si="189"/>
        <v>3.5335689045936395E-3</v>
      </c>
      <c r="R573">
        <v>5.0000000000000001E-3</v>
      </c>
      <c r="S573">
        <f t="shared" si="196"/>
        <v>0.05</v>
      </c>
      <c r="T573">
        <f t="shared" si="190"/>
        <v>1.5248551387618165E-4</v>
      </c>
      <c r="U573">
        <f t="shared" si="191"/>
        <v>-1.9948575610046777E-2</v>
      </c>
      <c r="V573">
        <f t="shared" si="192"/>
        <v>1.5599999999999999E-2</v>
      </c>
      <c r="W573">
        <v>0.1</v>
      </c>
      <c r="X573">
        <f t="shared" si="193"/>
        <v>0.15599999999999997</v>
      </c>
      <c r="Y573">
        <v>2</v>
      </c>
      <c r="Z573">
        <v>2</v>
      </c>
      <c r="AA573" t="s">
        <v>50</v>
      </c>
      <c r="AB573">
        <f t="shared" si="194"/>
        <v>2.8284271247461898</v>
      </c>
      <c r="AC573">
        <f t="shared" si="185"/>
        <v>11.313708498984759</v>
      </c>
      <c r="AE573">
        <v>1</v>
      </c>
      <c r="AF573">
        <v>2</v>
      </c>
      <c r="AG573">
        <v>1</v>
      </c>
      <c r="AH573">
        <f t="shared" si="195"/>
        <v>0.37606030930863954</v>
      </c>
      <c r="AI573">
        <f t="shared" si="186"/>
        <v>12.033929897876465</v>
      </c>
    </row>
    <row r="574" spans="1:35" x14ac:dyDescent="0.3">
      <c r="A574">
        <v>2022</v>
      </c>
      <c r="B574" t="s">
        <v>179</v>
      </c>
      <c r="C574" t="s">
        <v>180</v>
      </c>
      <c r="D574" t="s">
        <v>462</v>
      </c>
      <c r="E574" t="s">
        <v>463</v>
      </c>
      <c r="F574">
        <v>49</v>
      </c>
      <c r="G574" t="s">
        <v>22</v>
      </c>
      <c r="I574" t="s">
        <v>102</v>
      </c>
      <c r="J574" t="s">
        <v>103</v>
      </c>
      <c r="K574" t="s">
        <v>104</v>
      </c>
      <c r="L574" t="s">
        <v>112</v>
      </c>
      <c r="M574" t="s">
        <v>112</v>
      </c>
      <c r="N574">
        <v>4</v>
      </c>
      <c r="O574">
        <f t="shared" si="188"/>
        <v>1.4134275618374558E-2</v>
      </c>
      <c r="P574">
        <v>40</v>
      </c>
      <c r="Q574">
        <f t="shared" si="189"/>
        <v>1.4134275618374558E-2</v>
      </c>
      <c r="R574">
        <v>1.56</v>
      </c>
      <c r="S574">
        <f>R574*10</f>
        <v>15.600000000000001</v>
      </c>
      <c r="T574">
        <f t="shared" si="190"/>
        <v>4.7575480329368675E-2</v>
      </c>
      <c r="U574">
        <f t="shared" si="191"/>
        <v>-6.0200035851920096E-2</v>
      </c>
      <c r="V574">
        <f t="shared" si="192"/>
        <v>1.5599999999999999E-2</v>
      </c>
      <c r="W574">
        <v>0.1</v>
      </c>
      <c r="X574">
        <f t="shared" si="193"/>
        <v>0.15599999999999997</v>
      </c>
      <c r="Y574">
        <v>3</v>
      </c>
      <c r="Z574">
        <v>1</v>
      </c>
      <c r="AA574" t="s">
        <v>60</v>
      </c>
      <c r="AB574">
        <f t="shared" si="194"/>
        <v>74.939975980780787</v>
      </c>
      <c r="AC574">
        <f t="shared" si="185"/>
        <v>399.67987189749749</v>
      </c>
      <c r="AE574">
        <v>3</v>
      </c>
      <c r="AF574">
        <v>4</v>
      </c>
      <c r="AG574">
        <v>2.71</v>
      </c>
      <c r="AH574">
        <f t="shared" si="195"/>
        <v>641.96150054907389</v>
      </c>
      <c r="AI574">
        <f t="shared" si="186"/>
        <v>1263.3928670092475</v>
      </c>
    </row>
    <row r="575" spans="1:35" x14ac:dyDescent="0.3">
      <c r="A575">
        <v>2022</v>
      </c>
      <c r="B575" t="s">
        <v>179</v>
      </c>
      <c r="C575" t="s">
        <v>180</v>
      </c>
      <c r="D575" t="s">
        <v>462</v>
      </c>
      <c r="E575" t="s">
        <v>463</v>
      </c>
      <c r="F575">
        <v>49</v>
      </c>
      <c r="G575" t="s">
        <v>22</v>
      </c>
      <c r="H575" t="s">
        <v>56</v>
      </c>
      <c r="I575" t="s">
        <v>57</v>
      </c>
      <c r="J575" t="s">
        <v>58</v>
      </c>
      <c r="K575" t="s">
        <v>59</v>
      </c>
      <c r="L575" t="s">
        <v>112</v>
      </c>
      <c r="M575" t="s">
        <v>112</v>
      </c>
      <c r="N575">
        <v>11</v>
      </c>
      <c r="O575">
        <f t="shared" si="188"/>
        <v>3.8869257950530034E-2</v>
      </c>
      <c r="P575">
        <v>110</v>
      </c>
      <c r="Q575">
        <f t="shared" si="189"/>
        <v>3.8869257950530034E-2</v>
      </c>
      <c r="R575">
        <v>7.0000000000000007E-2</v>
      </c>
      <c r="S575">
        <f t="shared" si="196"/>
        <v>0.70000000000000007</v>
      </c>
      <c r="T575">
        <f t="shared" si="190"/>
        <v>2.1347971942665433E-3</v>
      </c>
      <c r="U575">
        <f t="shared" si="191"/>
        <v>-0.12622992181375808</v>
      </c>
      <c r="V575">
        <f t="shared" si="192"/>
        <v>1.5599999999999999E-2</v>
      </c>
      <c r="W575">
        <v>0.1</v>
      </c>
      <c r="X575">
        <f t="shared" si="193"/>
        <v>0.15599999999999997</v>
      </c>
      <c r="Y575">
        <v>3</v>
      </c>
      <c r="Z575">
        <v>2</v>
      </c>
      <c r="AA575" t="s">
        <v>60</v>
      </c>
      <c r="AB575">
        <f t="shared" si="194"/>
        <v>52.649786324352732</v>
      </c>
      <c r="AC575">
        <f t="shared" si="185"/>
        <v>140.39943019827396</v>
      </c>
      <c r="AE575">
        <v>1</v>
      </c>
      <c r="AF575">
        <v>3</v>
      </c>
      <c r="AG575">
        <v>2</v>
      </c>
      <c r="AH575">
        <f t="shared" si="195"/>
        <v>14.870410302418737</v>
      </c>
      <c r="AI575">
        <f t="shared" si="186"/>
        <v>158.61770989246654</v>
      </c>
    </row>
    <row r="576" spans="1:35" x14ac:dyDescent="0.3">
      <c r="A576">
        <v>2022</v>
      </c>
      <c r="B576" t="s">
        <v>179</v>
      </c>
      <c r="C576" t="s">
        <v>180</v>
      </c>
      <c r="D576" t="s">
        <v>462</v>
      </c>
      <c r="E576" t="s">
        <v>463</v>
      </c>
      <c r="F576">
        <v>49</v>
      </c>
      <c r="G576" t="s">
        <v>22</v>
      </c>
      <c r="H576" t="s">
        <v>56</v>
      </c>
      <c r="I576" t="s">
        <v>57</v>
      </c>
      <c r="J576" t="s">
        <v>130</v>
      </c>
      <c r="K576" t="s">
        <v>131</v>
      </c>
      <c r="L576" t="s">
        <v>112</v>
      </c>
      <c r="M576" t="s">
        <v>112</v>
      </c>
      <c r="N576">
        <v>4</v>
      </c>
      <c r="O576">
        <f t="shared" si="188"/>
        <v>1.4134275618374558E-2</v>
      </c>
      <c r="P576">
        <v>40</v>
      </c>
      <c r="Q576">
        <f t="shared" si="189"/>
        <v>1.4134275618374558E-2</v>
      </c>
      <c r="R576">
        <v>0.27</v>
      </c>
      <c r="S576">
        <f t="shared" si="196"/>
        <v>2.7</v>
      </c>
      <c r="T576">
        <f t="shared" si="190"/>
        <v>8.2342177493138092E-3</v>
      </c>
      <c r="U576">
        <f t="shared" si="191"/>
        <v>-6.0200035851920096E-2</v>
      </c>
      <c r="V576">
        <f t="shared" si="192"/>
        <v>1.5599999999999999E-2</v>
      </c>
      <c r="W576">
        <v>0.1</v>
      </c>
      <c r="X576">
        <f t="shared" si="193"/>
        <v>0.15599999999999997</v>
      </c>
      <c r="Y576">
        <v>3</v>
      </c>
      <c r="Z576">
        <v>2</v>
      </c>
      <c r="AA576" t="s">
        <v>100</v>
      </c>
      <c r="AB576">
        <f t="shared" si="194"/>
        <v>62.353829072479584</v>
      </c>
      <c r="AC576">
        <f t="shared" si="185"/>
        <v>166.27687752661222</v>
      </c>
      <c r="AE576">
        <v>1</v>
      </c>
      <c r="AF576">
        <v>3</v>
      </c>
      <c r="AG576">
        <v>1.5</v>
      </c>
      <c r="AH576">
        <f t="shared" si="195"/>
        <v>23.836930746699966</v>
      </c>
      <c r="AI576">
        <f t="shared" si="186"/>
        <v>339.01412617528842</v>
      </c>
    </row>
    <row r="577" spans="1:36" x14ac:dyDescent="0.3">
      <c r="A577">
        <v>2022</v>
      </c>
      <c r="B577" t="s">
        <v>179</v>
      </c>
      <c r="C577" t="s">
        <v>180</v>
      </c>
      <c r="D577" t="s">
        <v>462</v>
      </c>
      <c r="E577" t="s">
        <v>463</v>
      </c>
      <c r="F577">
        <v>49</v>
      </c>
      <c r="G577" t="s">
        <v>22</v>
      </c>
      <c r="H577" t="s">
        <v>96</v>
      </c>
      <c r="I577" t="s">
        <v>97</v>
      </c>
      <c r="J577" t="s">
        <v>98</v>
      </c>
      <c r="K577" t="s">
        <v>101</v>
      </c>
      <c r="L577" t="s">
        <v>112</v>
      </c>
      <c r="M577" t="s">
        <v>112</v>
      </c>
      <c r="N577">
        <v>9</v>
      </c>
      <c r="O577">
        <f t="shared" si="188"/>
        <v>3.1802120141342753E-2</v>
      </c>
      <c r="P577">
        <v>90</v>
      </c>
      <c r="Q577">
        <f t="shared" si="189"/>
        <v>3.1802120141342753E-2</v>
      </c>
      <c r="R577">
        <v>0.01</v>
      </c>
      <c r="S577">
        <f t="shared" si="196"/>
        <v>0.1</v>
      </c>
      <c r="T577">
        <f t="shared" si="190"/>
        <v>3.0497102775236331E-4</v>
      </c>
      <c r="U577">
        <f t="shared" si="191"/>
        <v>-0.10966078050446347</v>
      </c>
      <c r="V577">
        <f t="shared" si="192"/>
        <v>1.5599999999999999E-2</v>
      </c>
      <c r="W577">
        <v>0.1</v>
      </c>
      <c r="X577">
        <f t="shared" si="193"/>
        <v>0.15599999999999997</v>
      </c>
      <c r="Y577">
        <v>3</v>
      </c>
      <c r="Z577">
        <v>2</v>
      </c>
      <c r="AA577" t="s">
        <v>100</v>
      </c>
      <c r="AB577">
        <f t="shared" si="194"/>
        <v>18</v>
      </c>
      <c r="AC577">
        <f t="shared" si="185"/>
        <v>48</v>
      </c>
      <c r="AE577">
        <v>2.5</v>
      </c>
      <c r="AF577">
        <v>3</v>
      </c>
      <c r="AG577">
        <v>2</v>
      </c>
      <c r="AH577">
        <f t="shared" si="195"/>
        <v>8.2158383625774931</v>
      </c>
      <c r="AI577">
        <f t="shared" si="186"/>
        <v>35.054243680330636</v>
      </c>
    </row>
    <row r="578" spans="1:36" x14ac:dyDescent="0.3">
      <c r="A578">
        <v>2022</v>
      </c>
      <c r="B578" t="s">
        <v>179</v>
      </c>
      <c r="C578" t="s">
        <v>180</v>
      </c>
      <c r="D578" t="s">
        <v>462</v>
      </c>
      <c r="E578" t="s">
        <v>463</v>
      </c>
      <c r="F578">
        <v>49</v>
      </c>
      <c r="G578" t="s">
        <v>22</v>
      </c>
      <c r="H578" t="s">
        <v>96</v>
      </c>
      <c r="I578" t="s">
        <v>97</v>
      </c>
      <c r="J578" t="s">
        <v>98</v>
      </c>
      <c r="K578" t="s">
        <v>200</v>
      </c>
      <c r="L578" t="s">
        <v>112</v>
      </c>
      <c r="M578" t="s">
        <v>112</v>
      </c>
      <c r="N578">
        <v>4</v>
      </c>
      <c r="O578">
        <f t="shared" si="188"/>
        <v>1.4134275618374558E-2</v>
      </c>
      <c r="P578">
        <v>40</v>
      </c>
      <c r="Q578">
        <f t="shared" si="189"/>
        <v>1.4134275618374558E-2</v>
      </c>
      <c r="R578">
        <v>0.01</v>
      </c>
      <c r="S578">
        <f t="shared" si="196"/>
        <v>0.1</v>
      </c>
      <c r="T578">
        <f t="shared" si="190"/>
        <v>3.0497102775236331E-4</v>
      </c>
      <c r="U578">
        <f t="shared" si="191"/>
        <v>-6.0200035851920096E-2</v>
      </c>
      <c r="V578">
        <f t="shared" si="192"/>
        <v>1.5599999999999999E-2</v>
      </c>
      <c r="W578">
        <v>0.1</v>
      </c>
      <c r="X578">
        <f t="shared" si="193"/>
        <v>0.15599999999999997</v>
      </c>
      <c r="Y578">
        <v>3</v>
      </c>
      <c r="Z578">
        <v>2</v>
      </c>
      <c r="AA578" t="s">
        <v>100</v>
      </c>
      <c r="AB578">
        <f t="shared" si="194"/>
        <v>12</v>
      </c>
      <c r="AC578">
        <f t="shared" si="185"/>
        <v>32</v>
      </c>
      <c r="AE578">
        <v>2.5</v>
      </c>
      <c r="AF578">
        <v>3</v>
      </c>
      <c r="AG578">
        <v>2</v>
      </c>
      <c r="AH578">
        <f t="shared" si="195"/>
        <v>6.7082039324993694</v>
      </c>
      <c r="AI578">
        <f t="shared" si="186"/>
        <v>28.621670111997307</v>
      </c>
    </row>
    <row r="579" spans="1:36" x14ac:dyDescent="0.3">
      <c r="A579">
        <v>2022</v>
      </c>
      <c r="B579" t="s">
        <v>179</v>
      </c>
      <c r="C579" t="s">
        <v>180</v>
      </c>
      <c r="D579" t="s">
        <v>462</v>
      </c>
      <c r="E579" t="s">
        <v>463</v>
      </c>
      <c r="F579">
        <v>49</v>
      </c>
      <c r="G579" t="s">
        <v>22</v>
      </c>
      <c r="H579" t="s">
        <v>96</v>
      </c>
      <c r="I579" t="s">
        <v>97</v>
      </c>
      <c r="J579" t="s">
        <v>108</v>
      </c>
      <c r="K579" t="s">
        <v>109</v>
      </c>
      <c r="L579" t="s">
        <v>112</v>
      </c>
      <c r="M579" t="s">
        <v>112</v>
      </c>
      <c r="N579">
        <v>1</v>
      </c>
      <c r="O579">
        <f t="shared" si="188"/>
        <v>3.5335689045936395E-3</v>
      </c>
      <c r="P579">
        <v>10</v>
      </c>
      <c r="Q579">
        <f t="shared" si="189"/>
        <v>3.5335689045936395E-3</v>
      </c>
      <c r="R579">
        <v>5.0000000000000001E-3</v>
      </c>
      <c r="S579">
        <f t="shared" si="196"/>
        <v>0.05</v>
      </c>
      <c r="T579">
        <f t="shared" si="190"/>
        <v>1.5248551387618165E-4</v>
      </c>
      <c r="U579">
        <f t="shared" si="191"/>
        <v>-1.9948575610046777E-2</v>
      </c>
      <c r="V579">
        <f t="shared" si="192"/>
        <v>1.5599999999999999E-2</v>
      </c>
      <c r="W579">
        <v>0.1</v>
      </c>
      <c r="X579">
        <f t="shared" si="193"/>
        <v>0.15599999999999997</v>
      </c>
      <c r="Y579">
        <v>3</v>
      </c>
      <c r="Z579">
        <v>2</v>
      </c>
      <c r="AA579" t="s">
        <v>100</v>
      </c>
      <c r="AB579">
        <f t="shared" si="194"/>
        <v>4.2426406871192848</v>
      </c>
      <c r="AC579">
        <f t="shared" ref="AC579:AC642" si="197">(SQRT(S579/P579))*P579*4*4</f>
        <v>11.313708498984759</v>
      </c>
      <c r="AE579">
        <v>3</v>
      </c>
      <c r="AF579">
        <v>3</v>
      </c>
      <c r="AG579">
        <v>3</v>
      </c>
      <c r="AH579">
        <f t="shared" si="195"/>
        <v>5.0768141756666338</v>
      </c>
      <c r="AI579">
        <f t="shared" ref="AI579:AI642" si="198">((S579/P579)^0.75)*P579*4*4*4</f>
        <v>12.033929897876465</v>
      </c>
    </row>
    <row r="580" spans="1:36" x14ac:dyDescent="0.3">
      <c r="A580">
        <v>2022</v>
      </c>
      <c r="B580" t="s">
        <v>179</v>
      </c>
      <c r="C580" t="s">
        <v>180</v>
      </c>
      <c r="D580" t="s">
        <v>462</v>
      </c>
      <c r="E580" t="s">
        <v>463</v>
      </c>
      <c r="F580">
        <v>49</v>
      </c>
      <c r="G580" t="s">
        <v>22</v>
      </c>
      <c r="H580" t="s">
        <v>56</v>
      </c>
      <c r="I580" t="s">
        <v>153</v>
      </c>
      <c r="J580" t="s">
        <v>301</v>
      </c>
      <c r="K580" t="s">
        <v>302</v>
      </c>
      <c r="L580" t="s">
        <v>112</v>
      </c>
      <c r="M580" t="s">
        <v>112</v>
      </c>
      <c r="N580">
        <v>1</v>
      </c>
      <c r="O580">
        <f t="shared" si="188"/>
        <v>3.5335689045936395E-3</v>
      </c>
      <c r="P580">
        <v>10</v>
      </c>
      <c r="Q580">
        <f t="shared" si="189"/>
        <v>3.5335689045936395E-3</v>
      </c>
      <c r="R580">
        <v>5.0000000000000001E-3</v>
      </c>
      <c r="S580">
        <f t="shared" si="196"/>
        <v>0.05</v>
      </c>
      <c r="T580">
        <f t="shared" si="190"/>
        <v>1.5248551387618165E-4</v>
      </c>
      <c r="U580">
        <f t="shared" si="191"/>
        <v>-1.9948575610046777E-2</v>
      </c>
      <c r="V580">
        <f t="shared" si="192"/>
        <v>1.5599999999999999E-2</v>
      </c>
      <c r="W580">
        <v>0.1</v>
      </c>
      <c r="X580">
        <f t="shared" si="193"/>
        <v>0.15599999999999997</v>
      </c>
      <c r="Y580">
        <v>3</v>
      </c>
      <c r="Z580">
        <v>1</v>
      </c>
      <c r="AA580" t="s">
        <v>100</v>
      </c>
      <c r="AB580">
        <f t="shared" si="194"/>
        <v>2.1213203435596424</v>
      </c>
      <c r="AC580">
        <f t="shared" si="197"/>
        <v>11.313708498984759</v>
      </c>
      <c r="AE580">
        <v>3</v>
      </c>
      <c r="AF580">
        <v>3</v>
      </c>
      <c r="AG580">
        <v>2.5</v>
      </c>
      <c r="AH580">
        <f t="shared" si="195"/>
        <v>4.2306784797221955</v>
      </c>
      <c r="AI580">
        <f t="shared" si="198"/>
        <v>12.033929897876465</v>
      </c>
    </row>
    <row r="581" spans="1:36" s="4" customFormat="1" x14ac:dyDescent="0.3">
      <c r="N581" s="4">
        <f>SUM(N547:N580)</f>
        <v>283</v>
      </c>
      <c r="O581" s="4">
        <f>SUM(O547:O580)</f>
        <v>1.0000000000000007</v>
      </c>
      <c r="P581" s="4">
        <f t="shared" ref="P581:AI581" si="199">SUM(P547:P580)</f>
        <v>2830</v>
      </c>
      <c r="Q581" s="4">
        <f t="shared" si="199"/>
        <v>1.0000000000000007</v>
      </c>
      <c r="R581" s="4">
        <f t="shared" si="199"/>
        <v>32.790000000000006</v>
      </c>
      <c r="S581" s="4">
        <f t="shared" si="199"/>
        <v>327.90000000000026</v>
      </c>
      <c r="T581" s="4">
        <f t="shared" si="199"/>
        <v>0.99999999999999889</v>
      </c>
      <c r="U581" s="4">
        <f>-SUM(U547:U580)</f>
        <v>1.7813466794701236</v>
      </c>
      <c r="Y581" s="4">
        <v>4</v>
      </c>
      <c r="Z581" s="4">
        <v>4</v>
      </c>
      <c r="AB581" s="4">
        <f>SUM(AB547:AB580)</f>
        <v>7663.7408897103423</v>
      </c>
      <c r="AC581" s="4">
        <f>SUM(AC547:AC580)</f>
        <v>11063.106050604698</v>
      </c>
      <c r="AD581" s="4">
        <f>AB581/AC581</f>
        <v>0.69272958739209145</v>
      </c>
      <c r="AE581" s="4">
        <v>4</v>
      </c>
      <c r="AF581" s="4">
        <v>4</v>
      </c>
      <c r="AG581" s="4">
        <v>4</v>
      </c>
      <c r="AH581" s="4">
        <f t="shared" si="199"/>
        <v>9023.7578569451398</v>
      </c>
      <c r="AI581" s="4">
        <f t="shared" si="199"/>
        <v>27368.13014540292</v>
      </c>
      <c r="AJ581" s="4">
        <f>AH581/AI581</f>
        <v>0.32971773405794325</v>
      </c>
    </row>
    <row r="582" spans="1:36" x14ac:dyDescent="0.3">
      <c r="A582">
        <v>2022</v>
      </c>
      <c r="B582" t="s">
        <v>203</v>
      </c>
      <c r="C582" t="s">
        <v>204</v>
      </c>
      <c r="D582" t="s">
        <v>472</v>
      </c>
      <c r="E582" t="s">
        <v>473</v>
      </c>
      <c r="F582">
        <v>34</v>
      </c>
      <c r="G582" t="s">
        <v>35</v>
      </c>
      <c r="H582" t="s">
        <v>36</v>
      </c>
      <c r="I582" t="s">
        <v>37</v>
      </c>
      <c r="J582" t="s">
        <v>38</v>
      </c>
      <c r="K582" t="s">
        <v>39</v>
      </c>
      <c r="L582" t="s">
        <v>112</v>
      </c>
      <c r="M582" t="s">
        <v>112</v>
      </c>
      <c r="N582">
        <v>1</v>
      </c>
      <c r="O582">
        <f t="shared" ref="O582:O610" si="200">N582/$N$611</f>
        <v>7.2992700729927005E-3</v>
      </c>
      <c r="P582">
        <v>10</v>
      </c>
      <c r="Q582">
        <f t="shared" ref="Q582:Q610" si="201">P582/$P$611</f>
        <v>7.2992700729927005E-3</v>
      </c>
      <c r="R582">
        <v>5.99</v>
      </c>
      <c r="S582">
        <f>R582*10</f>
        <v>59.900000000000006</v>
      </c>
      <c r="T582">
        <f t="shared" ref="T582:T610" si="202">S582/$S$611</f>
        <v>0.75015654351909888</v>
      </c>
      <c r="U582">
        <f t="shared" ref="U582:U610" si="203">O582*LN(O582)</f>
        <v>-3.5912269531592156E-2</v>
      </c>
      <c r="V582">
        <f t="shared" ref="V582:V610" si="204">15.6/1000</f>
        <v>1.5599999999999999E-2</v>
      </c>
      <c r="W582">
        <v>0.1</v>
      </c>
      <c r="X582">
        <f t="shared" ref="X582:X610" si="205">V582/W582</f>
        <v>0.15599999999999997</v>
      </c>
      <c r="Y582">
        <v>4</v>
      </c>
      <c r="Z582">
        <v>3</v>
      </c>
      <c r="AA582" t="s">
        <v>27</v>
      </c>
      <c r="AB582">
        <f t="shared" ref="AB582:AB610" si="206">(SQRT(S582/P582))*P582*Z582*Y582</f>
        <v>293.69371801248997</v>
      </c>
      <c r="AC582">
        <f t="shared" si="197"/>
        <v>391.59162401665333</v>
      </c>
      <c r="AE582">
        <v>1.38</v>
      </c>
      <c r="AF582">
        <v>3.5</v>
      </c>
      <c r="AG582">
        <v>2.5</v>
      </c>
      <c r="AH582">
        <f t="shared" ref="AH582:AH610" si="207">((S582/P582)^0.75)*P582*AE582*AF582*AG582</f>
        <v>462.33551554325356</v>
      </c>
      <c r="AI582">
        <f t="shared" si="198"/>
        <v>2450.4739540180731</v>
      </c>
    </row>
    <row r="583" spans="1:36" x14ac:dyDescent="0.3">
      <c r="A583">
        <v>2022</v>
      </c>
      <c r="B583" t="s">
        <v>203</v>
      </c>
      <c r="C583" t="s">
        <v>204</v>
      </c>
      <c r="D583" t="s">
        <v>472</v>
      </c>
      <c r="E583" t="s">
        <v>473</v>
      </c>
      <c r="F583">
        <v>34</v>
      </c>
      <c r="G583" t="s">
        <v>28</v>
      </c>
      <c r="H583" t="s">
        <v>29</v>
      </c>
      <c r="I583" t="s">
        <v>30</v>
      </c>
      <c r="J583" t="s">
        <v>31</v>
      </c>
      <c r="K583" t="s">
        <v>185</v>
      </c>
      <c r="L583" t="s">
        <v>112</v>
      </c>
      <c r="M583" t="s">
        <v>112</v>
      </c>
      <c r="N583">
        <v>8</v>
      </c>
      <c r="O583">
        <f t="shared" si="200"/>
        <v>5.8394160583941604E-2</v>
      </c>
      <c r="P583">
        <v>80</v>
      </c>
      <c r="Q583">
        <f t="shared" si="201"/>
        <v>5.8394160583941604E-2</v>
      </c>
      <c r="R583">
        <v>0.71</v>
      </c>
      <c r="S583">
        <f t="shared" ref="S583:S610" si="208">R583*10</f>
        <v>7.1</v>
      </c>
      <c r="T583">
        <f t="shared" si="202"/>
        <v>8.8916718847839749E-2</v>
      </c>
      <c r="U583">
        <f t="shared" si="203"/>
        <v>-0.16587091294296577</v>
      </c>
      <c r="V583">
        <f t="shared" si="204"/>
        <v>1.5599999999999999E-2</v>
      </c>
      <c r="W583">
        <v>0.1</v>
      </c>
      <c r="X583">
        <f t="shared" si="205"/>
        <v>0.15599999999999997</v>
      </c>
      <c r="Y583">
        <v>4</v>
      </c>
      <c r="Z583">
        <v>3</v>
      </c>
      <c r="AA583" t="s">
        <v>27</v>
      </c>
      <c r="AB583">
        <f t="shared" si="206"/>
        <v>285.99300690751159</v>
      </c>
      <c r="AC583">
        <f t="shared" si="197"/>
        <v>381.32400921001545</v>
      </c>
      <c r="AE583">
        <v>2</v>
      </c>
      <c r="AF583">
        <v>4</v>
      </c>
      <c r="AG583">
        <v>3</v>
      </c>
      <c r="AH583">
        <f t="shared" si="207"/>
        <v>312.1961190567236</v>
      </c>
      <c r="AI583">
        <f t="shared" si="198"/>
        <v>832.5229841512629</v>
      </c>
    </row>
    <row r="584" spans="1:36" x14ac:dyDescent="0.3">
      <c r="A584">
        <v>2022</v>
      </c>
      <c r="B584" t="s">
        <v>203</v>
      </c>
      <c r="C584" t="s">
        <v>204</v>
      </c>
      <c r="D584" t="s">
        <v>472</v>
      </c>
      <c r="E584" t="s">
        <v>473</v>
      </c>
      <c r="F584">
        <v>34</v>
      </c>
      <c r="G584" t="s">
        <v>22</v>
      </c>
      <c r="I584" t="s">
        <v>105</v>
      </c>
      <c r="J584" t="s">
        <v>106</v>
      </c>
      <c r="K584" t="s">
        <v>107</v>
      </c>
      <c r="L584" t="s">
        <v>112</v>
      </c>
      <c r="M584" t="s">
        <v>112</v>
      </c>
      <c r="N584">
        <v>4</v>
      </c>
      <c r="O584">
        <f t="shared" si="200"/>
        <v>2.9197080291970802E-2</v>
      </c>
      <c r="P584">
        <v>40</v>
      </c>
      <c r="Q584">
        <f t="shared" si="201"/>
        <v>2.9197080291970802E-2</v>
      </c>
      <c r="R584">
        <v>0.04</v>
      </c>
      <c r="S584">
        <f t="shared" si="208"/>
        <v>0.4</v>
      </c>
      <c r="T584">
        <f t="shared" si="202"/>
        <v>5.0093926111459018E-3</v>
      </c>
      <c r="U584">
        <f t="shared" si="203"/>
        <v>-0.1031733303564448</v>
      </c>
      <c r="V584">
        <f t="shared" si="204"/>
        <v>1.5599999999999999E-2</v>
      </c>
      <c r="W584">
        <v>0.1</v>
      </c>
      <c r="X584">
        <f t="shared" si="205"/>
        <v>0.15599999999999997</v>
      </c>
      <c r="Y584">
        <v>4</v>
      </c>
      <c r="Z584">
        <v>4</v>
      </c>
      <c r="AA584" t="s">
        <v>27</v>
      </c>
      <c r="AB584">
        <f t="shared" si="206"/>
        <v>64</v>
      </c>
      <c r="AC584">
        <f t="shared" si="197"/>
        <v>64</v>
      </c>
      <c r="AE584">
        <v>2</v>
      </c>
      <c r="AF584">
        <v>3</v>
      </c>
      <c r="AG584">
        <v>3</v>
      </c>
      <c r="AH584">
        <f t="shared" si="207"/>
        <v>22.768399153212336</v>
      </c>
      <c r="AI584">
        <f t="shared" si="198"/>
        <v>80.954308100310527</v>
      </c>
    </row>
    <row r="585" spans="1:36" x14ac:dyDescent="0.3">
      <c r="A585">
        <v>2022</v>
      </c>
      <c r="B585" t="s">
        <v>203</v>
      </c>
      <c r="C585" t="s">
        <v>204</v>
      </c>
      <c r="D585" t="s">
        <v>472</v>
      </c>
      <c r="E585" t="s">
        <v>473</v>
      </c>
      <c r="F585">
        <v>34</v>
      </c>
      <c r="G585" t="s">
        <v>22</v>
      </c>
      <c r="H585" t="s">
        <v>67</v>
      </c>
      <c r="I585" t="s">
        <v>224</v>
      </c>
      <c r="J585" t="s">
        <v>225</v>
      </c>
      <c r="K585" t="s">
        <v>226</v>
      </c>
      <c r="L585" t="s">
        <v>112</v>
      </c>
      <c r="M585" t="s">
        <v>112</v>
      </c>
      <c r="N585">
        <v>1</v>
      </c>
      <c r="O585">
        <f t="shared" si="200"/>
        <v>7.2992700729927005E-3</v>
      </c>
      <c r="P585">
        <v>10</v>
      </c>
      <c r="Q585">
        <f t="shared" si="201"/>
        <v>7.2992700729927005E-3</v>
      </c>
      <c r="R585">
        <v>0.06</v>
      </c>
      <c r="S585">
        <f t="shared" si="208"/>
        <v>0.6</v>
      </c>
      <c r="T585">
        <f t="shared" si="202"/>
        <v>7.5140889167188522E-3</v>
      </c>
      <c r="U585">
        <f t="shared" si="203"/>
        <v>-3.5912269531592156E-2</v>
      </c>
      <c r="V585">
        <f t="shared" si="204"/>
        <v>1.5599999999999999E-2</v>
      </c>
      <c r="W585">
        <v>0.1</v>
      </c>
      <c r="X585">
        <f t="shared" si="205"/>
        <v>0.15599999999999997</v>
      </c>
      <c r="Y585">
        <v>4</v>
      </c>
      <c r="Z585">
        <v>3</v>
      </c>
      <c r="AA585" t="s">
        <v>27</v>
      </c>
      <c r="AB585">
        <f t="shared" si="206"/>
        <v>29.393876913398135</v>
      </c>
      <c r="AC585">
        <f t="shared" si="197"/>
        <v>39.191835884530846</v>
      </c>
      <c r="AE585">
        <v>3</v>
      </c>
      <c r="AF585">
        <v>2</v>
      </c>
      <c r="AG585">
        <v>1</v>
      </c>
      <c r="AH585">
        <f t="shared" si="207"/>
        <v>7.2738558168358427</v>
      </c>
      <c r="AI585">
        <f t="shared" si="198"/>
        <v>77.587795379582317</v>
      </c>
    </row>
    <row r="586" spans="1:36" x14ac:dyDescent="0.3">
      <c r="A586">
        <v>2022</v>
      </c>
      <c r="B586" t="s">
        <v>203</v>
      </c>
      <c r="C586" t="s">
        <v>204</v>
      </c>
      <c r="D586" t="s">
        <v>472</v>
      </c>
      <c r="E586" t="s">
        <v>473</v>
      </c>
      <c r="F586">
        <v>34</v>
      </c>
      <c r="K586" t="s">
        <v>75</v>
      </c>
      <c r="L586" t="s">
        <v>112</v>
      </c>
      <c r="M586" t="s">
        <v>112</v>
      </c>
      <c r="N586">
        <v>2</v>
      </c>
      <c r="O586">
        <f t="shared" si="200"/>
        <v>1.4598540145985401E-2</v>
      </c>
      <c r="P586">
        <v>20</v>
      </c>
      <c r="Q586">
        <f t="shared" si="201"/>
        <v>1.4598540145985401E-2</v>
      </c>
      <c r="R586">
        <v>5.0000000000000001E-3</v>
      </c>
      <c r="S586">
        <f t="shared" si="208"/>
        <v>0.05</v>
      </c>
      <c r="T586">
        <f t="shared" si="202"/>
        <v>6.2617407639323772E-4</v>
      </c>
      <c r="U586">
        <f t="shared" si="203"/>
        <v>-6.1705602120703348E-2</v>
      </c>
      <c r="V586">
        <f t="shared" si="204"/>
        <v>1.5599999999999999E-2</v>
      </c>
      <c r="W586">
        <v>0.1</v>
      </c>
      <c r="X586">
        <f t="shared" si="205"/>
        <v>0.15599999999999997</v>
      </c>
      <c r="Y586">
        <v>4</v>
      </c>
      <c r="Z586">
        <v>3</v>
      </c>
      <c r="AA586" t="s">
        <v>27</v>
      </c>
      <c r="AB586">
        <f t="shared" si="206"/>
        <v>12</v>
      </c>
      <c r="AC586">
        <f t="shared" si="197"/>
        <v>16</v>
      </c>
      <c r="AE586">
        <v>2</v>
      </c>
      <c r="AF586">
        <v>2</v>
      </c>
      <c r="AG586">
        <v>2</v>
      </c>
      <c r="AH586">
        <f t="shared" si="207"/>
        <v>1.7888543819998317</v>
      </c>
      <c r="AI586">
        <f t="shared" si="198"/>
        <v>14.310835055998654</v>
      </c>
    </row>
    <row r="587" spans="1:36" x14ac:dyDescent="0.3">
      <c r="A587">
        <v>2022</v>
      </c>
      <c r="B587" t="s">
        <v>203</v>
      </c>
      <c r="C587" t="s">
        <v>204</v>
      </c>
      <c r="D587" t="s">
        <v>472</v>
      </c>
      <c r="E587" t="s">
        <v>473</v>
      </c>
      <c r="F587">
        <v>34</v>
      </c>
      <c r="G587" t="s">
        <v>378</v>
      </c>
      <c r="H587" t="s">
        <v>379</v>
      </c>
      <c r="I587" t="s">
        <v>380</v>
      </c>
      <c r="J587" t="s">
        <v>381</v>
      </c>
      <c r="K587" t="s">
        <v>382</v>
      </c>
      <c r="L587" t="s">
        <v>112</v>
      </c>
      <c r="M587" t="s">
        <v>112</v>
      </c>
      <c r="N587">
        <v>1</v>
      </c>
      <c r="O587">
        <f t="shared" si="200"/>
        <v>7.2992700729927005E-3</v>
      </c>
      <c r="P587">
        <v>10</v>
      </c>
      <c r="Q587">
        <f t="shared" si="201"/>
        <v>7.2992700729927005E-3</v>
      </c>
      <c r="R587">
        <v>5.0000000000000001E-3</v>
      </c>
      <c r="S587">
        <f t="shared" si="208"/>
        <v>0.05</v>
      </c>
      <c r="T587">
        <f t="shared" si="202"/>
        <v>6.2617407639323772E-4</v>
      </c>
      <c r="U587">
        <f t="shared" si="203"/>
        <v>-3.5912269531592156E-2</v>
      </c>
      <c r="V587">
        <f t="shared" si="204"/>
        <v>1.5599999999999999E-2</v>
      </c>
      <c r="W587">
        <v>0.1</v>
      </c>
      <c r="X587">
        <f t="shared" si="205"/>
        <v>0.15599999999999997</v>
      </c>
      <c r="Y587">
        <v>4</v>
      </c>
      <c r="Z587">
        <v>3</v>
      </c>
      <c r="AA587" t="s">
        <v>27</v>
      </c>
      <c r="AB587">
        <f t="shared" si="206"/>
        <v>8.4852813742385695</v>
      </c>
      <c r="AC587">
        <f t="shared" si="197"/>
        <v>11.313708498984759</v>
      </c>
      <c r="AE587">
        <v>2.5</v>
      </c>
      <c r="AF587">
        <v>1</v>
      </c>
      <c r="AG587">
        <v>2</v>
      </c>
      <c r="AH587">
        <f t="shared" si="207"/>
        <v>0.94015077327159879</v>
      </c>
      <c r="AI587">
        <f t="shared" si="198"/>
        <v>12.033929897876465</v>
      </c>
    </row>
    <row r="588" spans="1:36" x14ac:dyDescent="0.3">
      <c r="A588">
        <v>2022</v>
      </c>
      <c r="B588" t="s">
        <v>203</v>
      </c>
      <c r="C588" t="s">
        <v>204</v>
      </c>
      <c r="D588" t="s">
        <v>472</v>
      </c>
      <c r="E588" t="s">
        <v>473</v>
      </c>
      <c r="F588">
        <v>34</v>
      </c>
      <c r="G588" t="s">
        <v>22</v>
      </c>
      <c r="H588" t="s">
        <v>67</v>
      </c>
      <c r="I588" t="s">
        <v>87</v>
      </c>
      <c r="J588" t="s">
        <v>475</v>
      </c>
      <c r="K588" t="s">
        <v>476</v>
      </c>
      <c r="L588" t="s">
        <v>112</v>
      </c>
      <c r="M588" t="s">
        <v>112</v>
      </c>
      <c r="N588">
        <v>1</v>
      </c>
      <c r="O588">
        <f t="shared" si="200"/>
        <v>7.2992700729927005E-3</v>
      </c>
      <c r="P588">
        <v>10</v>
      </c>
      <c r="Q588">
        <f t="shared" si="201"/>
        <v>7.2992700729927005E-3</v>
      </c>
      <c r="R588">
        <v>5.0000000000000001E-3</v>
      </c>
      <c r="S588">
        <f t="shared" si="208"/>
        <v>0.05</v>
      </c>
      <c r="T588">
        <f t="shared" si="202"/>
        <v>6.2617407639323772E-4</v>
      </c>
      <c r="U588">
        <f t="shared" si="203"/>
        <v>-3.5912269531592156E-2</v>
      </c>
      <c r="V588">
        <f t="shared" si="204"/>
        <v>1.5599999999999999E-2</v>
      </c>
      <c r="W588">
        <v>0.1</v>
      </c>
      <c r="X588">
        <f t="shared" si="205"/>
        <v>0.15599999999999997</v>
      </c>
      <c r="Y588">
        <v>4</v>
      </c>
      <c r="Z588">
        <v>3</v>
      </c>
      <c r="AA588" t="s">
        <v>27</v>
      </c>
      <c r="AB588">
        <f t="shared" si="206"/>
        <v>8.4852813742385695</v>
      </c>
      <c r="AC588">
        <f t="shared" si="197"/>
        <v>11.313708498984759</v>
      </c>
      <c r="AE588">
        <v>1.5</v>
      </c>
      <c r="AF588">
        <v>2</v>
      </c>
      <c r="AG588">
        <v>1.25</v>
      </c>
      <c r="AH588">
        <f t="shared" si="207"/>
        <v>0.70511307995369921</v>
      </c>
      <c r="AI588">
        <f t="shared" si="198"/>
        <v>12.033929897876465</v>
      </c>
    </row>
    <row r="589" spans="1:36" x14ac:dyDescent="0.3">
      <c r="A589">
        <v>2022</v>
      </c>
      <c r="B589" t="s">
        <v>203</v>
      </c>
      <c r="C589" t="s">
        <v>204</v>
      </c>
      <c r="D589" t="s">
        <v>472</v>
      </c>
      <c r="E589" t="s">
        <v>473</v>
      </c>
      <c r="F589">
        <v>34</v>
      </c>
      <c r="G589" t="s">
        <v>22</v>
      </c>
      <c r="H589" t="s">
        <v>23</v>
      </c>
      <c r="I589" t="s">
        <v>478</v>
      </c>
      <c r="J589" t="s">
        <v>479</v>
      </c>
      <c r="K589" t="s">
        <v>480</v>
      </c>
      <c r="L589" t="s">
        <v>112</v>
      </c>
      <c r="M589" t="s">
        <v>112</v>
      </c>
      <c r="N589">
        <v>1</v>
      </c>
      <c r="O589">
        <f t="shared" si="200"/>
        <v>7.2992700729927005E-3</v>
      </c>
      <c r="P589">
        <v>10</v>
      </c>
      <c r="Q589">
        <f t="shared" si="201"/>
        <v>7.2992700729927005E-3</v>
      </c>
      <c r="R589">
        <v>5.0000000000000001E-3</v>
      </c>
      <c r="S589">
        <f t="shared" si="208"/>
        <v>0.05</v>
      </c>
      <c r="T589">
        <f t="shared" si="202"/>
        <v>6.2617407639323772E-4</v>
      </c>
      <c r="U589">
        <f t="shared" si="203"/>
        <v>-3.5912269531592156E-2</v>
      </c>
      <c r="V589">
        <f t="shared" si="204"/>
        <v>1.5599999999999999E-2</v>
      </c>
      <c r="W589">
        <v>0.1</v>
      </c>
      <c r="X589">
        <f t="shared" si="205"/>
        <v>0.15599999999999997</v>
      </c>
      <c r="Y589">
        <v>4</v>
      </c>
      <c r="Z589">
        <v>3</v>
      </c>
      <c r="AA589" t="s">
        <v>27</v>
      </c>
      <c r="AB589">
        <f t="shared" si="206"/>
        <v>8.4852813742385695</v>
      </c>
      <c r="AC589">
        <f t="shared" si="197"/>
        <v>11.313708498984759</v>
      </c>
      <c r="AE589">
        <v>1</v>
      </c>
      <c r="AF589">
        <v>2</v>
      </c>
      <c r="AG589">
        <v>1.5</v>
      </c>
      <c r="AH589">
        <f t="shared" si="207"/>
        <v>0.56409046396295937</v>
      </c>
      <c r="AI589">
        <f t="shared" si="198"/>
        <v>12.033929897876465</v>
      </c>
    </row>
    <row r="590" spans="1:36" x14ac:dyDescent="0.3">
      <c r="A590">
        <v>2022</v>
      </c>
      <c r="B590" t="s">
        <v>203</v>
      </c>
      <c r="C590" t="s">
        <v>204</v>
      </c>
      <c r="D590" t="s">
        <v>472</v>
      </c>
      <c r="E590" t="s">
        <v>473</v>
      </c>
      <c r="F590">
        <v>34</v>
      </c>
      <c r="G590" t="s">
        <v>22</v>
      </c>
      <c r="H590" t="s">
        <v>56</v>
      </c>
      <c r="I590" t="s">
        <v>90</v>
      </c>
      <c r="J590" t="s">
        <v>91</v>
      </c>
      <c r="K590" t="s">
        <v>92</v>
      </c>
      <c r="L590" t="s">
        <v>112</v>
      </c>
      <c r="M590" t="s">
        <v>112</v>
      </c>
      <c r="N590">
        <v>30</v>
      </c>
      <c r="O590">
        <f t="shared" si="200"/>
        <v>0.21897810218978103</v>
      </c>
      <c r="P590">
        <v>300</v>
      </c>
      <c r="Q590">
        <f t="shared" si="201"/>
        <v>0.21897810218978103</v>
      </c>
      <c r="R590">
        <v>0.62</v>
      </c>
      <c r="S590">
        <f t="shared" si="208"/>
        <v>6.2</v>
      </c>
      <c r="T590">
        <f t="shared" si="202"/>
        <v>7.7645585472761472E-2</v>
      </c>
      <c r="U590">
        <f t="shared" si="203"/>
        <v>-0.33258033813853344</v>
      </c>
      <c r="V590">
        <f t="shared" si="204"/>
        <v>1.5599999999999999E-2</v>
      </c>
      <c r="W590">
        <v>0.1</v>
      </c>
      <c r="X590">
        <f t="shared" si="205"/>
        <v>0.15599999999999997</v>
      </c>
      <c r="Y590">
        <v>3</v>
      </c>
      <c r="Z590">
        <v>1</v>
      </c>
      <c r="AA590" t="s">
        <v>93</v>
      </c>
      <c r="AB590">
        <f t="shared" si="206"/>
        <v>129.38315191708696</v>
      </c>
      <c r="AC590">
        <f t="shared" si="197"/>
        <v>690.04347689113047</v>
      </c>
      <c r="AE590">
        <v>1</v>
      </c>
      <c r="AF590">
        <v>3</v>
      </c>
      <c r="AG590">
        <v>1</v>
      </c>
      <c r="AH590">
        <f t="shared" si="207"/>
        <v>49.056361724630762</v>
      </c>
      <c r="AI590">
        <f t="shared" si="198"/>
        <v>1046.5357167921229</v>
      </c>
    </row>
    <row r="591" spans="1:36" x14ac:dyDescent="0.3">
      <c r="A591">
        <v>2022</v>
      </c>
      <c r="B591" t="s">
        <v>203</v>
      </c>
      <c r="C591" t="s">
        <v>204</v>
      </c>
      <c r="D591" t="s">
        <v>472</v>
      </c>
      <c r="E591" t="s">
        <v>473</v>
      </c>
      <c r="F591">
        <v>34</v>
      </c>
      <c r="G591" t="s">
        <v>22</v>
      </c>
      <c r="H591" t="s">
        <v>56</v>
      </c>
      <c r="I591" t="s">
        <v>90</v>
      </c>
      <c r="J591" t="s">
        <v>201</v>
      </c>
      <c r="K591" t="s">
        <v>202</v>
      </c>
      <c r="L591" t="s">
        <v>112</v>
      </c>
      <c r="M591" t="s">
        <v>112</v>
      </c>
      <c r="N591">
        <v>2</v>
      </c>
      <c r="O591">
        <f t="shared" si="200"/>
        <v>1.4598540145985401E-2</v>
      </c>
      <c r="P591">
        <v>20</v>
      </c>
      <c r="Q591">
        <f t="shared" si="201"/>
        <v>1.4598540145985401E-2</v>
      </c>
      <c r="R591">
        <v>0.04</v>
      </c>
      <c r="S591">
        <f t="shared" si="208"/>
        <v>0.4</v>
      </c>
      <c r="T591">
        <f t="shared" si="202"/>
        <v>5.0093926111459018E-3</v>
      </c>
      <c r="U591">
        <f t="shared" si="203"/>
        <v>-6.1705602120703348E-2</v>
      </c>
      <c r="V591">
        <f t="shared" si="204"/>
        <v>1.5599999999999999E-2</v>
      </c>
      <c r="W591">
        <v>0.1</v>
      </c>
      <c r="X591">
        <f t="shared" si="205"/>
        <v>0.15599999999999997</v>
      </c>
      <c r="Y591">
        <v>3</v>
      </c>
      <c r="Z591">
        <v>1</v>
      </c>
      <c r="AA591" t="s">
        <v>93</v>
      </c>
      <c r="AB591">
        <f t="shared" si="206"/>
        <v>8.4852813742385695</v>
      </c>
      <c r="AC591">
        <f t="shared" si="197"/>
        <v>45.254833995939038</v>
      </c>
      <c r="AE591">
        <v>3</v>
      </c>
      <c r="AF591">
        <v>3</v>
      </c>
      <c r="AG591">
        <v>1</v>
      </c>
      <c r="AH591">
        <f t="shared" si="207"/>
        <v>9.5729326145009814</v>
      </c>
      <c r="AI591">
        <f t="shared" si="198"/>
        <v>68.074187480895873</v>
      </c>
    </row>
    <row r="592" spans="1:36" x14ac:dyDescent="0.3">
      <c r="A592">
        <v>2022</v>
      </c>
      <c r="B592" t="s">
        <v>203</v>
      </c>
      <c r="C592" t="s">
        <v>204</v>
      </c>
      <c r="D592" t="s">
        <v>472</v>
      </c>
      <c r="E592" t="s">
        <v>473</v>
      </c>
      <c r="F592">
        <v>34</v>
      </c>
      <c r="G592" t="s">
        <v>79</v>
      </c>
      <c r="H592" t="s">
        <v>80</v>
      </c>
      <c r="I592" t="s">
        <v>81</v>
      </c>
      <c r="J592" t="s">
        <v>177</v>
      </c>
      <c r="K592" t="s">
        <v>178</v>
      </c>
      <c r="L592" t="s">
        <v>112</v>
      </c>
      <c r="M592" t="s">
        <v>112</v>
      </c>
      <c r="N592">
        <v>2</v>
      </c>
      <c r="O592">
        <f t="shared" si="200"/>
        <v>1.4598540145985401E-2</v>
      </c>
      <c r="P592">
        <v>20</v>
      </c>
      <c r="Q592">
        <f t="shared" si="201"/>
        <v>1.4598540145985401E-2</v>
      </c>
      <c r="R592">
        <v>5.0000000000000001E-3</v>
      </c>
      <c r="S592">
        <f t="shared" si="208"/>
        <v>0.05</v>
      </c>
      <c r="T592">
        <f t="shared" si="202"/>
        <v>6.2617407639323772E-4</v>
      </c>
      <c r="U592">
        <f t="shared" si="203"/>
        <v>-6.1705602120703348E-2</v>
      </c>
      <c r="V592">
        <f t="shared" si="204"/>
        <v>1.5599999999999999E-2</v>
      </c>
      <c r="W592">
        <v>0.1</v>
      </c>
      <c r="X592">
        <f t="shared" si="205"/>
        <v>0.15599999999999997</v>
      </c>
      <c r="Y592">
        <v>3</v>
      </c>
      <c r="Z592">
        <v>2</v>
      </c>
      <c r="AA592" t="s">
        <v>93</v>
      </c>
      <c r="AB592">
        <f t="shared" si="206"/>
        <v>6</v>
      </c>
      <c r="AC592">
        <f t="shared" si="197"/>
        <v>16</v>
      </c>
      <c r="AE592">
        <v>3</v>
      </c>
      <c r="AF592">
        <v>3</v>
      </c>
      <c r="AG592">
        <v>3</v>
      </c>
      <c r="AH592">
        <f t="shared" si="207"/>
        <v>6.0373835392494319</v>
      </c>
      <c r="AI592">
        <f t="shared" si="198"/>
        <v>14.310835055998654</v>
      </c>
    </row>
    <row r="593" spans="1:35" x14ac:dyDescent="0.3">
      <c r="A593">
        <v>2022</v>
      </c>
      <c r="B593" t="s">
        <v>203</v>
      </c>
      <c r="C593" t="s">
        <v>204</v>
      </c>
      <c r="D593" t="s">
        <v>472</v>
      </c>
      <c r="E593" t="s">
        <v>473</v>
      </c>
      <c r="F593">
        <v>34</v>
      </c>
      <c r="G593" t="s">
        <v>22</v>
      </c>
      <c r="I593" t="s">
        <v>221</v>
      </c>
      <c r="J593" t="s">
        <v>222</v>
      </c>
      <c r="K593" t="s">
        <v>223</v>
      </c>
      <c r="L593" t="s">
        <v>112</v>
      </c>
      <c r="M593" t="s">
        <v>112</v>
      </c>
      <c r="N593">
        <v>31</v>
      </c>
      <c r="O593">
        <f t="shared" si="200"/>
        <v>0.22627737226277372</v>
      </c>
      <c r="P593">
        <v>310</v>
      </c>
      <c r="Q593">
        <f t="shared" si="201"/>
        <v>0.22627737226277372</v>
      </c>
      <c r="R593">
        <v>0.04</v>
      </c>
      <c r="S593">
        <f t="shared" si="208"/>
        <v>0.4</v>
      </c>
      <c r="T593">
        <f t="shared" si="202"/>
        <v>5.0093926111459018E-3</v>
      </c>
      <c r="U593">
        <f t="shared" si="203"/>
        <v>-0.33624675446446961</v>
      </c>
      <c r="V593">
        <f t="shared" si="204"/>
        <v>1.5599999999999999E-2</v>
      </c>
      <c r="W593">
        <v>0.1</v>
      </c>
      <c r="X593">
        <f t="shared" si="205"/>
        <v>0.15599999999999997</v>
      </c>
      <c r="Y593">
        <v>2</v>
      </c>
      <c r="Z593">
        <v>2</v>
      </c>
      <c r="AA593" t="s">
        <v>50</v>
      </c>
      <c r="AB593">
        <f t="shared" si="206"/>
        <v>44.542114902640179</v>
      </c>
      <c r="AC593">
        <f t="shared" si="197"/>
        <v>178.16845961056072</v>
      </c>
      <c r="AE593">
        <v>3</v>
      </c>
      <c r="AF593">
        <v>3</v>
      </c>
      <c r="AG593">
        <v>4</v>
      </c>
      <c r="AH593">
        <f t="shared" si="207"/>
        <v>75.978010577943991</v>
      </c>
      <c r="AI593">
        <f t="shared" si="198"/>
        <v>135.07201880523374</v>
      </c>
    </row>
    <row r="594" spans="1:35" x14ac:dyDescent="0.3">
      <c r="A594">
        <v>2022</v>
      </c>
      <c r="B594" t="s">
        <v>203</v>
      </c>
      <c r="C594" t="s">
        <v>204</v>
      </c>
      <c r="D594" t="s">
        <v>472</v>
      </c>
      <c r="E594" t="s">
        <v>473</v>
      </c>
      <c r="F594">
        <v>34</v>
      </c>
      <c r="I594" t="s">
        <v>230</v>
      </c>
      <c r="J594" t="s">
        <v>231</v>
      </c>
      <c r="K594" t="s">
        <v>232</v>
      </c>
      <c r="L594" t="s">
        <v>112</v>
      </c>
      <c r="M594" t="s">
        <v>112</v>
      </c>
      <c r="N594">
        <v>15</v>
      </c>
      <c r="O594">
        <f t="shared" si="200"/>
        <v>0.10948905109489052</v>
      </c>
      <c r="P594">
        <v>150</v>
      </c>
      <c r="Q594">
        <f t="shared" si="201"/>
        <v>0.10948905109489052</v>
      </c>
      <c r="R594">
        <v>0.08</v>
      </c>
      <c r="S594">
        <f t="shared" si="208"/>
        <v>0.8</v>
      </c>
      <c r="T594">
        <f t="shared" si="202"/>
        <v>1.0018785222291804E-2</v>
      </c>
      <c r="U594">
        <f t="shared" si="203"/>
        <v>-0.24218219613787392</v>
      </c>
      <c r="V594">
        <f t="shared" si="204"/>
        <v>1.5599999999999999E-2</v>
      </c>
      <c r="W594">
        <v>0.1</v>
      </c>
      <c r="X594">
        <f t="shared" si="205"/>
        <v>0.15599999999999997</v>
      </c>
      <c r="Y594">
        <v>2</v>
      </c>
      <c r="Z594">
        <v>1</v>
      </c>
      <c r="AA594" t="s">
        <v>50</v>
      </c>
      <c r="AB594">
        <f t="shared" si="206"/>
        <v>21.908902300206648</v>
      </c>
      <c r="AC594">
        <f t="shared" si="197"/>
        <v>175.27121840165319</v>
      </c>
      <c r="AE594">
        <v>3</v>
      </c>
      <c r="AF594">
        <v>2</v>
      </c>
      <c r="AG594">
        <v>1</v>
      </c>
      <c r="AH594">
        <f t="shared" si="207"/>
        <v>17.761987307814856</v>
      </c>
      <c r="AI594">
        <f t="shared" si="198"/>
        <v>189.46119795002511</v>
      </c>
    </row>
    <row r="595" spans="1:35" x14ac:dyDescent="0.3">
      <c r="A595">
        <v>2022</v>
      </c>
      <c r="B595" t="s">
        <v>203</v>
      </c>
      <c r="C595" t="s">
        <v>204</v>
      </c>
      <c r="D595" t="s">
        <v>472</v>
      </c>
      <c r="E595" t="s">
        <v>473</v>
      </c>
      <c r="F595">
        <v>34</v>
      </c>
      <c r="G595" t="s">
        <v>45</v>
      </c>
      <c r="H595" t="s">
        <v>46</v>
      </c>
      <c r="I595" t="s">
        <v>47</v>
      </c>
      <c r="J595" t="s">
        <v>48</v>
      </c>
      <c r="K595" t="s">
        <v>49</v>
      </c>
      <c r="L595" t="s">
        <v>112</v>
      </c>
      <c r="M595" t="s">
        <v>112</v>
      </c>
      <c r="N595">
        <v>5</v>
      </c>
      <c r="O595">
        <f t="shared" si="200"/>
        <v>3.6496350364963501E-2</v>
      </c>
      <c r="P595">
        <v>50</v>
      </c>
      <c r="Q595">
        <f t="shared" si="201"/>
        <v>3.6496350364963501E-2</v>
      </c>
      <c r="R595">
        <v>0.03</v>
      </c>
      <c r="S595">
        <f t="shared" si="208"/>
        <v>0.3</v>
      </c>
      <c r="T595">
        <f t="shared" si="202"/>
        <v>3.7570444583594261E-3</v>
      </c>
      <c r="U595">
        <f t="shared" si="203"/>
        <v>-0.12082273771511037</v>
      </c>
      <c r="V595">
        <f t="shared" si="204"/>
        <v>1.5599999999999999E-2</v>
      </c>
      <c r="W595">
        <v>0.1</v>
      </c>
      <c r="X595">
        <f t="shared" si="205"/>
        <v>0.15599999999999997</v>
      </c>
      <c r="Y595">
        <v>2</v>
      </c>
      <c r="Z595">
        <v>3</v>
      </c>
      <c r="AA595" t="s">
        <v>50</v>
      </c>
      <c r="AB595">
        <f t="shared" si="206"/>
        <v>23.237900077244504</v>
      </c>
      <c r="AC595">
        <f t="shared" si="197"/>
        <v>61.967733539318672</v>
      </c>
      <c r="AE595">
        <v>3</v>
      </c>
      <c r="AF595">
        <v>2</v>
      </c>
      <c r="AG595">
        <v>2</v>
      </c>
      <c r="AH595">
        <f t="shared" si="207"/>
        <v>12.934948030671029</v>
      </c>
      <c r="AI595">
        <f t="shared" si="198"/>
        <v>68.986389496912153</v>
      </c>
    </row>
    <row r="596" spans="1:35" x14ac:dyDescent="0.3">
      <c r="A596">
        <v>2022</v>
      </c>
      <c r="B596" t="s">
        <v>203</v>
      </c>
      <c r="C596" t="s">
        <v>204</v>
      </c>
      <c r="D596" t="s">
        <v>472</v>
      </c>
      <c r="E596" t="s">
        <v>473</v>
      </c>
      <c r="F596">
        <v>34</v>
      </c>
      <c r="G596" t="s">
        <v>22</v>
      </c>
      <c r="I596" t="s">
        <v>221</v>
      </c>
      <c r="J596" t="s">
        <v>222</v>
      </c>
      <c r="K596" t="s">
        <v>477</v>
      </c>
      <c r="L596" t="s">
        <v>112</v>
      </c>
      <c r="M596" t="s">
        <v>112</v>
      </c>
      <c r="N596">
        <v>1</v>
      </c>
      <c r="O596">
        <f t="shared" si="200"/>
        <v>7.2992700729927005E-3</v>
      </c>
      <c r="P596">
        <v>10</v>
      </c>
      <c r="Q596">
        <f t="shared" si="201"/>
        <v>7.2992700729927005E-3</v>
      </c>
      <c r="R596">
        <v>0.01</v>
      </c>
      <c r="S596">
        <f t="shared" si="208"/>
        <v>0.1</v>
      </c>
      <c r="T596">
        <f t="shared" si="202"/>
        <v>1.2523481527864754E-3</v>
      </c>
      <c r="U596">
        <f t="shared" si="203"/>
        <v>-3.5912269531592156E-2</v>
      </c>
      <c r="V596">
        <f t="shared" si="204"/>
        <v>1.5599999999999999E-2</v>
      </c>
      <c r="W596">
        <v>0.1</v>
      </c>
      <c r="X596">
        <f t="shared" si="205"/>
        <v>0.15599999999999997</v>
      </c>
      <c r="Y596">
        <v>2</v>
      </c>
      <c r="Z596">
        <v>1</v>
      </c>
      <c r="AA596" t="s">
        <v>50</v>
      </c>
      <c r="AB596">
        <f t="shared" si="206"/>
        <v>2</v>
      </c>
      <c r="AC596">
        <f t="shared" si="197"/>
        <v>16</v>
      </c>
      <c r="AE596">
        <v>3</v>
      </c>
      <c r="AF596">
        <v>3</v>
      </c>
      <c r="AG596">
        <v>4</v>
      </c>
      <c r="AH596">
        <f t="shared" si="207"/>
        <v>11.384199576606168</v>
      </c>
      <c r="AI596">
        <f t="shared" si="198"/>
        <v>20.238577025077632</v>
      </c>
    </row>
    <row r="597" spans="1:35" x14ac:dyDescent="0.3">
      <c r="A597">
        <v>2022</v>
      </c>
      <c r="B597" t="s">
        <v>203</v>
      </c>
      <c r="C597" t="s">
        <v>204</v>
      </c>
      <c r="D597" t="s">
        <v>472</v>
      </c>
      <c r="E597" t="s">
        <v>473</v>
      </c>
      <c r="F597">
        <v>34</v>
      </c>
      <c r="G597" t="s">
        <v>79</v>
      </c>
      <c r="H597" t="s">
        <v>245</v>
      </c>
      <c r="I597" t="s">
        <v>246</v>
      </c>
      <c r="J597" t="s">
        <v>247</v>
      </c>
      <c r="K597" t="s">
        <v>248</v>
      </c>
      <c r="L597" t="s">
        <v>112</v>
      </c>
      <c r="M597" t="s">
        <v>112</v>
      </c>
      <c r="N597">
        <v>2</v>
      </c>
      <c r="O597">
        <f t="shared" si="200"/>
        <v>1.4598540145985401E-2</v>
      </c>
      <c r="P597">
        <v>20</v>
      </c>
      <c r="Q597">
        <f t="shared" si="201"/>
        <v>1.4598540145985401E-2</v>
      </c>
      <c r="R597">
        <v>0.05</v>
      </c>
      <c r="S597">
        <f t="shared" si="208"/>
        <v>0.5</v>
      </c>
      <c r="T597">
        <f t="shared" si="202"/>
        <v>6.2617407639323766E-3</v>
      </c>
      <c r="U597">
        <f t="shared" si="203"/>
        <v>-6.1705602120703348E-2</v>
      </c>
      <c r="V597">
        <f t="shared" si="204"/>
        <v>1.5599999999999999E-2</v>
      </c>
      <c r="W597">
        <v>0.1</v>
      </c>
      <c r="X597">
        <f t="shared" si="205"/>
        <v>0.15599999999999997</v>
      </c>
      <c r="Y597">
        <v>2</v>
      </c>
      <c r="Z597">
        <v>3</v>
      </c>
      <c r="AA597" t="s">
        <v>50</v>
      </c>
      <c r="AB597">
        <f t="shared" si="206"/>
        <v>18.973665961010276</v>
      </c>
      <c r="AC597">
        <f t="shared" si="197"/>
        <v>50.596442562694072</v>
      </c>
      <c r="AE597">
        <v>3</v>
      </c>
      <c r="AF597">
        <v>3</v>
      </c>
      <c r="AG597">
        <v>1</v>
      </c>
      <c r="AH597">
        <f t="shared" si="207"/>
        <v>11.316900867146417</v>
      </c>
      <c r="AI597">
        <f t="shared" si="198"/>
        <v>80.475739499707856</v>
      </c>
    </row>
    <row r="598" spans="1:35" x14ac:dyDescent="0.3">
      <c r="A598">
        <v>2022</v>
      </c>
      <c r="B598" t="s">
        <v>203</v>
      </c>
      <c r="C598" t="s">
        <v>204</v>
      </c>
      <c r="D598" t="s">
        <v>472</v>
      </c>
      <c r="E598" t="s">
        <v>473</v>
      </c>
      <c r="F598">
        <v>34</v>
      </c>
      <c r="G598" t="s">
        <v>79</v>
      </c>
      <c r="H598" t="s">
        <v>113</v>
      </c>
      <c r="I598" t="s">
        <v>114</v>
      </c>
      <c r="J598" t="s">
        <v>115</v>
      </c>
      <c r="K598" t="s">
        <v>116</v>
      </c>
      <c r="L598" t="s">
        <v>112</v>
      </c>
      <c r="M598" t="s">
        <v>112</v>
      </c>
      <c r="N598">
        <v>1</v>
      </c>
      <c r="O598">
        <f t="shared" si="200"/>
        <v>7.2992700729927005E-3</v>
      </c>
      <c r="P598">
        <v>10</v>
      </c>
      <c r="Q598">
        <f t="shared" si="201"/>
        <v>7.2992700729927005E-3</v>
      </c>
      <c r="R598">
        <v>5.0000000000000001E-3</v>
      </c>
      <c r="S598">
        <f t="shared" si="208"/>
        <v>0.05</v>
      </c>
      <c r="T598">
        <f t="shared" si="202"/>
        <v>6.2617407639323772E-4</v>
      </c>
      <c r="U598">
        <f t="shared" si="203"/>
        <v>-3.5912269531592156E-2</v>
      </c>
      <c r="V598">
        <f t="shared" si="204"/>
        <v>1.5599999999999999E-2</v>
      </c>
      <c r="W598">
        <v>0.1</v>
      </c>
      <c r="X598">
        <f t="shared" si="205"/>
        <v>0.15599999999999997</v>
      </c>
      <c r="Y598">
        <v>2</v>
      </c>
      <c r="Z598">
        <v>2</v>
      </c>
      <c r="AA598" t="s">
        <v>50</v>
      </c>
      <c r="AB598">
        <f t="shared" si="206"/>
        <v>2.8284271247461898</v>
      </c>
      <c r="AC598">
        <f t="shared" si="197"/>
        <v>11.313708498984759</v>
      </c>
      <c r="AE598">
        <v>3</v>
      </c>
      <c r="AF598">
        <v>4</v>
      </c>
      <c r="AG598">
        <v>4</v>
      </c>
      <c r="AH598">
        <f t="shared" si="207"/>
        <v>9.0254474234073498</v>
      </c>
      <c r="AI598">
        <f t="shared" si="198"/>
        <v>12.033929897876465</v>
      </c>
    </row>
    <row r="599" spans="1:35" x14ac:dyDescent="0.3">
      <c r="A599">
        <v>2022</v>
      </c>
      <c r="B599" t="s">
        <v>203</v>
      </c>
      <c r="C599" t="s">
        <v>204</v>
      </c>
      <c r="D599" t="s">
        <v>472</v>
      </c>
      <c r="E599" t="s">
        <v>473</v>
      </c>
      <c r="F599">
        <v>34</v>
      </c>
      <c r="G599" t="s">
        <v>22</v>
      </c>
      <c r="H599" t="s">
        <v>56</v>
      </c>
      <c r="I599" t="s">
        <v>132</v>
      </c>
      <c r="J599" t="s">
        <v>133</v>
      </c>
      <c r="K599" t="s">
        <v>134</v>
      </c>
      <c r="L599" t="s">
        <v>112</v>
      </c>
      <c r="M599" t="s">
        <v>112</v>
      </c>
      <c r="N599">
        <v>4</v>
      </c>
      <c r="O599">
        <f t="shared" si="200"/>
        <v>2.9197080291970802E-2</v>
      </c>
      <c r="P599">
        <v>40</v>
      </c>
      <c r="Q599">
        <f t="shared" si="201"/>
        <v>2.9197080291970802E-2</v>
      </c>
      <c r="R599">
        <v>0.01</v>
      </c>
      <c r="S599">
        <f t="shared" si="208"/>
        <v>0.1</v>
      </c>
      <c r="T599">
        <f t="shared" si="202"/>
        <v>1.2523481527864754E-3</v>
      </c>
      <c r="U599">
        <f t="shared" si="203"/>
        <v>-0.1031733303564448</v>
      </c>
      <c r="V599">
        <f t="shared" si="204"/>
        <v>1.5599999999999999E-2</v>
      </c>
      <c r="W599">
        <v>0.1</v>
      </c>
      <c r="X599">
        <f t="shared" si="205"/>
        <v>0.15599999999999997</v>
      </c>
      <c r="Y599">
        <v>2</v>
      </c>
      <c r="Z599">
        <v>2</v>
      </c>
      <c r="AA599" t="s">
        <v>50</v>
      </c>
      <c r="AB599">
        <f t="shared" si="206"/>
        <v>8</v>
      </c>
      <c r="AC599">
        <f t="shared" si="197"/>
        <v>32</v>
      </c>
      <c r="AE599">
        <v>3</v>
      </c>
      <c r="AF599">
        <v>3</v>
      </c>
      <c r="AG599">
        <v>2</v>
      </c>
      <c r="AH599">
        <f t="shared" si="207"/>
        <v>8.0498447189992426</v>
      </c>
      <c r="AI599">
        <f t="shared" si="198"/>
        <v>28.621670111997307</v>
      </c>
    </row>
    <row r="600" spans="1:35" x14ac:dyDescent="0.3">
      <c r="A600">
        <v>2022</v>
      </c>
      <c r="B600" t="s">
        <v>203</v>
      </c>
      <c r="C600" t="s">
        <v>204</v>
      </c>
      <c r="D600" t="s">
        <v>472</v>
      </c>
      <c r="E600" t="s">
        <v>473</v>
      </c>
      <c r="F600">
        <v>34</v>
      </c>
      <c r="G600" t="s">
        <v>79</v>
      </c>
      <c r="H600" t="s">
        <v>113</v>
      </c>
      <c r="I600" t="s">
        <v>123</v>
      </c>
      <c r="J600" t="s">
        <v>124</v>
      </c>
      <c r="K600" t="s">
        <v>125</v>
      </c>
      <c r="L600" t="s">
        <v>112</v>
      </c>
      <c r="M600" t="s">
        <v>112</v>
      </c>
      <c r="N600">
        <v>4</v>
      </c>
      <c r="O600">
        <f t="shared" si="200"/>
        <v>2.9197080291970802E-2</v>
      </c>
      <c r="P600">
        <v>40</v>
      </c>
      <c r="Q600">
        <f t="shared" si="201"/>
        <v>2.9197080291970802E-2</v>
      </c>
      <c r="R600">
        <v>0.05</v>
      </c>
      <c r="S600">
        <f t="shared" si="208"/>
        <v>0.5</v>
      </c>
      <c r="T600">
        <f t="shared" si="202"/>
        <v>6.2617407639323766E-3</v>
      </c>
      <c r="U600">
        <f t="shared" si="203"/>
        <v>-0.1031733303564448</v>
      </c>
      <c r="V600">
        <f t="shared" si="204"/>
        <v>1.5599999999999999E-2</v>
      </c>
      <c r="W600">
        <v>0.1</v>
      </c>
      <c r="X600">
        <f t="shared" si="205"/>
        <v>0.15599999999999997</v>
      </c>
      <c r="Y600">
        <v>2</v>
      </c>
      <c r="Z600">
        <v>2</v>
      </c>
      <c r="AA600" t="s">
        <v>50</v>
      </c>
      <c r="AB600">
        <f t="shared" si="206"/>
        <v>17.888543819998318</v>
      </c>
      <c r="AC600">
        <f t="shared" si="197"/>
        <v>71.554175279993274</v>
      </c>
      <c r="AE600">
        <v>1</v>
      </c>
      <c r="AF600">
        <v>1</v>
      </c>
      <c r="AG600">
        <v>2</v>
      </c>
      <c r="AH600">
        <f t="shared" si="207"/>
        <v>2.9906975624424419</v>
      </c>
      <c r="AI600">
        <f t="shared" si="198"/>
        <v>95.702321998158141</v>
      </c>
    </row>
    <row r="601" spans="1:35" x14ac:dyDescent="0.3">
      <c r="A601">
        <v>2022</v>
      </c>
      <c r="B601" t="s">
        <v>203</v>
      </c>
      <c r="C601" t="s">
        <v>204</v>
      </c>
      <c r="D601" t="s">
        <v>472</v>
      </c>
      <c r="E601" t="s">
        <v>473</v>
      </c>
      <c r="F601">
        <v>34</v>
      </c>
      <c r="G601" t="s">
        <v>22</v>
      </c>
      <c r="H601" t="s">
        <v>56</v>
      </c>
      <c r="I601" t="s">
        <v>132</v>
      </c>
      <c r="J601" t="s">
        <v>175</v>
      </c>
      <c r="K601" t="s">
        <v>176</v>
      </c>
      <c r="L601" t="s">
        <v>112</v>
      </c>
      <c r="M601" t="s">
        <v>112</v>
      </c>
      <c r="N601">
        <v>1</v>
      </c>
      <c r="O601">
        <f t="shared" si="200"/>
        <v>7.2992700729927005E-3</v>
      </c>
      <c r="P601">
        <v>10</v>
      </c>
      <c r="Q601">
        <f t="shared" si="201"/>
        <v>7.2992700729927005E-3</v>
      </c>
      <c r="R601">
        <v>5.0000000000000001E-3</v>
      </c>
      <c r="S601">
        <f t="shared" si="208"/>
        <v>0.05</v>
      </c>
      <c r="T601">
        <f t="shared" si="202"/>
        <v>6.2617407639323772E-4</v>
      </c>
      <c r="U601">
        <f t="shared" si="203"/>
        <v>-3.5912269531592156E-2</v>
      </c>
      <c r="V601">
        <f t="shared" si="204"/>
        <v>1.5599999999999999E-2</v>
      </c>
      <c r="W601">
        <v>0.1</v>
      </c>
      <c r="X601">
        <f t="shared" si="205"/>
        <v>0.15599999999999997</v>
      </c>
      <c r="Y601">
        <v>2</v>
      </c>
      <c r="Z601">
        <v>2</v>
      </c>
      <c r="AA601" t="s">
        <v>50</v>
      </c>
      <c r="AB601">
        <f t="shared" si="206"/>
        <v>2.8284271247461898</v>
      </c>
      <c r="AC601">
        <f t="shared" si="197"/>
        <v>11.313708498984759</v>
      </c>
      <c r="AE601">
        <v>2.5</v>
      </c>
      <c r="AF601">
        <v>2.2000000000000002</v>
      </c>
      <c r="AG601">
        <v>2</v>
      </c>
      <c r="AH601">
        <f t="shared" si="207"/>
        <v>2.0683317011975175</v>
      </c>
      <c r="AI601">
        <f t="shared" si="198"/>
        <v>12.033929897876465</v>
      </c>
    </row>
    <row r="602" spans="1:35" x14ac:dyDescent="0.3">
      <c r="A602">
        <v>2022</v>
      </c>
      <c r="B602" t="s">
        <v>203</v>
      </c>
      <c r="C602" t="s">
        <v>204</v>
      </c>
      <c r="D602" t="s">
        <v>472</v>
      </c>
      <c r="E602" t="s">
        <v>473</v>
      </c>
      <c r="F602">
        <v>34</v>
      </c>
      <c r="G602" t="s">
        <v>79</v>
      </c>
      <c r="H602" t="s">
        <v>215</v>
      </c>
      <c r="I602" t="s">
        <v>216</v>
      </c>
      <c r="J602" t="s">
        <v>217</v>
      </c>
      <c r="K602" t="s">
        <v>218</v>
      </c>
      <c r="L602" t="s">
        <v>112</v>
      </c>
      <c r="M602" t="s">
        <v>112</v>
      </c>
      <c r="N602">
        <v>1</v>
      </c>
      <c r="O602">
        <f t="shared" si="200"/>
        <v>7.2992700729927005E-3</v>
      </c>
      <c r="P602">
        <v>10</v>
      </c>
      <c r="Q602">
        <f t="shared" si="201"/>
        <v>7.2992700729927005E-3</v>
      </c>
      <c r="R602">
        <v>0.01</v>
      </c>
      <c r="S602">
        <f t="shared" si="208"/>
        <v>0.1</v>
      </c>
      <c r="T602">
        <f t="shared" si="202"/>
        <v>1.2523481527864754E-3</v>
      </c>
      <c r="U602">
        <f t="shared" si="203"/>
        <v>-3.5912269531592156E-2</v>
      </c>
      <c r="V602">
        <f t="shared" si="204"/>
        <v>1.5599999999999999E-2</v>
      </c>
      <c r="W602">
        <v>0.1</v>
      </c>
      <c r="X602">
        <f t="shared" si="205"/>
        <v>0.15599999999999997</v>
      </c>
      <c r="Y602">
        <v>2</v>
      </c>
      <c r="Z602">
        <v>2</v>
      </c>
      <c r="AA602" t="s">
        <v>50</v>
      </c>
      <c r="AB602">
        <f t="shared" si="206"/>
        <v>4</v>
      </c>
      <c r="AC602">
        <f t="shared" si="197"/>
        <v>16</v>
      </c>
      <c r="AE602">
        <v>2.5</v>
      </c>
      <c r="AF602">
        <v>1</v>
      </c>
      <c r="AG602">
        <v>2</v>
      </c>
      <c r="AH602">
        <f t="shared" si="207"/>
        <v>1.58113883008419</v>
      </c>
      <c r="AI602">
        <f t="shared" si="198"/>
        <v>20.238577025077632</v>
      </c>
    </row>
    <row r="603" spans="1:35" x14ac:dyDescent="0.3">
      <c r="A603">
        <v>2022</v>
      </c>
      <c r="B603" t="s">
        <v>203</v>
      </c>
      <c r="C603" t="s">
        <v>204</v>
      </c>
      <c r="D603" t="s">
        <v>472</v>
      </c>
      <c r="E603" t="s">
        <v>473</v>
      </c>
      <c r="F603">
        <v>34</v>
      </c>
      <c r="G603" t="s">
        <v>22</v>
      </c>
      <c r="H603" t="s">
        <v>67</v>
      </c>
      <c r="I603" t="s">
        <v>196</v>
      </c>
      <c r="J603" t="s">
        <v>474</v>
      </c>
      <c r="K603" t="s">
        <v>474</v>
      </c>
      <c r="L603" t="s">
        <v>112</v>
      </c>
      <c r="M603" t="s">
        <v>112</v>
      </c>
      <c r="N603">
        <v>1</v>
      </c>
      <c r="O603">
        <f t="shared" si="200"/>
        <v>7.2992700729927005E-3</v>
      </c>
      <c r="P603">
        <v>10</v>
      </c>
      <c r="Q603">
        <f t="shared" si="201"/>
        <v>7.2992700729927005E-3</v>
      </c>
      <c r="R603">
        <v>0.03</v>
      </c>
      <c r="S603">
        <f t="shared" si="208"/>
        <v>0.3</v>
      </c>
      <c r="T603">
        <f t="shared" si="202"/>
        <v>3.7570444583594261E-3</v>
      </c>
      <c r="U603">
        <f t="shared" si="203"/>
        <v>-3.5912269531592156E-2</v>
      </c>
      <c r="V603">
        <f t="shared" si="204"/>
        <v>1.5599999999999999E-2</v>
      </c>
      <c r="W603">
        <v>0.1</v>
      </c>
      <c r="X603">
        <f t="shared" si="205"/>
        <v>0.15599999999999997</v>
      </c>
      <c r="Y603">
        <v>2</v>
      </c>
      <c r="Z603">
        <v>2</v>
      </c>
      <c r="AA603" t="s">
        <v>50</v>
      </c>
      <c r="AB603">
        <f t="shared" si="206"/>
        <v>6.9282032302755088</v>
      </c>
      <c r="AC603">
        <f t="shared" si="197"/>
        <v>27.712812921102035</v>
      </c>
      <c r="AE603">
        <v>1</v>
      </c>
      <c r="AF603">
        <v>2</v>
      </c>
      <c r="AG603">
        <v>1</v>
      </c>
      <c r="AH603">
        <f t="shared" si="207"/>
        <v>1.4416868484808529</v>
      </c>
      <c r="AI603">
        <f t="shared" si="198"/>
        <v>46.133979151387294</v>
      </c>
    </row>
    <row r="604" spans="1:35" x14ac:dyDescent="0.3">
      <c r="A604">
        <v>2022</v>
      </c>
      <c r="B604" t="s">
        <v>203</v>
      </c>
      <c r="C604" t="s">
        <v>204</v>
      </c>
      <c r="D604" t="s">
        <v>472</v>
      </c>
      <c r="E604" t="s">
        <v>473</v>
      </c>
      <c r="F604">
        <v>34</v>
      </c>
      <c r="G604" t="s">
        <v>79</v>
      </c>
      <c r="H604" t="s">
        <v>245</v>
      </c>
      <c r="I604" t="s">
        <v>246</v>
      </c>
      <c r="J604" t="s">
        <v>418</v>
      </c>
      <c r="K604" t="s">
        <v>419</v>
      </c>
      <c r="L604" t="s">
        <v>112</v>
      </c>
      <c r="M604" t="s">
        <v>112</v>
      </c>
      <c r="N604">
        <v>1</v>
      </c>
      <c r="O604">
        <f t="shared" si="200"/>
        <v>7.2992700729927005E-3</v>
      </c>
      <c r="P604">
        <v>10</v>
      </c>
      <c r="Q604">
        <f t="shared" si="201"/>
        <v>7.2992700729927005E-3</v>
      </c>
      <c r="R604">
        <v>5.0000000000000001E-3</v>
      </c>
      <c r="S604">
        <f t="shared" si="208"/>
        <v>0.05</v>
      </c>
      <c r="T604">
        <f t="shared" si="202"/>
        <v>6.2617407639323772E-4</v>
      </c>
      <c r="U604">
        <f t="shared" si="203"/>
        <v>-3.5912269531592156E-2</v>
      </c>
      <c r="V604">
        <f t="shared" si="204"/>
        <v>1.5599999999999999E-2</v>
      </c>
      <c r="W604">
        <v>0.1</v>
      </c>
      <c r="X604">
        <f t="shared" si="205"/>
        <v>0.15599999999999997</v>
      </c>
      <c r="Y604">
        <v>3</v>
      </c>
      <c r="Z604">
        <v>2</v>
      </c>
      <c r="AA604" t="s">
        <v>50</v>
      </c>
      <c r="AB604">
        <f t="shared" si="206"/>
        <v>4.2426406871192848</v>
      </c>
      <c r="AC604">
        <f t="shared" si="197"/>
        <v>11.313708498984759</v>
      </c>
      <c r="AE604">
        <v>1</v>
      </c>
      <c r="AF604">
        <v>3.5</v>
      </c>
      <c r="AG604">
        <v>2</v>
      </c>
      <c r="AH604">
        <f t="shared" si="207"/>
        <v>1.3162110825802384</v>
      </c>
      <c r="AI604">
        <f t="shared" si="198"/>
        <v>12.033929897876465</v>
      </c>
    </row>
    <row r="605" spans="1:35" x14ac:dyDescent="0.3">
      <c r="A605">
        <v>2022</v>
      </c>
      <c r="B605" t="s">
        <v>203</v>
      </c>
      <c r="C605" t="s">
        <v>204</v>
      </c>
      <c r="D605" t="s">
        <v>472</v>
      </c>
      <c r="E605" t="s">
        <v>473</v>
      </c>
      <c r="F605">
        <v>34</v>
      </c>
      <c r="G605" t="s">
        <v>51</v>
      </c>
      <c r="H605" t="s">
        <v>52</v>
      </c>
      <c r="I605" t="s">
        <v>193</v>
      </c>
      <c r="J605" t="s">
        <v>194</v>
      </c>
      <c r="K605" t="s">
        <v>195</v>
      </c>
      <c r="L605" t="s">
        <v>112</v>
      </c>
      <c r="M605" t="s">
        <v>112</v>
      </c>
      <c r="N605">
        <v>1</v>
      </c>
      <c r="O605">
        <f t="shared" si="200"/>
        <v>7.2992700729927005E-3</v>
      </c>
      <c r="P605">
        <v>10</v>
      </c>
      <c r="Q605">
        <f t="shared" si="201"/>
        <v>7.2992700729927005E-3</v>
      </c>
      <c r="R605">
        <v>5.0000000000000001E-3</v>
      </c>
      <c r="S605">
        <f t="shared" si="208"/>
        <v>0.05</v>
      </c>
      <c r="T605">
        <f t="shared" si="202"/>
        <v>6.2617407639323772E-4</v>
      </c>
      <c r="U605">
        <f t="shared" si="203"/>
        <v>-3.5912269531592156E-2</v>
      </c>
      <c r="V605">
        <f t="shared" si="204"/>
        <v>1.5599999999999999E-2</v>
      </c>
      <c r="W605">
        <v>0.1</v>
      </c>
      <c r="X605">
        <f t="shared" si="205"/>
        <v>0.15599999999999997</v>
      </c>
      <c r="Y605">
        <v>2</v>
      </c>
      <c r="Z605">
        <v>3</v>
      </c>
      <c r="AA605" t="s">
        <v>50</v>
      </c>
      <c r="AB605">
        <f t="shared" si="206"/>
        <v>4.2426406871192848</v>
      </c>
      <c r="AC605">
        <f t="shared" si="197"/>
        <v>11.313708498984759</v>
      </c>
      <c r="AE605">
        <v>1</v>
      </c>
      <c r="AF605">
        <v>2.67</v>
      </c>
      <c r="AG605">
        <v>1.5</v>
      </c>
      <c r="AH605">
        <f t="shared" si="207"/>
        <v>0.75306076939055067</v>
      </c>
      <c r="AI605">
        <f t="shared" si="198"/>
        <v>12.033929897876465</v>
      </c>
    </row>
    <row r="606" spans="1:35" x14ac:dyDescent="0.3">
      <c r="A606">
        <v>2022</v>
      </c>
      <c r="B606" t="s">
        <v>203</v>
      </c>
      <c r="C606" t="s">
        <v>204</v>
      </c>
      <c r="D606" t="s">
        <v>472</v>
      </c>
      <c r="E606" t="s">
        <v>473</v>
      </c>
      <c r="F606">
        <v>34</v>
      </c>
      <c r="G606" t="s">
        <v>51</v>
      </c>
      <c r="H606" t="s">
        <v>126</v>
      </c>
      <c r="I606" t="s">
        <v>207</v>
      </c>
      <c r="J606" t="s">
        <v>208</v>
      </c>
      <c r="K606" t="s">
        <v>210</v>
      </c>
      <c r="L606" t="s">
        <v>112</v>
      </c>
      <c r="M606" t="s">
        <v>112</v>
      </c>
      <c r="N606">
        <v>4</v>
      </c>
      <c r="O606">
        <f t="shared" si="200"/>
        <v>2.9197080291970802E-2</v>
      </c>
      <c r="P606">
        <v>40</v>
      </c>
      <c r="Q606">
        <f t="shared" si="201"/>
        <v>2.9197080291970802E-2</v>
      </c>
      <c r="R606">
        <v>0.02</v>
      </c>
      <c r="S606">
        <f t="shared" si="208"/>
        <v>0.2</v>
      </c>
      <c r="T606">
        <f t="shared" si="202"/>
        <v>2.5046963055729509E-3</v>
      </c>
      <c r="U606">
        <f t="shared" si="203"/>
        <v>-0.1031733303564448</v>
      </c>
      <c r="V606">
        <f t="shared" si="204"/>
        <v>1.5599999999999999E-2</v>
      </c>
      <c r="W606">
        <v>0.1</v>
      </c>
      <c r="X606">
        <f t="shared" si="205"/>
        <v>0.15599999999999997</v>
      </c>
      <c r="Y606">
        <v>2</v>
      </c>
      <c r="Z606">
        <v>1</v>
      </c>
      <c r="AA606" t="s">
        <v>50</v>
      </c>
      <c r="AB606">
        <f t="shared" si="206"/>
        <v>5.6568542494923797</v>
      </c>
      <c r="AC606">
        <f t="shared" si="197"/>
        <v>45.254833995939038</v>
      </c>
      <c r="AE606">
        <v>1</v>
      </c>
      <c r="AF606">
        <v>1</v>
      </c>
      <c r="AG606">
        <v>1</v>
      </c>
      <c r="AH606">
        <f t="shared" si="207"/>
        <v>0.75212061861727908</v>
      </c>
      <c r="AI606">
        <f t="shared" si="198"/>
        <v>48.135719591505861</v>
      </c>
    </row>
    <row r="607" spans="1:35" x14ac:dyDescent="0.3">
      <c r="A607">
        <v>2022</v>
      </c>
      <c r="B607" t="s">
        <v>203</v>
      </c>
      <c r="C607" t="s">
        <v>204</v>
      </c>
      <c r="D607" t="s">
        <v>472</v>
      </c>
      <c r="E607" t="s">
        <v>473</v>
      </c>
      <c r="F607">
        <v>34</v>
      </c>
      <c r="G607" t="s">
        <v>22</v>
      </c>
      <c r="H607" t="s">
        <v>56</v>
      </c>
      <c r="I607" t="s">
        <v>57</v>
      </c>
      <c r="J607" t="s">
        <v>58</v>
      </c>
      <c r="K607" t="s">
        <v>59</v>
      </c>
      <c r="L607" t="s">
        <v>112</v>
      </c>
      <c r="M607" t="s">
        <v>112</v>
      </c>
      <c r="N607">
        <v>5</v>
      </c>
      <c r="O607">
        <f t="shared" si="200"/>
        <v>3.6496350364963501E-2</v>
      </c>
      <c r="P607">
        <v>50</v>
      </c>
      <c r="Q607">
        <f t="shared" si="201"/>
        <v>3.6496350364963501E-2</v>
      </c>
      <c r="R607">
        <v>0.03</v>
      </c>
      <c r="S607">
        <f t="shared" si="208"/>
        <v>0.3</v>
      </c>
      <c r="T607">
        <f t="shared" si="202"/>
        <v>3.7570444583594261E-3</v>
      </c>
      <c r="U607">
        <f t="shared" si="203"/>
        <v>-0.12082273771511037</v>
      </c>
      <c r="V607">
        <f t="shared" si="204"/>
        <v>1.5599999999999999E-2</v>
      </c>
      <c r="W607">
        <v>0.1</v>
      </c>
      <c r="X607">
        <f t="shared" si="205"/>
        <v>0.15599999999999997</v>
      </c>
      <c r="Y607">
        <v>3</v>
      </c>
      <c r="Z607">
        <v>2</v>
      </c>
      <c r="AA607" t="s">
        <v>60</v>
      </c>
      <c r="AB607">
        <f t="shared" si="206"/>
        <v>23.237900077244504</v>
      </c>
      <c r="AC607">
        <f t="shared" si="197"/>
        <v>61.967733539318672</v>
      </c>
      <c r="AE607">
        <v>1</v>
      </c>
      <c r="AF607">
        <v>3</v>
      </c>
      <c r="AG607">
        <v>2</v>
      </c>
      <c r="AH607">
        <f t="shared" si="207"/>
        <v>6.4674740153355144</v>
      </c>
      <c r="AI607">
        <f t="shared" si="198"/>
        <v>68.986389496912153</v>
      </c>
    </row>
    <row r="608" spans="1:35" x14ac:dyDescent="0.3">
      <c r="A608">
        <v>2022</v>
      </c>
      <c r="B608" t="s">
        <v>203</v>
      </c>
      <c r="C608" t="s">
        <v>204</v>
      </c>
      <c r="D608" t="s">
        <v>472</v>
      </c>
      <c r="E608" t="s">
        <v>473</v>
      </c>
      <c r="F608">
        <v>34</v>
      </c>
      <c r="G608" t="s">
        <v>22</v>
      </c>
      <c r="H608" t="s">
        <v>56</v>
      </c>
      <c r="I608" t="s">
        <v>153</v>
      </c>
      <c r="J608" t="s">
        <v>154</v>
      </c>
      <c r="K608" t="s">
        <v>272</v>
      </c>
      <c r="L608" t="s">
        <v>112</v>
      </c>
      <c r="M608" t="s">
        <v>112</v>
      </c>
      <c r="N608">
        <v>3</v>
      </c>
      <c r="O608">
        <f t="shared" si="200"/>
        <v>2.1897810218978103E-2</v>
      </c>
      <c r="P608">
        <v>30</v>
      </c>
      <c r="Q608">
        <f t="shared" si="201"/>
        <v>2.1897810218978103E-2</v>
      </c>
      <c r="R608">
        <v>0.11</v>
      </c>
      <c r="S608">
        <f t="shared" si="208"/>
        <v>1.1000000000000001</v>
      </c>
      <c r="T608">
        <f t="shared" si="202"/>
        <v>1.377582968065123E-2</v>
      </c>
      <c r="U608">
        <f t="shared" si="203"/>
        <v>-8.3679605193285003E-2</v>
      </c>
      <c r="V608">
        <f t="shared" si="204"/>
        <v>1.5599999999999999E-2</v>
      </c>
      <c r="W608">
        <v>0.1</v>
      </c>
      <c r="X608">
        <f t="shared" si="205"/>
        <v>0.15599999999999997</v>
      </c>
      <c r="Y608">
        <v>3</v>
      </c>
      <c r="Z608">
        <v>1</v>
      </c>
      <c r="AA608" t="s">
        <v>100</v>
      </c>
      <c r="AB608">
        <f t="shared" si="206"/>
        <v>17.233687939614086</v>
      </c>
      <c r="AC608">
        <f t="shared" si="197"/>
        <v>91.913002344608458</v>
      </c>
      <c r="AE608">
        <v>3</v>
      </c>
      <c r="AF608">
        <v>3</v>
      </c>
      <c r="AG608">
        <v>2</v>
      </c>
      <c r="AH608">
        <f t="shared" si="207"/>
        <v>45.247785882031309</v>
      </c>
      <c r="AI608">
        <f t="shared" si="198"/>
        <v>160.88101646944466</v>
      </c>
    </row>
    <row r="609" spans="1:36" x14ac:dyDescent="0.3">
      <c r="A609">
        <v>2022</v>
      </c>
      <c r="B609" t="s">
        <v>203</v>
      </c>
      <c r="C609" t="s">
        <v>204</v>
      </c>
      <c r="D609" t="s">
        <v>472</v>
      </c>
      <c r="E609" t="s">
        <v>473</v>
      </c>
      <c r="F609">
        <v>34</v>
      </c>
      <c r="G609" t="s">
        <v>22</v>
      </c>
      <c r="H609" t="s">
        <v>96</v>
      </c>
      <c r="I609" t="s">
        <v>97</v>
      </c>
      <c r="J609" t="s">
        <v>110</v>
      </c>
      <c r="K609" t="s">
        <v>111</v>
      </c>
      <c r="L609" t="s">
        <v>112</v>
      </c>
      <c r="M609" t="s">
        <v>112</v>
      </c>
      <c r="N609">
        <v>1</v>
      </c>
      <c r="O609">
        <f t="shared" si="200"/>
        <v>7.2992700729927005E-3</v>
      </c>
      <c r="P609">
        <v>10</v>
      </c>
      <c r="Q609">
        <f t="shared" si="201"/>
        <v>7.2992700729927005E-3</v>
      </c>
      <c r="R609">
        <v>5.0000000000000001E-3</v>
      </c>
      <c r="S609">
        <f t="shared" si="208"/>
        <v>0.05</v>
      </c>
      <c r="T609">
        <f t="shared" si="202"/>
        <v>6.2617407639323772E-4</v>
      </c>
      <c r="U609">
        <f t="shared" si="203"/>
        <v>-3.5912269531592156E-2</v>
      </c>
      <c r="V609">
        <f t="shared" si="204"/>
        <v>1.5599999999999999E-2</v>
      </c>
      <c r="W609">
        <v>0.1</v>
      </c>
      <c r="X609">
        <f t="shared" si="205"/>
        <v>0.15599999999999997</v>
      </c>
      <c r="Y609">
        <v>3</v>
      </c>
      <c r="Z609">
        <v>1</v>
      </c>
      <c r="AA609" t="s">
        <v>100</v>
      </c>
      <c r="AB609">
        <f t="shared" si="206"/>
        <v>2.1213203435596424</v>
      </c>
      <c r="AC609">
        <f t="shared" si="197"/>
        <v>11.313708498984759</v>
      </c>
      <c r="AE609">
        <v>3</v>
      </c>
      <c r="AF609">
        <v>3</v>
      </c>
      <c r="AG609">
        <v>4</v>
      </c>
      <c r="AH609">
        <f t="shared" si="207"/>
        <v>6.7690855675555124</v>
      </c>
      <c r="AI609">
        <f t="shared" si="198"/>
        <v>12.033929897876465</v>
      </c>
    </row>
    <row r="610" spans="1:36" x14ac:dyDescent="0.3">
      <c r="A610">
        <v>2022</v>
      </c>
      <c r="B610" t="s">
        <v>203</v>
      </c>
      <c r="C610" t="s">
        <v>204</v>
      </c>
      <c r="D610" t="s">
        <v>472</v>
      </c>
      <c r="E610" t="s">
        <v>473</v>
      </c>
      <c r="F610">
        <v>34</v>
      </c>
      <c r="G610" t="s">
        <v>22</v>
      </c>
      <c r="H610" t="s">
        <v>96</v>
      </c>
      <c r="I610" t="s">
        <v>97</v>
      </c>
      <c r="J610" t="s">
        <v>98</v>
      </c>
      <c r="K610" t="s">
        <v>101</v>
      </c>
      <c r="L610" t="s">
        <v>112</v>
      </c>
      <c r="M610" t="s">
        <v>112</v>
      </c>
      <c r="N610">
        <v>3</v>
      </c>
      <c r="O610">
        <f t="shared" si="200"/>
        <v>2.1897810218978103E-2</v>
      </c>
      <c r="P610">
        <v>30</v>
      </c>
      <c r="Q610">
        <f t="shared" si="201"/>
        <v>2.1897810218978103E-2</v>
      </c>
      <c r="R610">
        <v>5.0000000000000001E-3</v>
      </c>
      <c r="S610">
        <f t="shared" si="208"/>
        <v>0.05</v>
      </c>
      <c r="T610">
        <f t="shared" si="202"/>
        <v>6.2617407639323772E-4</v>
      </c>
      <c r="U610">
        <f t="shared" si="203"/>
        <v>-8.3679605193285003E-2</v>
      </c>
      <c r="V610">
        <f t="shared" si="204"/>
        <v>1.5599999999999999E-2</v>
      </c>
      <c r="W610">
        <v>0.1</v>
      </c>
      <c r="X610">
        <f t="shared" si="205"/>
        <v>0.15599999999999997</v>
      </c>
      <c r="Y610">
        <v>3</v>
      </c>
      <c r="Z610">
        <v>2</v>
      </c>
      <c r="AA610" t="s">
        <v>100</v>
      </c>
      <c r="AB610">
        <f t="shared" si="206"/>
        <v>7.3484692283495345</v>
      </c>
      <c r="AC610">
        <f t="shared" si="197"/>
        <v>19.595917942265427</v>
      </c>
      <c r="AE610">
        <v>2.5</v>
      </c>
      <c r="AF610">
        <v>3</v>
      </c>
      <c r="AG610">
        <v>2</v>
      </c>
      <c r="AH610">
        <f t="shared" si="207"/>
        <v>3.7119240028798259</v>
      </c>
      <c r="AI610">
        <f t="shared" si="198"/>
        <v>15.837542412287256</v>
      </c>
    </row>
    <row r="611" spans="1:36" s="4" customFormat="1" x14ac:dyDescent="0.3">
      <c r="N611" s="4">
        <f>SUM(N582:N610)</f>
        <v>137</v>
      </c>
      <c r="O611" s="4">
        <f>SUM(O582:O610)</f>
        <v>0.99999999999999956</v>
      </c>
      <c r="P611" s="4">
        <f t="shared" ref="P611:T611" si="209">SUM(P582:P610)</f>
        <v>1370</v>
      </c>
      <c r="Q611" s="4">
        <f t="shared" si="209"/>
        <v>0.99999999999999956</v>
      </c>
      <c r="R611" s="4">
        <f t="shared" si="209"/>
        <v>7.9849999999999985</v>
      </c>
      <c r="S611" s="4">
        <f t="shared" si="209"/>
        <v>79.849999999999952</v>
      </c>
      <c r="T611" s="4">
        <f t="shared" si="209"/>
        <v>1.0000000000000004</v>
      </c>
      <c r="U611" s="4">
        <f>-SUM(U582:U610)</f>
        <v>2.6122601213199244</v>
      </c>
      <c r="Y611" s="4">
        <v>4</v>
      </c>
      <c r="Z611" s="4">
        <v>4</v>
      </c>
      <c r="AB611" s="4">
        <f>SUM(AB582:AB610)</f>
        <v>1071.6245770008072</v>
      </c>
      <c r="AC611" s="4">
        <f>SUM(AC582:AC610)</f>
        <v>2581.9177781276003</v>
      </c>
      <c r="AD611" s="4">
        <f>AB611/AC611</f>
        <v>0.41504984631150665</v>
      </c>
      <c r="AE611" s="4">
        <v>4</v>
      </c>
      <c r="AF611" s="4">
        <v>4</v>
      </c>
      <c r="AG611" s="4">
        <v>4</v>
      </c>
      <c r="AH611" s="4">
        <f>SUM(AH582:AH610)</f>
        <v>1092.7896315307789</v>
      </c>
      <c r="AI611" s="4">
        <f>SUM(AI582:AI610)</f>
        <v>5659.8131942509826</v>
      </c>
      <c r="AJ611" s="4">
        <f>AH611/AI611</f>
        <v>0.1930787455389503</v>
      </c>
    </row>
    <row r="612" spans="1:36" x14ac:dyDescent="0.3">
      <c r="A612">
        <v>2022</v>
      </c>
      <c r="B612" t="s">
        <v>203</v>
      </c>
      <c r="C612" t="s">
        <v>241</v>
      </c>
      <c r="D612" t="s">
        <v>472</v>
      </c>
      <c r="E612" t="s">
        <v>473</v>
      </c>
      <c r="F612">
        <v>34</v>
      </c>
      <c r="G612" t="s">
        <v>28</v>
      </c>
      <c r="H612" t="s">
        <v>29</v>
      </c>
      <c r="I612" t="s">
        <v>30</v>
      </c>
      <c r="J612" t="s">
        <v>31</v>
      </c>
      <c r="K612" t="s">
        <v>481</v>
      </c>
      <c r="L612" t="s">
        <v>112</v>
      </c>
      <c r="M612" t="s">
        <v>112</v>
      </c>
      <c r="N612">
        <v>8</v>
      </c>
      <c r="O612">
        <f t="shared" ref="O612:O642" si="210">N612/$N$643</f>
        <v>3.8461538461538464E-2</v>
      </c>
      <c r="P612">
        <v>80</v>
      </c>
      <c r="Q612">
        <f t="shared" ref="Q612:Q642" si="211">P612/$P$643</f>
        <v>3.8461538461538464E-2</v>
      </c>
      <c r="R612">
        <v>0.19</v>
      </c>
      <c r="S612">
        <f>R612*10</f>
        <v>1.9</v>
      </c>
      <c r="T612">
        <f t="shared" ref="T612:T642" si="212">S612/$S$643</f>
        <v>6.8222621184919188E-2</v>
      </c>
      <c r="U612">
        <f t="shared" ref="U612:U642" si="213">O612*LN(O612)</f>
        <v>-0.12531140530851856</v>
      </c>
      <c r="V612">
        <f t="shared" ref="V612:V642" si="214">12.8/1000</f>
        <v>1.2800000000000001E-2</v>
      </c>
      <c r="W612">
        <v>0.1</v>
      </c>
      <c r="X612">
        <f t="shared" ref="X612:X642" si="215">V612/W612</f>
        <v>0.128</v>
      </c>
      <c r="Y612">
        <v>4</v>
      </c>
      <c r="Z612">
        <v>3</v>
      </c>
      <c r="AA612" t="s">
        <v>27</v>
      </c>
      <c r="AB612">
        <f t="shared" ref="AB612:AB642" si="216">(SQRT(S612/P612))*P612*Z612*Y612</f>
        <v>147.94593607125546</v>
      </c>
      <c r="AC612">
        <f t="shared" si="197"/>
        <v>197.26124809500726</v>
      </c>
      <c r="AE612">
        <v>2</v>
      </c>
      <c r="AF612">
        <v>4</v>
      </c>
      <c r="AG612">
        <v>3</v>
      </c>
      <c r="AH612">
        <f t="shared" ref="AH612:AH642" si="217">((S612/P612)^0.75)*P612*AE612*AF612*AG612</f>
        <v>116.15795009252913</v>
      </c>
      <c r="AI612">
        <f t="shared" si="198"/>
        <v>309.75453358007769</v>
      </c>
    </row>
    <row r="613" spans="1:36" x14ac:dyDescent="0.3">
      <c r="A613">
        <v>2022</v>
      </c>
      <c r="B613" t="s">
        <v>203</v>
      </c>
      <c r="C613" t="s">
        <v>241</v>
      </c>
      <c r="D613" t="s">
        <v>472</v>
      </c>
      <c r="E613" t="s">
        <v>473</v>
      </c>
      <c r="F613">
        <v>34</v>
      </c>
      <c r="G613" t="s">
        <v>22</v>
      </c>
      <c r="I613" t="s">
        <v>105</v>
      </c>
      <c r="J613" t="s">
        <v>106</v>
      </c>
      <c r="K613" t="s">
        <v>107</v>
      </c>
      <c r="L613" t="s">
        <v>112</v>
      </c>
      <c r="M613" t="s">
        <v>112</v>
      </c>
      <c r="N613">
        <v>5</v>
      </c>
      <c r="O613">
        <f t="shared" si="210"/>
        <v>2.403846153846154E-2</v>
      </c>
      <c r="P613">
        <v>50</v>
      </c>
      <c r="Q613">
        <f t="shared" si="211"/>
        <v>2.403846153846154E-2</v>
      </c>
      <c r="R613">
        <v>0.23</v>
      </c>
      <c r="S613">
        <f t="shared" ref="S613:S642" si="218">R613*10</f>
        <v>2.3000000000000003</v>
      </c>
      <c r="T613">
        <f t="shared" si="212"/>
        <v>8.2585278276481128E-2</v>
      </c>
      <c r="U613">
        <f t="shared" si="213"/>
        <v>-8.9617792482385036E-2</v>
      </c>
      <c r="V613">
        <f t="shared" si="214"/>
        <v>1.2800000000000001E-2</v>
      </c>
      <c r="W613">
        <v>0.1</v>
      </c>
      <c r="X613">
        <f t="shared" si="215"/>
        <v>0.128</v>
      </c>
      <c r="Y613">
        <v>4</v>
      </c>
      <c r="Z613">
        <v>4</v>
      </c>
      <c r="AA613" t="s">
        <v>27</v>
      </c>
      <c r="AB613">
        <f t="shared" si="216"/>
        <v>171.58088471621775</v>
      </c>
      <c r="AC613">
        <f t="shared" si="197"/>
        <v>171.58088471621775</v>
      </c>
      <c r="AE613">
        <v>2</v>
      </c>
      <c r="AF613">
        <v>3</v>
      </c>
      <c r="AG613">
        <v>3</v>
      </c>
      <c r="AH613">
        <f t="shared" si="217"/>
        <v>89.394517201324192</v>
      </c>
      <c r="AI613">
        <f t="shared" si="198"/>
        <v>317.84717227137486</v>
      </c>
    </row>
    <row r="614" spans="1:36" x14ac:dyDescent="0.3">
      <c r="A614">
        <v>2022</v>
      </c>
      <c r="B614" t="s">
        <v>203</v>
      </c>
      <c r="C614" t="s">
        <v>241</v>
      </c>
      <c r="D614" t="s">
        <v>472</v>
      </c>
      <c r="E614" t="s">
        <v>473</v>
      </c>
      <c r="F614">
        <v>34</v>
      </c>
      <c r="G614" t="s">
        <v>22</v>
      </c>
      <c r="H614" t="s">
        <v>23</v>
      </c>
      <c r="I614" t="s">
        <v>24</v>
      </c>
      <c r="J614" t="s">
        <v>25</v>
      </c>
      <c r="K614" t="s">
        <v>26</v>
      </c>
      <c r="L614" t="s">
        <v>112</v>
      </c>
      <c r="M614" t="s">
        <v>112</v>
      </c>
      <c r="N614">
        <v>1</v>
      </c>
      <c r="O614">
        <f t="shared" si="210"/>
        <v>4.807692307692308E-3</v>
      </c>
      <c r="P614">
        <v>10</v>
      </c>
      <c r="Q614">
        <f t="shared" si="211"/>
        <v>4.807692307692308E-3</v>
      </c>
      <c r="R614">
        <v>7.0000000000000007E-2</v>
      </c>
      <c r="S614">
        <f t="shared" si="218"/>
        <v>0.70000000000000007</v>
      </c>
      <c r="T614">
        <f t="shared" si="212"/>
        <v>2.5134649910233387E-2</v>
      </c>
      <c r="U614">
        <f t="shared" si="213"/>
        <v>-2.5661240767794798E-2</v>
      </c>
      <c r="V614">
        <f t="shared" si="214"/>
        <v>1.2800000000000001E-2</v>
      </c>
      <c r="W614">
        <v>0.1</v>
      </c>
      <c r="X614">
        <f t="shared" si="215"/>
        <v>0.128</v>
      </c>
      <c r="Y614">
        <v>4</v>
      </c>
      <c r="Z614">
        <v>3</v>
      </c>
      <c r="AA614" t="s">
        <v>27</v>
      </c>
      <c r="AB614">
        <f t="shared" si="216"/>
        <v>31.749015732775089</v>
      </c>
      <c r="AC614">
        <f t="shared" si="197"/>
        <v>42.332020977033451</v>
      </c>
      <c r="AE614">
        <v>1.38</v>
      </c>
      <c r="AF614">
        <v>2</v>
      </c>
      <c r="AG614">
        <v>3.5</v>
      </c>
      <c r="AH614">
        <f t="shared" si="217"/>
        <v>13.146212752346026</v>
      </c>
      <c r="AI614">
        <f t="shared" si="198"/>
        <v>87.097061713265603</v>
      </c>
    </row>
    <row r="615" spans="1:36" x14ac:dyDescent="0.3">
      <c r="A615">
        <v>2022</v>
      </c>
      <c r="B615" t="s">
        <v>203</v>
      </c>
      <c r="C615" t="s">
        <v>241</v>
      </c>
      <c r="D615" t="s">
        <v>472</v>
      </c>
      <c r="E615" t="s">
        <v>473</v>
      </c>
      <c r="F615">
        <v>34</v>
      </c>
      <c r="K615" t="s">
        <v>75</v>
      </c>
      <c r="L615" t="s">
        <v>112</v>
      </c>
      <c r="M615" t="s">
        <v>112</v>
      </c>
      <c r="N615">
        <v>1</v>
      </c>
      <c r="O615">
        <f t="shared" si="210"/>
        <v>4.807692307692308E-3</v>
      </c>
      <c r="P615">
        <v>10</v>
      </c>
      <c r="Q615">
        <f t="shared" si="211"/>
        <v>4.807692307692308E-3</v>
      </c>
      <c r="R615">
        <v>5.0000000000000001E-3</v>
      </c>
      <c r="S615">
        <f t="shared" si="218"/>
        <v>0.05</v>
      </c>
      <c r="T615">
        <f t="shared" si="212"/>
        <v>1.795332136445242E-3</v>
      </c>
      <c r="U615">
        <f t="shared" si="213"/>
        <v>-2.5661240767794798E-2</v>
      </c>
      <c r="V615">
        <f t="shared" si="214"/>
        <v>1.2800000000000001E-2</v>
      </c>
      <c r="W615">
        <v>0.1</v>
      </c>
      <c r="X615">
        <f t="shared" si="215"/>
        <v>0.128</v>
      </c>
      <c r="Y615">
        <v>4</v>
      </c>
      <c r="Z615">
        <v>3</v>
      </c>
      <c r="AA615" t="s">
        <v>27</v>
      </c>
      <c r="AB615">
        <f t="shared" si="216"/>
        <v>8.4852813742385695</v>
      </c>
      <c r="AC615">
        <f t="shared" si="197"/>
        <v>11.313708498984759</v>
      </c>
      <c r="AE615">
        <v>2</v>
      </c>
      <c r="AF615">
        <v>2</v>
      </c>
      <c r="AG615">
        <v>2</v>
      </c>
      <c r="AH615">
        <f t="shared" si="217"/>
        <v>1.5042412372345582</v>
      </c>
      <c r="AI615">
        <f t="shared" si="198"/>
        <v>12.033929897876465</v>
      </c>
    </row>
    <row r="616" spans="1:36" x14ac:dyDescent="0.3">
      <c r="A616">
        <v>2022</v>
      </c>
      <c r="B616" t="s">
        <v>203</v>
      </c>
      <c r="C616" t="s">
        <v>241</v>
      </c>
      <c r="D616" t="s">
        <v>472</v>
      </c>
      <c r="E616" t="s">
        <v>473</v>
      </c>
      <c r="F616">
        <v>34</v>
      </c>
      <c r="G616" t="s">
        <v>22</v>
      </c>
      <c r="H616" t="s">
        <v>56</v>
      </c>
      <c r="I616" t="s">
        <v>90</v>
      </c>
      <c r="J616" t="s">
        <v>91</v>
      </c>
      <c r="K616" t="s">
        <v>92</v>
      </c>
      <c r="L616" t="s">
        <v>112</v>
      </c>
      <c r="M616" t="s">
        <v>112</v>
      </c>
      <c r="N616">
        <v>39</v>
      </c>
      <c r="O616">
        <f t="shared" si="210"/>
        <v>0.1875</v>
      </c>
      <c r="P616">
        <v>390</v>
      </c>
      <c r="Q616">
        <f t="shared" si="211"/>
        <v>0.1875</v>
      </c>
      <c r="R616">
        <v>0.96</v>
      </c>
      <c r="S616">
        <f t="shared" si="218"/>
        <v>9.6</v>
      </c>
      <c r="T616">
        <f t="shared" si="212"/>
        <v>0.34470377019748644</v>
      </c>
      <c r="U616">
        <f t="shared" si="213"/>
        <v>-0.31387058129468842</v>
      </c>
      <c r="V616">
        <f t="shared" si="214"/>
        <v>1.2800000000000001E-2</v>
      </c>
      <c r="W616">
        <v>0.1</v>
      </c>
      <c r="X616">
        <f t="shared" si="215"/>
        <v>0.128</v>
      </c>
      <c r="Y616">
        <v>3</v>
      </c>
      <c r="Z616">
        <v>1</v>
      </c>
      <c r="AA616" t="s">
        <v>93</v>
      </c>
      <c r="AB616">
        <f t="shared" si="216"/>
        <v>183.56470248934028</v>
      </c>
      <c r="AC616">
        <f t="shared" si="197"/>
        <v>979.01174660981474</v>
      </c>
      <c r="AE616">
        <v>1</v>
      </c>
      <c r="AF616">
        <v>3</v>
      </c>
      <c r="AG616">
        <v>1</v>
      </c>
      <c r="AH616">
        <f t="shared" si="217"/>
        <v>72.709445271525738</v>
      </c>
      <c r="AI616">
        <f t="shared" si="198"/>
        <v>1551.1348324592159</v>
      </c>
    </row>
    <row r="617" spans="1:36" x14ac:dyDescent="0.3">
      <c r="A617">
        <v>2022</v>
      </c>
      <c r="B617" t="s">
        <v>203</v>
      </c>
      <c r="C617" t="s">
        <v>241</v>
      </c>
      <c r="D617" t="s">
        <v>472</v>
      </c>
      <c r="E617" t="s">
        <v>473</v>
      </c>
      <c r="F617">
        <v>34</v>
      </c>
      <c r="G617" t="s">
        <v>22</v>
      </c>
      <c r="H617" t="s">
        <v>56</v>
      </c>
      <c r="I617" t="s">
        <v>90</v>
      </c>
      <c r="J617" t="s">
        <v>201</v>
      </c>
      <c r="K617" t="s">
        <v>202</v>
      </c>
      <c r="L617" t="s">
        <v>112</v>
      </c>
      <c r="M617" t="s">
        <v>112</v>
      </c>
      <c r="N617">
        <v>4</v>
      </c>
      <c r="O617">
        <f t="shared" si="210"/>
        <v>1.9230769230769232E-2</v>
      </c>
      <c r="P617">
        <v>40</v>
      </c>
      <c r="Q617">
        <f t="shared" si="211"/>
        <v>1.9230769230769232E-2</v>
      </c>
      <c r="R617">
        <v>0.08</v>
      </c>
      <c r="S617">
        <f t="shared" si="218"/>
        <v>0.8</v>
      </c>
      <c r="T617">
        <f t="shared" si="212"/>
        <v>2.8725314183123872E-2</v>
      </c>
      <c r="U617">
        <f t="shared" si="213"/>
        <v>-7.5985456126565903E-2</v>
      </c>
      <c r="V617">
        <f t="shared" si="214"/>
        <v>1.2800000000000001E-2</v>
      </c>
      <c r="W617">
        <v>0.1</v>
      </c>
      <c r="X617">
        <f t="shared" si="215"/>
        <v>0.128</v>
      </c>
      <c r="Y617">
        <v>3</v>
      </c>
      <c r="Z617">
        <v>1</v>
      </c>
      <c r="AA617" t="s">
        <v>93</v>
      </c>
      <c r="AB617">
        <f t="shared" si="216"/>
        <v>16.970562748477139</v>
      </c>
      <c r="AC617">
        <f t="shared" si="197"/>
        <v>90.509667991878075</v>
      </c>
      <c r="AE617">
        <v>3</v>
      </c>
      <c r="AF617">
        <v>3</v>
      </c>
      <c r="AG617">
        <v>1</v>
      </c>
      <c r="AH617">
        <f t="shared" si="217"/>
        <v>19.145865229001963</v>
      </c>
      <c r="AI617">
        <f t="shared" si="198"/>
        <v>136.14837496179175</v>
      </c>
    </row>
    <row r="618" spans="1:36" x14ac:dyDescent="0.3">
      <c r="A618">
        <v>2022</v>
      </c>
      <c r="B618" t="s">
        <v>203</v>
      </c>
      <c r="C618" t="s">
        <v>241</v>
      </c>
      <c r="D618" t="s">
        <v>472</v>
      </c>
      <c r="E618" t="s">
        <v>473</v>
      </c>
      <c r="F618">
        <v>34</v>
      </c>
      <c r="G618" t="s">
        <v>79</v>
      </c>
      <c r="H618" t="s">
        <v>80</v>
      </c>
      <c r="I618" t="s">
        <v>81</v>
      </c>
      <c r="J618" t="s">
        <v>177</v>
      </c>
      <c r="K618" t="s">
        <v>178</v>
      </c>
      <c r="L618" t="s">
        <v>112</v>
      </c>
      <c r="M618" t="s">
        <v>112</v>
      </c>
      <c r="N618">
        <v>2</v>
      </c>
      <c r="O618">
        <f t="shared" si="210"/>
        <v>9.6153846153846159E-3</v>
      </c>
      <c r="P618">
        <v>20</v>
      </c>
      <c r="Q618">
        <f t="shared" si="211"/>
        <v>9.6153846153846159E-3</v>
      </c>
      <c r="R618">
        <v>0.01</v>
      </c>
      <c r="S618">
        <f t="shared" si="218"/>
        <v>0.1</v>
      </c>
      <c r="T618">
        <f t="shared" si="212"/>
        <v>3.590664272890484E-3</v>
      </c>
      <c r="U618">
        <f t="shared" si="213"/>
        <v>-4.4657604799436278E-2</v>
      </c>
      <c r="V618">
        <f t="shared" si="214"/>
        <v>1.2800000000000001E-2</v>
      </c>
      <c r="W618">
        <v>0.1</v>
      </c>
      <c r="X618">
        <f t="shared" si="215"/>
        <v>0.128</v>
      </c>
      <c r="Y618">
        <v>3</v>
      </c>
      <c r="Z618">
        <v>2</v>
      </c>
      <c r="AA618" t="s">
        <v>93</v>
      </c>
      <c r="AB618">
        <f t="shared" si="216"/>
        <v>8.4852813742385695</v>
      </c>
      <c r="AC618">
        <f t="shared" si="197"/>
        <v>22.627416997969519</v>
      </c>
      <c r="AE618">
        <v>3</v>
      </c>
      <c r="AF618">
        <v>3</v>
      </c>
      <c r="AG618">
        <v>3</v>
      </c>
      <c r="AH618">
        <f t="shared" si="217"/>
        <v>10.153628351333268</v>
      </c>
      <c r="AI618">
        <f t="shared" si="198"/>
        <v>24.067859795752931</v>
      </c>
    </row>
    <row r="619" spans="1:36" x14ac:dyDescent="0.3">
      <c r="A619">
        <v>2022</v>
      </c>
      <c r="B619" t="s">
        <v>203</v>
      </c>
      <c r="C619" t="s">
        <v>241</v>
      </c>
      <c r="D619" t="s">
        <v>472</v>
      </c>
      <c r="E619" t="s">
        <v>473</v>
      </c>
      <c r="F619">
        <v>34</v>
      </c>
      <c r="G619" t="s">
        <v>22</v>
      </c>
      <c r="H619" t="s">
        <v>56</v>
      </c>
      <c r="I619" t="s">
        <v>90</v>
      </c>
      <c r="J619" t="s">
        <v>117</v>
      </c>
      <c r="K619" t="s">
        <v>118</v>
      </c>
      <c r="L619" t="s">
        <v>112</v>
      </c>
      <c r="M619" t="s">
        <v>112</v>
      </c>
      <c r="N619">
        <v>5</v>
      </c>
      <c r="O619">
        <f t="shared" si="210"/>
        <v>2.403846153846154E-2</v>
      </c>
      <c r="P619">
        <v>50</v>
      </c>
      <c r="Q619">
        <f t="shared" si="211"/>
        <v>2.403846153846154E-2</v>
      </c>
      <c r="R619">
        <v>0.02</v>
      </c>
      <c r="S619">
        <f t="shared" si="218"/>
        <v>0.2</v>
      </c>
      <c r="T619">
        <f t="shared" si="212"/>
        <v>7.181328545780968E-3</v>
      </c>
      <c r="U619">
        <f t="shared" si="213"/>
        <v>-8.9617792482385036E-2</v>
      </c>
      <c r="V619">
        <f t="shared" si="214"/>
        <v>1.2800000000000001E-2</v>
      </c>
      <c r="W619">
        <v>0.1</v>
      </c>
      <c r="X619">
        <f t="shared" si="215"/>
        <v>0.128</v>
      </c>
      <c r="Y619">
        <v>3</v>
      </c>
      <c r="Z619">
        <v>1</v>
      </c>
      <c r="AA619" t="s">
        <v>93</v>
      </c>
      <c r="AB619">
        <f t="shared" si="216"/>
        <v>9.4868329805051381</v>
      </c>
      <c r="AC619">
        <f t="shared" si="197"/>
        <v>50.596442562694065</v>
      </c>
      <c r="AE619">
        <v>3</v>
      </c>
      <c r="AF619">
        <v>3</v>
      </c>
      <c r="AG619">
        <v>1</v>
      </c>
      <c r="AH619">
        <f t="shared" si="217"/>
        <v>7.1574365589034583</v>
      </c>
      <c r="AI619">
        <f t="shared" si="198"/>
        <v>50.897326641091254</v>
      </c>
    </row>
    <row r="620" spans="1:36" x14ac:dyDescent="0.3">
      <c r="A620">
        <v>2022</v>
      </c>
      <c r="B620" t="s">
        <v>203</v>
      </c>
      <c r="C620" t="s">
        <v>241</v>
      </c>
      <c r="D620" t="s">
        <v>472</v>
      </c>
      <c r="E620" t="s">
        <v>473</v>
      </c>
      <c r="F620">
        <v>34</v>
      </c>
      <c r="G620" t="s">
        <v>79</v>
      </c>
      <c r="H620" t="s">
        <v>80</v>
      </c>
      <c r="I620" t="s">
        <v>81</v>
      </c>
      <c r="J620" t="s">
        <v>177</v>
      </c>
      <c r="K620" t="s">
        <v>177</v>
      </c>
      <c r="L620" t="s">
        <v>112</v>
      </c>
      <c r="M620" t="s">
        <v>112</v>
      </c>
      <c r="N620">
        <v>2</v>
      </c>
      <c r="O620">
        <f t="shared" si="210"/>
        <v>9.6153846153846159E-3</v>
      </c>
      <c r="P620">
        <v>20</v>
      </c>
      <c r="Q620">
        <f t="shared" si="211"/>
        <v>9.6153846153846159E-3</v>
      </c>
      <c r="R620">
        <v>5.0000000000000001E-3</v>
      </c>
      <c r="S620">
        <f t="shared" si="218"/>
        <v>0.05</v>
      </c>
      <c r="T620">
        <f t="shared" si="212"/>
        <v>1.795332136445242E-3</v>
      </c>
      <c r="U620">
        <f t="shared" si="213"/>
        <v>-4.4657604799436278E-2</v>
      </c>
      <c r="V620">
        <f t="shared" si="214"/>
        <v>1.2800000000000001E-2</v>
      </c>
      <c r="W620">
        <v>0.1</v>
      </c>
      <c r="X620">
        <f t="shared" si="215"/>
        <v>0.128</v>
      </c>
      <c r="Y620">
        <v>3</v>
      </c>
      <c r="Z620">
        <v>2</v>
      </c>
      <c r="AA620" t="s">
        <v>93</v>
      </c>
      <c r="AB620">
        <f t="shared" si="216"/>
        <v>6</v>
      </c>
      <c r="AC620">
        <f t="shared" si="197"/>
        <v>16</v>
      </c>
      <c r="AE620">
        <v>3</v>
      </c>
      <c r="AF620">
        <v>3</v>
      </c>
      <c r="AG620">
        <v>3</v>
      </c>
      <c r="AH620">
        <f t="shared" si="217"/>
        <v>6.0373835392494319</v>
      </c>
      <c r="AI620">
        <f t="shared" si="198"/>
        <v>14.310835055998654</v>
      </c>
    </row>
    <row r="621" spans="1:36" x14ac:dyDescent="0.3">
      <c r="A621">
        <v>2022</v>
      </c>
      <c r="B621" t="s">
        <v>203</v>
      </c>
      <c r="C621" t="s">
        <v>241</v>
      </c>
      <c r="D621" t="s">
        <v>472</v>
      </c>
      <c r="E621" t="s">
        <v>473</v>
      </c>
      <c r="F621">
        <v>34</v>
      </c>
      <c r="G621" t="s">
        <v>22</v>
      </c>
      <c r="H621" t="s">
        <v>135</v>
      </c>
      <c r="I621" t="s">
        <v>142</v>
      </c>
      <c r="J621" t="s">
        <v>143</v>
      </c>
      <c r="K621" t="s">
        <v>144</v>
      </c>
      <c r="L621" t="s">
        <v>112</v>
      </c>
      <c r="M621" t="s">
        <v>112</v>
      </c>
      <c r="N621">
        <v>2</v>
      </c>
      <c r="O621">
        <f t="shared" si="210"/>
        <v>9.6153846153846159E-3</v>
      </c>
      <c r="P621">
        <v>20</v>
      </c>
      <c r="Q621">
        <f t="shared" si="211"/>
        <v>9.6153846153846159E-3</v>
      </c>
      <c r="R621">
        <v>5.0000000000000001E-3</v>
      </c>
      <c r="S621">
        <f t="shared" si="218"/>
        <v>0.05</v>
      </c>
      <c r="T621">
        <f t="shared" si="212"/>
        <v>1.795332136445242E-3</v>
      </c>
      <c r="U621">
        <f t="shared" si="213"/>
        <v>-4.4657604799436278E-2</v>
      </c>
      <c r="V621">
        <f t="shared" si="214"/>
        <v>1.2800000000000001E-2</v>
      </c>
      <c r="W621">
        <v>0.1</v>
      </c>
      <c r="X621">
        <f t="shared" si="215"/>
        <v>0.128</v>
      </c>
      <c r="Y621">
        <v>3</v>
      </c>
      <c r="Z621">
        <v>1</v>
      </c>
      <c r="AA621" t="s">
        <v>93</v>
      </c>
      <c r="AB621">
        <f t="shared" si="216"/>
        <v>3</v>
      </c>
      <c r="AC621">
        <f t="shared" si="197"/>
        <v>16</v>
      </c>
      <c r="AE621">
        <v>3</v>
      </c>
      <c r="AF621">
        <v>3</v>
      </c>
      <c r="AG621">
        <v>1</v>
      </c>
      <c r="AH621">
        <f t="shared" si="217"/>
        <v>2.0124611797498106</v>
      </c>
      <c r="AI621">
        <f t="shared" si="198"/>
        <v>14.310835055998654</v>
      </c>
    </row>
    <row r="622" spans="1:36" x14ac:dyDescent="0.3">
      <c r="A622">
        <v>2022</v>
      </c>
      <c r="B622" t="s">
        <v>203</v>
      </c>
      <c r="C622" t="s">
        <v>241</v>
      </c>
      <c r="D622" t="s">
        <v>472</v>
      </c>
      <c r="E622" t="s">
        <v>473</v>
      </c>
      <c r="F622">
        <v>34</v>
      </c>
      <c r="G622" t="s">
        <v>51</v>
      </c>
      <c r="H622" t="s">
        <v>211</v>
      </c>
      <c r="I622" t="s">
        <v>236</v>
      </c>
      <c r="J622" t="s">
        <v>237</v>
      </c>
      <c r="K622" t="s">
        <v>238</v>
      </c>
      <c r="L622" t="s">
        <v>112</v>
      </c>
      <c r="M622" t="s">
        <v>112</v>
      </c>
      <c r="N622">
        <v>1</v>
      </c>
      <c r="O622">
        <f t="shared" si="210"/>
        <v>4.807692307692308E-3</v>
      </c>
      <c r="P622">
        <v>10</v>
      </c>
      <c r="Q622">
        <f t="shared" si="211"/>
        <v>4.807692307692308E-3</v>
      </c>
      <c r="R622">
        <v>0.24</v>
      </c>
      <c r="S622">
        <f t="shared" si="218"/>
        <v>2.4</v>
      </c>
      <c r="T622">
        <f t="shared" si="212"/>
        <v>8.6175942549371609E-2</v>
      </c>
      <c r="U622">
        <f t="shared" si="213"/>
        <v>-2.5661240767794798E-2</v>
      </c>
      <c r="V622">
        <f t="shared" si="214"/>
        <v>1.2800000000000001E-2</v>
      </c>
      <c r="W622">
        <v>0.1</v>
      </c>
      <c r="X622">
        <f t="shared" si="215"/>
        <v>0.128</v>
      </c>
      <c r="Y622">
        <v>1</v>
      </c>
      <c r="Z622">
        <v>4</v>
      </c>
      <c r="AA622" t="s">
        <v>66</v>
      </c>
      <c r="AB622">
        <f t="shared" si="216"/>
        <v>19.595917942265423</v>
      </c>
      <c r="AC622">
        <f t="shared" si="197"/>
        <v>78.383671769061692</v>
      </c>
      <c r="AE622">
        <v>1</v>
      </c>
      <c r="AF622">
        <v>2</v>
      </c>
      <c r="AG622">
        <v>1</v>
      </c>
      <c r="AH622">
        <f t="shared" si="217"/>
        <v>6.8578570312771179</v>
      </c>
      <c r="AI622">
        <f t="shared" si="198"/>
        <v>219.45142500086777</v>
      </c>
    </row>
    <row r="623" spans="1:36" x14ac:dyDescent="0.3">
      <c r="A623">
        <v>2022</v>
      </c>
      <c r="B623" t="s">
        <v>203</v>
      </c>
      <c r="C623" t="s">
        <v>241</v>
      </c>
      <c r="D623" t="s">
        <v>472</v>
      </c>
      <c r="E623" t="s">
        <v>473</v>
      </c>
      <c r="F623">
        <v>34</v>
      </c>
      <c r="G623" t="s">
        <v>61</v>
      </c>
      <c r="H623" t="s">
        <v>62</v>
      </c>
      <c r="I623" t="s">
        <v>485</v>
      </c>
      <c r="J623" t="s">
        <v>486</v>
      </c>
      <c r="K623" t="s">
        <v>487</v>
      </c>
      <c r="L623" t="s">
        <v>112</v>
      </c>
      <c r="M623" t="s">
        <v>112</v>
      </c>
      <c r="N623">
        <v>1</v>
      </c>
      <c r="O623">
        <f t="shared" si="210"/>
        <v>4.807692307692308E-3</v>
      </c>
      <c r="P623">
        <v>10</v>
      </c>
      <c r="Q623">
        <f t="shared" si="211"/>
        <v>4.807692307692308E-3</v>
      </c>
      <c r="R623">
        <v>0.01</v>
      </c>
      <c r="S623">
        <f t="shared" si="218"/>
        <v>0.1</v>
      </c>
      <c r="T623">
        <f t="shared" si="212"/>
        <v>3.590664272890484E-3</v>
      </c>
      <c r="U623">
        <f t="shared" si="213"/>
        <v>-2.5661240767794798E-2</v>
      </c>
      <c r="V623">
        <f t="shared" si="214"/>
        <v>1.2800000000000001E-2</v>
      </c>
      <c r="W623">
        <v>0.1</v>
      </c>
      <c r="X623">
        <f t="shared" si="215"/>
        <v>0.128</v>
      </c>
      <c r="Y623">
        <v>1</v>
      </c>
      <c r="Z623">
        <v>1</v>
      </c>
      <c r="AA623" t="s">
        <v>66</v>
      </c>
      <c r="AB623">
        <f t="shared" si="216"/>
        <v>1</v>
      </c>
      <c r="AC623">
        <f t="shared" si="197"/>
        <v>16</v>
      </c>
      <c r="AE623">
        <v>1.25</v>
      </c>
      <c r="AF623">
        <v>1.25</v>
      </c>
      <c r="AG623">
        <v>1.75</v>
      </c>
      <c r="AH623">
        <f t="shared" si="217"/>
        <v>0.86468529770229141</v>
      </c>
      <c r="AI623">
        <f t="shared" si="198"/>
        <v>20.238577025077632</v>
      </c>
    </row>
    <row r="624" spans="1:36" x14ac:dyDescent="0.3">
      <c r="A624">
        <v>2022</v>
      </c>
      <c r="B624" t="s">
        <v>203</v>
      </c>
      <c r="C624" t="s">
        <v>241</v>
      </c>
      <c r="D624" t="s">
        <v>472</v>
      </c>
      <c r="E624" t="s">
        <v>473</v>
      </c>
      <c r="F624">
        <v>34</v>
      </c>
      <c r="G624" t="s">
        <v>22</v>
      </c>
      <c r="I624" t="s">
        <v>221</v>
      </c>
      <c r="J624" t="s">
        <v>222</v>
      </c>
      <c r="K624" t="s">
        <v>223</v>
      </c>
      <c r="L624" t="s">
        <v>112</v>
      </c>
      <c r="M624" t="s">
        <v>112</v>
      </c>
      <c r="N624">
        <v>43</v>
      </c>
      <c r="O624">
        <f t="shared" si="210"/>
        <v>0.20673076923076922</v>
      </c>
      <c r="P624">
        <v>430</v>
      </c>
      <c r="Q624">
        <f t="shared" si="211"/>
        <v>0.20673076923076922</v>
      </c>
      <c r="R624">
        <v>0.05</v>
      </c>
      <c r="S624">
        <f t="shared" si="218"/>
        <v>0.5</v>
      </c>
      <c r="T624">
        <f t="shared" si="212"/>
        <v>1.7953321364452417E-2</v>
      </c>
      <c r="U624">
        <f t="shared" si="213"/>
        <v>-0.32587755986698796</v>
      </c>
      <c r="V624">
        <f t="shared" si="214"/>
        <v>1.2800000000000001E-2</v>
      </c>
      <c r="W624">
        <v>0.1</v>
      </c>
      <c r="X624">
        <f t="shared" si="215"/>
        <v>0.128</v>
      </c>
      <c r="Y624">
        <v>2</v>
      </c>
      <c r="Z624">
        <v>2</v>
      </c>
      <c r="AA624" t="s">
        <v>50</v>
      </c>
      <c r="AB624">
        <f t="shared" si="216"/>
        <v>58.651513194460719</v>
      </c>
      <c r="AC624">
        <f t="shared" si="197"/>
        <v>234.60605277784288</v>
      </c>
      <c r="AE624">
        <v>3</v>
      </c>
      <c r="AF624">
        <v>3</v>
      </c>
      <c r="AG624">
        <v>4</v>
      </c>
      <c r="AH624">
        <f t="shared" si="217"/>
        <v>97.47586951396039</v>
      </c>
      <c r="AI624">
        <f t="shared" si="198"/>
        <v>173.29043469148516</v>
      </c>
    </row>
    <row r="625" spans="1:35" x14ac:dyDescent="0.3">
      <c r="A625">
        <v>2022</v>
      </c>
      <c r="B625" t="s">
        <v>203</v>
      </c>
      <c r="C625" t="s">
        <v>241</v>
      </c>
      <c r="D625" t="s">
        <v>472</v>
      </c>
      <c r="E625" t="s">
        <v>473</v>
      </c>
      <c r="F625">
        <v>34</v>
      </c>
      <c r="I625" t="s">
        <v>230</v>
      </c>
      <c r="J625" t="s">
        <v>231</v>
      </c>
      <c r="K625" t="s">
        <v>232</v>
      </c>
      <c r="L625" t="s">
        <v>112</v>
      </c>
      <c r="M625" t="s">
        <v>112</v>
      </c>
      <c r="N625">
        <v>13</v>
      </c>
      <c r="O625">
        <f t="shared" si="210"/>
        <v>6.25E-2</v>
      </c>
      <c r="P625">
        <v>130</v>
      </c>
      <c r="Q625">
        <f t="shared" si="211"/>
        <v>6.25E-2</v>
      </c>
      <c r="R625">
        <v>0.16</v>
      </c>
      <c r="S625">
        <f t="shared" si="218"/>
        <v>1.6</v>
      </c>
      <c r="T625">
        <f t="shared" si="212"/>
        <v>5.7450628366247744E-2</v>
      </c>
      <c r="U625">
        <f t="shared" si="213"/>
        <v>-0.17328679513998632</v>
      </c>
      <c r="V625">
        <f t="shared" si="214"/>
        <v>1.2800000000000001E-2</v>
      </c>
      <c r="W625">
        <v>0.1</v>
      </c>
      <c r="X625">
        <f t="shared" si="215"/>
        <v>0.128</v>
      </c>
      <c r="Y625">
        <v>2</v>
      </c>
      <c r="Z625">
        <v>1</v>
      </c>
      <c r="AA625" t="s">
        <v>50</v>
      </c>
      <c r="AB625">
        <f t="shared" si="216"/>
        <v>28.844410203711913</v>
      </c>
      <c r="AC625">
        <f t="shared" si="197"/>
        <v>230.7552816296953</v>
      </c>
      <c r="AE625">
        <v>3</v>
      </c>
      <c r="AF625">
        <v>2</v>
      </c>
      <c r="AG625">
        <v>1</v>
      </c>
      <c r="AH625">
        <f t="shared" si="217"/>
        <v>28.822196548266469</v>
      </c>
      <c r="AI625">
        <f t="shared" si="198"/>
        <v>307.43676318150898</v>
      </c>
    </row>
    <row r="626" spans="1:35" x14ac:dyDescent="0.3">
      <c r="A626">
        <v>2022</v>
      </c>
      <c r="B626" t="s">
        <v>203</v>
      </c>
      <c r="C626" t="s">
        <v>241</v>
      </c>
      <c r="D626" t="s">
        <v>472</v>
      </c>
      <c r="E626" t="s">
        <v>473</v>
      </c>
      <c r="F626">
        <v>34</v>
      </c>
      <c r="G626" t="s">
        <v>45</v>
      </c>
      <c r="H626" t="s">
        <v>46</v>
      </c>
      <c r="I626" t="s">
        <v>47</v>
      </c>
      <c r="J626" t="s">
        <v>48</v>
      </c>
      <c r="K626" t="s">
        <v>49</v>
      </c>
      <c r="L626" t="s">
        <v>112</v>
      </c>
      <c r="M626" t="s">
        <v>112</v>
      </c>
      <c r="N626">
        <v>7</v>
      </c>
      <c r="O626">
        <f t="shared" si="210"/>
        <v>3.3653846153846152E-2</v>
      </c>
      <c r="P626">
        <v>70</v>
      </c>
      <c r="Q626">
        <f t="shared" si="211"/>
        <v>3.3653846153846152E-2</v>
      </c>
      <c r="R626">
        <v>0.05</v>
      </c>
      <c r="S626">
        <f t="shared" si="218"/>
        <v>0.5</v>
      </c>
      <c r="T626">
        <f t="shared" si="212"/>
        <v>1.7953321364452417E-2</v>
      </c>
      <c r="U626">
        <f t="shared" si="213"/>
        <v>-0.11414132458904823</v>
      </c>
      <c r="V626">
        <f t="shared" si="214"/>
        <v>1.2800000000000001E-2</v>
      </c>
      <c r="W626">
        <v>0.1</v>
      </c>
      <c r="X626">
        <f t="shared" si="215"/>
        <v>0.128</v>
      </c>
      <c r="Y626">
        <v>2</v>
      </c>
      <c r="Z626">
        <v>3</v>
      </c>
      <c r="AA626" t="s">
        <v>50</v>
      </c>
      <c r="AB626">
        <f t="shared" si="216"/>
        <v>35.496478698597691</v>
      </c>
      <c r="AC626">
        <f t="shared" si="197"/>
        <v>94.657276529593844</v>
      </c>
      <c r="AE626">
        <v>3</v>
      </c>
      <c r="AF626">
        <v>2</v>
      </c>
      <c r="AG626">
        <v>2</v>
      </c>
      <c r="AH626">
        <f t="shared" si="217"/>
        <v>20.638743769502355</v>
      </c>
      <c r="AI626">
        <f t="shared" si="198"/>
        <v>110.07330010401256</v>
      </c>
    </row>
    <row r="627" spans="1:35" x14ac:dyDescent="0.3">
      <c r="A627">
        <v>2022</v>
      </c>
      <c r="B627" t="s">
        <v>203</v>
      </c>
      <c r="C627" t="s">
        <v>241</v>
      </c>
      <c r="D627" t="s">
        <v>472</v>
      </c>
      <c r="E627" t="s">
        <v>473</v>
      </c>
      <c r="F627">
        <v>34</v>
      </c>
      <c r="G627" t="s">
        <v>22</v>
      </c>
      <c r="H627" t="s">
        <v>56</v>
      </c>
      <c r="I627" t="s">
        <v>132</v>
      </c>
      <c r="J627" t="s">
        <v>133</v>
      </c>
      <c r="K627" t="s">
        <v>134</v>
      </c>
      <c r="L627" t="s">
        <v>112</v>
      </c>
      <c r="M627" t="s">
        <v>112</v>
      </c>
      <c r="N627">
        <v>9</v>
      </c>
      <c r="O627">
        <f t="shared" si="210"/>
        <v>4.3269230769230768E-2</v>
      </c>
      <c r="P627">
        <v>90</v>
      </c>
      <c r="Q627">
        <f t="shared" si="211"/>
        <v>4.3269230769230768E-2</v>
      </c>
      <c r="R627">
        <v>0.02</v>
      </c>
      <c r="S627">
        <f t="shared" si="218"/>
        <v>0.2</v>
      </c>
      <c r="T627">
        <f t="shared" si="212"/>
        <v>7.181328545780968E-3</v>
      </c>
      <c r="U627">
        <f t="shared" si="213"/>
        <v>-0.13587894962156677</v>
      </c>
      <c r="V627">
        <f t="shared" si="214"/>
        <v>1.2800000000000001E-2</v>
      </c>
      <c r="W627">
        <v>0.1</v>
      </c>
      <c r="X627">
        <f t="shared" si="215"/>
        <v>0.128</v>
      </c>
      <c r="Y627">
        <v>2</v>
      </c>
      <c r="Z627">
        <v>2</v>
      </c>
      <c r="AA627" t="s">
        <v>50</v>
      </c>
      <c r="AB627">
        <f t="shared" si="216"/>
        <v>16.970562748477139</v>
      </c>
      <c r="AC627">
        <f t="shared" si="197"/>
        <v>67.882250993908556</v>
      </c>
      <c r="AE627">
        <v>3</v>
      </c>
      <c r="AF627">
        <v>3</v>
      </c>
      <c r="AG627">
        <v>2</v>
      </c>
      <c r="AH627">
        <f t="shared" si="217"/>
        <v>16.580805665748862</v>
      </c>
      <c r="AI627">
        <f t="shared" si="198"/>
        <v>58.953975700440395</v>
      </c>
    </row>
    <row r="628" spans="1:35" x14ac:dyDescent="0.3">
      <c r="A628">
        <v>2022</v>
      </c>
      <c r="B628" t="s">
        <v>203</v>
      </c>
      <c r="C628" t="s">
        <v>241</v>
      </c>
      <c r="D628" t="s">
        <v>472</v>
      </c>
      <c r="E628" t="s">
        <v>473</v>
      </c>
      <c r="F628">
        <v>34</v>
      </c>
      <c r="G628" t="s">
        <v>79</v>
      </c>
      <c r="H628" t="s">
        <v>113</v>
      </c>
      <c r="I628" t="s">
        <v>123</v>
      </c>
      <c r="J628" t="s">
        <v>124</v>
      </c>
      <c r="K628" t="s">
        <v>125</v>
      </c>
      <c r="L628" t="s">
        <v>112</v>
      </c>
      <c r="M628" t="s">
        <v>112</v>
      </c>
      <c r="N628">
        <v>11</v>
      </c>
      <c r="O628">
        <f t="shared" si="210"/>
        <v>5.2884615384615384E-2</v>
      </c>
      <c r="P628">
        <v>110</v>
      </c>
      <c r="Q628">
        <f t="shared" si="211"/>
        <v>5.2884615384615384E-2</v>
      </c>
      <c r="R628">
        <v>0.15</v>
      </c>
      <c r="S628">
        <f t="shared" si="218"/>
        <v>1.5</v>
      </c>
      <c r="T628">
        <f t="shared" si="212"/>
        <v>5.3859964093357256E-2</v>
      </c>
      <c r="U628">
        <f t="shared" si="213"/>
        <v>-0.15546187921121357</v>
      </c>
      <c r="V628">
        <f t="shared" si="214"/>
        <v>1.2800000000000001E-2</v>
      </c>
      <c r="W628">
        <v>0.1</v>
      </c>
      <c r="X628">
        <f t="shared" si="215"/>
        <v>0.128</v>
      </c>
      <c r="Y628">
        <v>2</v>
      </c>
      <c r="Z628">
        <v>2</v>
      </c>
      <c r="AA628" t="s">
        <v>50</v>
      </c>
      <c r="AB628">
        <f t="shared" si="216"/>
        <v>51.38093031466051</v>
      </c>
      <c r="AC628">
        <f t="shared" si="197"/>
        <v>205.52372125864204</v>
      </c>
      <c r="AE628">
        <v>1</v>
      </c>
      <c r="AF628">
        <v>1</v>
      </c>
      <c r="AG628">
        <v>2</v>
      </c>
      <c r="AH628">
        <f t="shared" si="217"/>
        <v>8.7790315793936387</v>
      </c>
      <c r="AI628">
        <f t="shared" si="198"/>
        <v>280.92901054059644</v>
      </c>
    </row>
    <row r="629" spans="1:35" x14ac:dyDescent="0.3">
      <c r="A629">
        <v>2022</v>
      </c>
      <c r="B629" t="s">
        <v>203</v>
      </c>
      <c r="C629" t="s">
        <v>241</v>
      </c>
      <c r="D629" t="s">
        <v>472</v>
      </c>
      <c r="E629" t="s">
        <v>473</v>
      </c>
      <c r="F629">
        <v>34</v>
      </c>
      <c r="G629" t="s">
        <v>79</v>
      </c>
      <c r="H629" t="s">
        <v>245</v>
      </c>
      <c r="I629" t="s">
        <v>246</v>
      </c>
      <c r="J629" t="s">
        <v>247</v>
      </c>
      <c r="K629" t="s">
        <v>248</v>
      </c>
      <c r="L629" t="s">
        <v>112</v>
      </c>
      <c r="M629" t="s">
        <v>112</v>
      </c>
      <c r="N629">
        <v>5</v>
      </c>
      <c r="O629">
        <f t="shared" si="210"/>
        <v>2.403846153846154E-2</v>
      </c>
      <c r="P629">
        <v>50</v>
      </c>
      <c r="Q629">
        <f t="shared" si="211"/>
        <v>2.403846153846154E-2</v>
      </c>
      <c r="R629">
        <v>0.02</v>
      </c>
      <c r="S629">
        <f t="shared" si="218"/>
        <v>0.2</v>
      </c>
      <c r="T629">
        <f t="shared" si="212"/>
        <v>7.181328545780968E-3</v>
      </c>
      <c r="U629">
        <f t="shared" si="213"/>
        <v>-8.9617792482385036E-2</v>
      </c>
      <c r="V629">
        <f t="shared" si="214"/>
        <v>1.2800000000000001E-2</v>
      </c>
      <c r="W629">
        <v>0.1</v>
      </c>
      <c r="X629">
        <f t="shared" si="215"/>
        <v>0.128</v>
      </c>
      <c r="Y629">
        <v>2</v>
      </c>
      <c r="Z629">
        <v>3</v>
      </c>
      <c r="AA629" t="s">
        <v>50</v>
      </c>
      <c r="AB629">
        <f t="shared" si="216"/>
        <v>18.973665961010276</v>
      </c>
      <c r="AC629">
        <f t="shared" si="197"/>
        <v>50.596442562694065</v>
      </c>
      <c r="AE629">
        <v>3</v>
      </c>
      <c r="AF629">
        <v>3</v>
      </c>
      <c r="AG629">
        <v>1</v>
      </c>
      <c r="AH629">
        <f t="shared" si="217"/>
        <v>7.1574365589034583</v>
      </c>
      <c r="AI629">
        <f t="shared" si="198"/>
        <v>50.897326641091254</v>
      </c>
    </row>
    <row r="630" spans="1:35" x14ac:dyDescent="0.3">
      <c r="A630">
        <v>2022</v>
      </c>
      <c r="B630" t="s">
        <v>203</v>
      </c>
      <c r="C630" t="s">
        <v>241</v>
      </c>
      <c r="D630" t="s">
        <v>472</v>
      </c>
      <c r="E630" t="s">
        <v>473</v>
      </c>
      <c r="F630">
        <v>34</v>
      </c>
      <c r="G630" t="s">
        <v>79</v>
      </c>
      <c r="H630" t="s">
        <v>113</v>
      </c>
      <c r="I630" t="s">
        <v>114</v>
      </c>
      <c r="J630" t="s">
        <v>191</v>
      </c>
      <c r="K630" t="s">
        <v>192</v>
      </c>
      <c r="L630" t="s">
        <v>112</v>
      </c>
      <c r="M630" t="s">
        <v>112</v>
      </c>
      <c r="N630">
        <v>1</v>
      </c>
      <c r="O630">
        <f t="shared" si="210"/>
        <v>4.807692307692308E-3</v>
      </c>
      <c r="P630">
        <v>10</v>
      </c>
      <c r="Q630">
        <f t="shared" si="211"/>
        <v>4.807692307692308E-3</v>
      </c>
      <c r="R630">
        <v>5.0000000000000001E-3</v>
      </c>
      <c r="S630">
        <f t="shared" si="218"/>
        <v>0.05</v>
      </c>
      <c r="T630">
        <f t="shared" si="212"/>
        <v>1.795332136445242E-3</v>
      </c>
      <c r="U630">
        <f t="shared" si="213"/>
        <v>-2.5661240767794798E-2</v>
      </c>
      <c r="V630">
        <f t="shared" si="214"/>
        <v>1.2800000000000001E-2</v>
      </c>
      <c r="W630">
        <v>0.1</v>
      </c>
      <c r="X630">
        <f t="shared" si="215"/>
        <v>0.128</v>
      </c>
      <c r="Y630">
        <v>2</v>
      </c>
      <c r="Z630">
        <v>2</v>
      </c>
      <c r="AA630" t="s">
        <v>50</v>
      </c>
      <c r="AB630">
        <f t="shared" si="216"/>
        <v>2.8284271247461898</v>
      </c>
      <c r="AC630">
        <f t="shared" si="197"/>
        <v>11.313708498984759</v>
      </c>
      <c r="AE630">
        <v>2</v>
      </c>
      <c r="AF630">
        <v>4</v>
      </c>
      <c r="AG630">
        <v>3</v>
      </c>
      <c r="AH630">
        <f t="shared" si="217"/>
        <v>4.5127237117036749</v>
      </c>
      <c r="AI630">
        <f t="shared" si="198"/>
        <v>12.033929897876465</v>
      </c>
    </row>
    <row r="631" spans="1:35" x14ac:dyDescent="0.3">
      <c r="A631">
        <v>2022</v>
      </c>
      <c r="B631" t="s">
        <v>203</v>
      </c>
      <c r="C631" t="s">
        <v>241</v>
      </c>
      <c r="D631" t="s">
        <v>472</v>
      </c>
      <c r="E631" t="s">
        <v>473</v>
      </c>
      <c r="F631">
        <v>34</v>
      </c>
      <c r="G631" t="s">
        <v>79</v>
      </c>
      <c r="H631" t="s">
        <v>215</v>
      </c>
      <c r="I631" t="s">
        <v>216</v>
      </c>
      <c r="J631" t="s">
        <v>217</v>
      </c>
      <c r="K631" t="s">
        <v>218</v>
      </c>
      <c r="L631" t="s">
        <v>112</v>
      </c>
      <c r="M631" t="s">
        <v>112</v>
      </c>
      <c r="N631">
        <v>5</v>
      </c>
      <c r="O631">
        <f t="shared" si="210"/>
        <v>2.403846153846154E-2</v>
      </c>
      <c r="P631">
        <v>50</v>
      </c>
      <c r="Q631">
        <f t="shared" si="211"/>
        <v>2.403846153846154E-2</v>
      </c>
      <c r="R631">
        <v>0.02</v>
      </c>
      <c r="S631">
        <f t="shared" si="218"/>
        <v>0.2</v>
      </c>
      <c r="T631">
        <f t="shared" si="212"/>
        <v>7.181328545780968E-3</v>
      </c>
      <c r="U631">
        <f t="shared" si="213"/>
        <v>-8.9617792482385036E-2</v>
      </c>
      <c r="V631">
        <f t="shared" si="214"/>
        <v>1.2800000000000001E-2</v>
      </c>
      <c r="W631">
        <v>0.1</v>
      </c>
      <c r="X631">
        <f t="shared" si="215"/>
        <v>0.128</v>
      </c>
      <c r="Y631">
        <v>2</v>
      </c>
      <c r="Z631">
        <v>2</v>
      </c>
      <c r="AA631" t="s">
        <v>50</v>
      </c>
      <c r="AB631">
        <f t="shared" si="216"/>
        <v>12.649110640673516</v>
      </c>
      <c r="AC631">
        <f t="shared" si="197"/>
        <v>50.596442562694065</v>
      </c>
      <c r="AE631">
        <v>2.5</v>
      </c>
      <c r="AF631">
        <v>1</v>
      </c>
      <c r="AG631">
        <v>2</v>
      </c>
      <c r="AH631">
        <f t="shared" si="217"/>
        <v>3.976353643835254</v>
      </c>
      <c r="AI631">
        <f t="shared" si="198"/>
        <v>50.897326641091254</v>
      </c>
    </row>
    <row r="632" spans="1:35" x14ac:dyDescent="0.3">
      <c r="A632">
        <v>2022</v>
      </c>
      <c r="B632" t="s">
        <v>203</v>
      </c>
      <c r="C632" t="s">
        <v>241</v>
      </c>
      <c r="D632" t="s">
        <v>472</v>
      </c>
      <c r="E632" t="s">
        <v>473</v>
      </c>
      <c r="F632">
        <v>34</v>
      </c>
      <c r="G632" t="s">
        <v>22</v>
      </c>
      <c r="H632" t="s">
        <v>56</v>
      </c>
      <c r="I632" t="s">
        <v>132</v>
      </c>
      <c r="K632" t="s">
        <v>132</v>
      </c>
      <c r="L632" t="s">
        <v>112</v>
      </c>
      <c r="M632" t="s">
        <v>112</v>
      </c>
      <c r="N632">
        <v>2</v>
      </c>
      <c r="O632">
        <f t="shared" si="210"/>
        <v>9.6153846153846159E-3</v>
      </c>
      <c r="P632">
        <v>20</v>
      </c>
      <c r="Q632">
        <f t="shared" si="211"/>
        <v>9.6153846153846159E-3</v>
      </c>
      <c r="R632">
        <v>5.0000000000000001E-3</v>
      </c>
      <c r="S632">
        <f t="shared" si="218"/>
        <v>0.05</v>
      </c>
      <c r="T632">
        <f t="shared" si="212"/>
        <v>1.795332136445242E-3</v>
      </c>
      <c r="U632">
        <f t="shared" si="213"/>
        <v>-4.4657604799436278E-2</v>
      </c>
      <c r="V632">
        <f t="shared" si="214"/>
        <v>1.2800000000000001E-2</v>
      </c>
      <c r="W632">
        <v>0.1</v>
      </c>
      <c r="X632">
        <f t="shared" si="215"/>
        <v>0.128</v>
      </c>
      <c r="Y632">
        <v>2</v>
      </c>
      <c r="Z632">
        <v>2</v>
      </c>
      <c r="AA632" t="s">
        <v>50</v>
      </c>
      <c r="AB632">
        <f t="shared" si="216"/>
        <v>4</v>
      </c>
      <c r="AC632">
        <f t="shared" si="197"/>
        <v>16</v>
      </c>
      <c r="AE632">
        <v>2.8333333333333299</v>
      </c>
      <c r="AF632">
        <v>2.7333333333333298</v>
      </c>
      <c r="AG632">
        <v>2</v>
      </c>
      <c r="AH632">
        <f t="shared" si="217"/>
        <v>3.4634208451496655</v>
      </c>
      <c r="AI632">
        <f t="shared" si="198"/>
        <v>14.310835055998654</v>
      </c>
    </row>
    <row r="633" spans="1:35" x14ac:dyDescent="0.3">
      <c r="A633">
        <v>2022</v>
      </c>
      <c r="B633" t="s">
        <v>203</v>
      </c>
      <c r="C633" t="s">
        <v>241</v>
      </c>
      <c r="D633" t="s">
        <v>472</v>
      </c>
      <c r="E633" t="s">
        <v>473</v>
      </c>
      <c r="F633">
        <v>34</v>
      </c>
      <c r="G633" t="s">
        <v>45</v>
      </c>
      <c r="H633" t="s">
        <v>71</v>
      </c>
      <c r="I633" t="s">
        <v>72</v>
      </c>
      <c r="J633" t="s">
        <v>73</v>
      </c>
      <c r="K633" t="s">
        <v>74</v>
      </c>
      <c r="L633" t="s">
        <v>112</v>
      </c>
      <c r="M633" t="s">
        <v>112</v>
      </c>
      <c r="N633">
        <v>10</v>
      </c>
      <c r="O633">
        <f t="shared" si="210"/>
        <v>4.807692307692308E-2</v>
      </c>
      <c r="P633">
        <v>100</v>
      </c>
      <c r="Q633">
        <f t="shared" si="211"/>
        <v>4.807692307692308E-2</v>
      </c>
      <c r="R633">
        <v>0.02</v>
      </c>
      <c r="S633">
        <f t="shared" si="218"/>
        <v>0.2</v>
      </c>
      <c r="T633">
        <f t="shared" si="212"/>
        <v>7.181328545780968E-3</v>
      </c>
      <c r="U633">
        <f t="shared" si="213"/>
        <v>-0.14591120128400348</v>
      </c>
      <c r="V633">
        <f t="shared" si="214"/>
        <v>1.2800000000000001E-2</v>
      </c>
      <c r="W633">
        <v>0.1</v>
      </c>
      <c r="X633">
        <f t="shared" si="215"/>
        <v>0.128</v>
      </c>
      <c r="Y633">
        <v>2</v>
      </c>
      <c r="Z633">
        <v>3</v>
      </c>
      <c r="AA633" t="s">
        <v>50</v>
      </c>
      <c r="AB633">
        <f t="shared" si="216"/>
        <v>26.832815729997478</v>
      </c>
      <c r="AC633">
        <f t="shared" si="197"/>
        <v>71.554175279993274</v>
      </c>
      <c r="AE633">
        <v>1</v>
      </c>
      <c r="AF633">
        <v>3</v>
      </c>
      <c r="AG633">
        <v>1</v>
      </c>
      <c r="AH633">
        <f t="shared" si="217"/>
        <v>2.8372248270095266</v>
      </c>
      <c r="AI633">
        <f t="shared" si="198"/>
        <v>60.527462976203239</v>
      </c>
    </row>
    <row r="634" spans="1:35" x14ac:dyDescent="0.3">
      <c r="A634">
        <v>2022</v>
      </c>
      <c r="B634" t="s">
        <v>203</v>
      </c>
      <c r="C634" t="s">
        <v>241</v>
      </c>
      <c r="D634" t="s">
        <v>472</v>
      </c>
      <c r="E634" t="s">
        <v>473</v>
      </c>
      <c r="F634">
        <v>34</v>
      </c>
      <c r="G634" t="s">
        <v>51</v>
      </c>
      <c r="H634" t="s">
        <v>126</v>
      </c>
      <c r="I634" t="s">
        <v>482</v>
      </c>
      <c r="J634" t="s">
        <v>483</v>
      </c>
      <c r="K634" t="s">
        <v>484</v>
      </c>
      <c r="L634" t="s">
        <v>112</v>
      </c>
      <c r="M634" t="s">
        <v>112</v>
      </c>
      <c r="N634">
        <v>1</v>
      </c>
      <c r="O634">
        <f t="shared" si="210"/>
        <v>4.807692307692308E-3</v>
      </c>
      <c r="P634">
        <v>10</v>
      </c>
      <c r="Q634">
        <f t="shared" si="211"/>
        <v>4.807692307692308E-3</v>
      </c>
      <c r="R634">
        <v>5.0000000000000001E-3</v>
      </c>
      <c r="S634">
        <f t="shared" si="218"/>
        <v>0.05</v>
      </c>
      <c r="T634">
        <f t="shared" si="212"/>
        <v>1.795332136445242E-3</v>
      </c>
      <c r="U634">
        <f t="shared" si="213"/>
        <v>-2.5661240767794798E-2</v>
      </c>
      <c r="V634">
        <f t="shared" si="214"/>
        <v>1.2800000000000001E-2</v>
      </c>
      <c r="W634">
        <v>0.1</v>
      </c>
      <c r="X634">
        <f t="shared" si="215"/>
        <v>0.128</v>
      </c>
      <c r="Y634">
        <v>2</v>
      </c>
      <c r="Z634">
        <v>2</v>
      </c>
      <c r="AA634" t="s">
        <v>50</v>
      </c>
      <c r="AB634">
        <f t="shared" si="216"/>
        <v>2.8284271247461898</v>
      </c>
      <c r="AC634">
        <f t="shared" si="197"/>
        <v>11.313708498984759</v>
      </c>
      <c r="AE634">
        <v>1.75</v>
      </c>
      <c r="AF634">
        <v>3.5</v>
      </c>
      <c r="AG634">
        <v>1.75</v>
      </c>
      <c r="AH634">
        <f t="shared" si="217"/>
        <v>2.01544822020099</v>
      </c>
      <c r="AI634">
        <f t="shared" si="198"/>
        <v>12.033929897876465</v>
      </c>
    </row>
    <row r="635" spans="1:35" x14ac:dyDescent="0.3">
      <c r="A635">
        <v>2022</v>
      </c>
      <c r="B635" t="s">
        <v>203</v>
      </c>
      <c r="C635" t="s">
        <v>241</v>
      </c>
      <c r="D635" t="s">
        <v>472</v>
      </c>
      <c r="E635" t="s">
        <v>473</v>
      </c>
      <c r="F635">
        <v>34</v>
      </c>
      <c r="G635" t="s">
        <v>22</v>
      </c>
      <c r="I635" t="s">
        <v>145</v>
      </c>
      <c r="J635" t="s">
        <v>227</v>
      </c>
      <c r="K635" t="s">
        <v>228</v>
      </c>
      <c r="L635" t="s">
        <v>112</v>
      </c>
      <c r="M635" t="s">
        <v>112</v>
      </c>
      <c r="N635">
        <v>2</v>
      </c>
      <c r="O635">
        <f t="shared" si="210"/>
        <v>9.6153846153846159E-3</v>
      </c>
      <c r="P635">
        <v>20</v>
      </c>
      <c r="Q635">
        <f t="shared" si="211"/>
        <v>9.6153846153846159E-3</v>
      </c>
      <c r="R635">
        <v>0.16</v>
      </c>
      <c r="S635">
        <f t="shared" si="218"/>
        <v>1.6</v>
      </c>
      <c r="T635">
        <f t="shared" si="212"/>
        <v>5.7450628366247744E-2</v>
      </c>
      <c r="U635">
        <f t="shared" si="213"/>
        <v>-4.4657604799436278E-2</v>
      </c>
      <c r="V635">
        <f t="shared" si="214"/>
        <v>1.2800000000000001E-2</v>
      </c>
      <c r="W635">
        <v>0.1</v>
      </c>
      <c r="X635">
        <f t="shared" si="215"/>
        <v>0.128</v>
      </c>
      <c r="Y635">
        <v>3</v>
      </c>
      <c r="Z635">
        <v>2</v>
      </c>
      <c r="AA635" t="s">
        <v>60</v>
      </c>
      <c r="AB635">
        <f t="shared" si="216"/>
        <v>33.941125496954278</v>
      </c>
      <c r="AC635">
        <f t="shared" si="197"/>
        <v>90.509667991878075</v>
      </c>
      <c r="AE635">
        <v>3</v>
      </c>
      <c r="AF635">
        <v>3</v>
      </c>
      <c r="AG635">
        <v>4</v>
      </c>
      <c r="AH635">
        <f t="shared" si="217"/>
        <v>108.30536908088811</v>
      </c>
      <c r="AI635">
        <f t="shared" si="198"/>
        <v>192.54287836602333</v>
      </c>
    </row>
    <row r="636" spans="1:35" x14ac:dyDescent="0.3">
      <c r="A636">
        <v>2022</v>
      </c>
      <c r="B636" t="s">
        <v>203</v>
      </c>
      <c r="C636" t="s">
        <v>241</v>
      </c>
      <c r="D636" t="s">
        <v>472</v>
      </c>
      <c r="E636" t="s">
        <v>473</v>
      </c>
      <c r="F636">
        <v>34</v>
      </c>
      <c r="G636" t="s">
        <v>22</v>
      </c>
      <c r="I636" t="s">
        <v>145</v>
      </c>
      <c r="J636" t="s">
        <v>146</v>
      </c>
      <c r="K636" t="s">
        <v>147</v>
      </c>
      <c r="L636" t="s">
        <v>112</v>
      </c>
      <c r="M636" t="s">
        <v>112</v>
      </c>
      <c r="N636">
        <v>3</v>
      </c>
      <c r="O636">
        <f t="shared" si="210"/>
        <v>1.4423076923076924E-2</v>
      </c>
      <c r="P636">
        <v>30</v>
      </c>
      <c r="Q636">
        <f t="shared" si="211"/>
        <v>1.4423076923076924E-2</v>
      </c>
      <c r="R636">
        <v>0.04</v>
      </c>
      <c r="S636">
        <f t="shared" si="218"/>
        <v>0.4</v>
      </c>
      <c r="T636">
        <f t="shared" si="212"/>
        <v>1.4362657091561936E-2</v>
      </c>
      <c r="U636">
        <f t="shared" si="213"/>
        <v>-6.1138352755286653E-2</v>
      </c>
      <c r="V636">
        <f t="shared" si="214"/>
        <v>1.2800000000000001E-2</v>
      </c>
      <c r="W636">
        <v>0.1</v>
      </c>
      <c r="X636">
        <f t="shared" si="215"/>
        <v>0.128</v>
      </c>
      <c r="Y636">
        <v>3</v>
      </c>
      <c r="Z636">
        <v>2</v>
      </c>
      <c r="AA636" t="s">
        <v>60</v>
      </c>
      <c r="AB636">
        <f t="shared" si="216"/>
        <v>20.784609690826528</v>
      </c>
      <c r="AC636">
        <f t="shared" si="197"/>
        <v>55.425625842204077</v>
      </c>
      <c r="AE636">
        <v>2.88</v>
      </c>
      <c r="AF636">
        <v>4</v>
      </c>
      <c r="AG636">
        <v>2</v>
      </c>
      <c r="AH636">
        <f t="shared" si="217"/>
        <v>27.12113009402308</v>
      </c>
      <c r="AI636">
        <f t="shared" si="198"/>
        <v>75.336472483397444</v>
      </c>
    </row>
    <row r="637" spans="1:35" x14ac:dyDescent="0.3">
      <c r="A637">
        <v>2022</v>
      </c>
      <c r="B637" t="s">
        <v>203</v>
      </c>
      <c r="C637" t="s">
        <v>241</v>
      </c>
      <c r="D637" t="s">
        <v>472</v>
      </c>
      <c r="E637" t="s">
        <v>473</v>
      </c>
      <c r="F637">
        <v>34</v>
      </c>
      <c r="G637" t="s">
        <v>22</v>
      </c>
      <c r="I637" t="s">
        <v>102</v>
      </c>
      <c r="J637" t="s">
        <v>103</v>
      </c>
      <c r="K637" t="s">
        <v>103</v>
      </c>
      <c r="L637" t="s">
        <v>112</v>
      </c>
      <c r="M637" t="s">
        <v>112</v>
      </c>
      <c r="N637">
        <v>1</v>
      </c>
      <c r="O637">
        <f t="shared" si="210"/>
        <v>4.807692307692308E-3</v>
      </c>
      <c r="P637">
        <v>10</v>
      </c>
      <c r="Q637">
        <f t="shared" si="211"/>
        <v>4.807692307692308E-3</v>
      </c>
      <c r="R637">
        <v>5.0000000000000001E-3</v>
      </c>
      <c r="S637">
        <f t="shared" si="218"/>
        <v>0.05</v>
      </c>
      <c r="T637">
        <f t="shared" si="212"/>
        <v>1.795332136445242E-3</v>
      </c>
      <c r="U637">
        <f t="shared" si="213"/>
        <v>-2.5661240767794798E-2</v>
      </c>
      <c r="V637">
        <f t="shared" si="214"/>
        <v>1.2800000000000001E-2</v>
      </c>
      <c r="W637">
        <v>0.1</v>
      </c>
      <c r="X637">
        <f t="shared" si="215"/>
        <v>0.128</v>
      </c>
      <c r="Y637">
        <v>3</v>
      </c>
      <c r="Z637">
        <v>1</v>
      </c>
      <c r="AA637" t="s">
        <v>60</v>
      </c>
      <c r="AB637">
        <f t="shared" si="216"/>
        <v>2.1213203435596424</v>
      </c>
      <c r="AC637">
        <f t="shared" si="197"/>
        <v>11.313708498984759</v>
      </c>
      <c r="AE637">
        <v>3</v>
      </c>
      <c r="AF637">
        <v>4</v>
      </c>
      <c r="AG637">
        <v>2.71</v>
      </c>
      <c r="AH637">
        <f t="shared" si="217"/>
        <v>6.1147406293584794</v>
      </c>
      <c r="AI637">
        <f t="shared" si="198"/>
        <v>12.033929897876465</v>
      </c>
    </row>
    <row r="638" spans="1:35" x14ac:dyDescent="0.3">
      <c r="A638">
        <v>2022</v>
      </c>
      <c r="B638" t="s">
        <v>203</v>
      </c>
      <c r="C638" t="s">
        <v>241</v>
      </c>
      <c r="D638" t="s">
        <v>472</v>
      </c>
      <c r="E638" t="s">
        <v>473</v>
      </c>
      <c r="F638">
        <v>34</v>
      </c>
      <c r="G638" t="s">
        <v>22</v>
      </c>
      <c r="H638" t="s">
        <v>56</v>
      </c>
      <c r="I638" t="s">
        <v>57</v>
      </c>
      <c r="J638" t="s">
        <v>58</v>
      </c>
      <c r="K638" t="s">
        <v>59</v>
      </c>
      <c r="L638" t="s">
        <v>112</v>
      </c>
      <c r="M638" t="s">
        <v>112</v>
      </c>
      <c r="N638">
        <v>3</v>
      </c>
      <c r="O638">
        <f t="shared" si="210"/>
        <v>1.4423076923076924E-2</v>
      </c>
      <c r="P638">
        <v>30</v>
      </c>
      <c r="Q638">
        <f t="shared" si="211"/>
        <v>1.4423076923076924E-2</v>
      </c>
      <c r="R638">
        <v>0.02</v>
      </c>
      <c r="S638">
        <f t="shared" si="218"/>
        <v>0.2</v>
      </c>
      <c r="T638">
        <f t="shared" si="212"/>
        <v>7.181328545780968E-3</v>
      </c>
      <c r="U638">
        <f t="shared" si="213"/>
        <v>-6.1138352755286653E-2</v>
      </c>
      <c r="V638">
        <f t="shared" si="214"/>
        <v>1.2800000000000001E-2</v>
      </c>
      <c r="W638">
        <v>0.1</v>
      </c>
      <c r="X638">
        <f t="shared" si="215"/>
        <v>0.128</v>
      </c>
      <c r="Y638">
        <v>3</v>
      </c>
      <c r="Z638">
        <v>2</v>
      </c>
      <c r="AA638" t="s">
        <v>60</v>
      </c>
      <c r="AB638">
        <f t="shared" si="216"/>
        <v>14.696938456699069</v>
      </c>
      <c r="AC638">
        <f t="shared" si="197"/>
        <v>39.191835884530853</v>
      </c>
      <c r="AE638">
        <v>1</v>
      </c>
      <c r="AF638">
        <v>3</v>
      </c>
      <c r="AG638">
        <v>2</v>
      </c>
      <c r="AH638">
        <f t="shared" si="217"/>
        <v>4.1995626138967008</v>
      </c>
      <c r="AI638">
        <f t="shared" si="198"/>
        <v>44.795334548231473</v>
      </c>
    </row>
    <row r="639" spans="1:35" x14ac:dyDescent="0.3">
      <c r="A639">
        <v>2022</v>
      </c>
      <c r="B639" t="s">
        <v>203</v>
      </c>
      <c r="C639" t="s">
        <v>241</v>
      </c>
      <c r="D639" t="s">
        <v>472</v>
      </c>
      <c r="E639" t="s">
        <v>473</v>
      </c>
      <c r="F639">
        <v>34</v>
      </c>
      <c r="G639" t="s">
        <v>22</v>
      </c>
      <c r="H639" t="s">
        <v>56</v>
      </c>
      <c r="I639" t="s">
        <v>153</v>
      </c>
      <c r="J639" t="s">
        <v>154</v>
      </c>
      <c r="K639" t="s">
        <v>272</v>
      </c>
      <c r="L639" t="s">
        <v>112</v>
      </c>
      <c r="M639" t="s">
        <v>112</v>
      </c>
      <c r="N639">
        <v>5</v>
      </c>
      <c r="O639">
        <f t="shared" si="210"/>
        <v>2.403846153846154E-2</v>
      </c>
      <c r="P639">
        <v>50</v>
      </c>
      <c r="Q639">
        <f t="shared" si="211"/>
        <v>2.403846153846154E-2</v>
      </c>
      <c r="R639">
        <v>0.18</v>
      </c>
      <c r="S639">
        <f t="shared" si="218"/>
        <v>1.7999999999999998</v>
      </c>
      <c r="T639">
        <f t="shared" si="212"/>
        <v>6.4631956912028693E-2</v>
      </c>
      <c r="U639">
        <f t="shared" si="213"/>
        <v>-8.9617792482385036E-2</v>
      </c>
      <c r="V639">
        <f t="shared" si="214"/>
        <v>1.2800000000000001E-2</v>
      </c>
      <c r="W639">
        <v>0.1</v>
      </c>
      <c r="X639">
        <f t="shared" si="215"/>
        <v>0.128</v>
      </c>
      <c r="Y639">
        <v>3</v>
      </c>
      <c r="Z639">
        <v>1</v>
      </c>
      <c r="AA639" t="s">
        <v>100</v>
      </c>
      <c r="AB639">
        <f t="shared" si="216"/>
        <v>28.460498941515414</v>
      </c>
      <c r="AC639">
        <f t="shared" si="197"/>
        <v>151.78932768808221</v>
      </c>
      <c r="AE639">
        <v>3</v>
      </c>
      <c r="AF639">
        <v>3</v>
      </c>
      <c r="AG639">
        <v>2</v>
      </c>
      <c r="AH639">
        <f t="shared" si="217"/>
        <v>74.3822626318304</v>
      </c>
      <c r="AI639">
        <f t="shared" si="198"/>
        <v>264.47026713539702</v>
      </c>
    </row>
    <row r="640" spans="1:35" x14ac:dyDescent="0.3">
      <c r="A640">
        <v>2022</v>
      </c>
      <c r="B640" t="s">
        <v>203</v>
      </c>
      <c r="C640" t="s">
        <v>241</v>
      </c>
      <c r="D640" t="s">
        <v>472</v>
      </c>
      <c r="E640" t="s">
        <v>473</v>
      </c>
      <c r="F640">
        <v>34</v>
      </c>
      <c r="G640" t="s">
        <v>22</v>
      </c>
      <c r="H640" t="s">
        <v>96</v>
      </c>
      <c r="I640" t="s">
        <v>97</v>
      </c>
      <c r="J640" t="s">
        <v>108</v>
      </c>
      <c r="K640" t="s">
        <v>109</v>
      </c>
      <c r="L640" t="s">
        <v>112</v>
      </c>
      <c r="M640" t="s">
        <v>112</v>
      </c>
      <c r="N640">
        <v>3</v>
      </c>
      <c r="O640">
        <f t="shared" si="210"/>
        <v>1.4423076923076924E-2</v>
      </c>
      <c r="P640">
        <v>30</v>
      </c>
      <c r="Q640">
        <f t="shared" si="211"/>
        <v>1.4423076923076924E-2</v>
      </c>
      <c r="R640">
        <v>0.03</v>
      </c>
      <c r="S640">
        <f t="shared" si="218"/>
        <v>0.3</v>
      </c>
      <c r="T640">
        <f t="shared" si="212"/>
        <v>1.0771992818671451E-2</v>
      </c>
      <c r="U640">
        <f t="shared" si="213"/>
        <v>-6.1138352755286653E-2</v>
      </c>
      <c r="V640">
        <f t="shared" si="214"/>
        <v>1.2800000000000001E-2</v>
      </c>
      <c r="W640">
        <v>0.1</v>
      </c>
      <c r="X640">
        <f t="shared" si="215"/>
        <v>0.128</v>
      </c>
      <c r="Y640">
        <v>3</v>
      </c>
      <c r="Z640">
        <v>2</v>
      </c>
      <c r="AA640" t="s">
        <v>100</v>
      </c>
      <c r="AB640">
        <f t="shared" si="216"/>
        <v>18</v>
      </c>
      <c r="AC640">
        <f t="shared" si="197"/>
        <v>48</v>
      </c>
      <c r="AE640">
        <v>3</v>
      </c>
      <c r="AF640">
        <v>3</v>
      </c>
      <c r="AG640">
        <v>3</v>
      </c>
      <c r="AH640">
        <f t="shared" si="217"/>
        <v>25.61444904736388</v>
      </c>
      <c r="AI640">
        <f t="shared" si="198"/>
        <v>60.715731075232895</v>
      </c>
    </row>
    <row r="641" spans="1:36" x14ac:dyDescent="0.3">
      <c r="A641">
        <v>2022</v>
      </c>
      <c r="B641" t="s">
        <v>203</v>
      </c>
      <c r="C641" t="s">
        <v>241</v>
      </c>
      <c r="D641" t="s">
        <v>472</v>
      </c>
      <c r="E641" t="s">
        <v>473</v>
      </c>
      <c r="F641">
        <v>34</v>
      </c>
      <c r="G641" t="s">
        <v>22</v>
      </c>
      <c r="H641" t="s">
        <v>96</v>
      </c>
      <c r="I641" t="s">
        <v>97</v>
      </c>
      <c r="J641" t="s">
        <v>98</v>
      </c>
      <c r="K641" t="s">
        <v>101</v>
      </c>
      <c r="L641" t="s">
        <v>112</v>
      </c>
      <c r="M641" t="s">
        <v>112</v>
      </c>
      <c r="N641">
        <v>11</v>
      </c>
      <c r="O641">
        <f t="shared" si="210"/>
        <v>5.2884615384615384E-2</v>
      </c>
      <c r="P641">
        <v>110</v>
      </c>
      <c r="Q641">
        <f t="shared" si="211"/>
        <v>5.2884615384615384E-2</v>
      </c>
      <c r="R641">
        <v>0.01</v>
      </c>
      <c r="S641">
        <f t="shared" si="218"/>
        <v>0.1</v>
      </c>
      <c r="T641">
        <f t="shared" si="212"/>
        <v>3.590664272890484E-3</v>
      </c>
      <c r="U641">
        <f t="shared" si="213"/>
        <v>-0.15546187921121357</v>
      </c>
      <c r="V641">
        <f t="shared" si="214"/>
        <v>1.2800000000000001E-2</v>
      </c>
      <c r="W641">
        <v>0.1</v>
      </c>
      <c r="X641">
        <f t="shared" si="215"/>
        <v>0.128</v>
      </c>
      <c r="Y641">
        <v>3</v>
      </c>
      <c r="Z641">
        <v>2</v>
      </c>
      <c r="AA641" t="s">
        <v>100</v>
      </c>
      <c r="AB641">
        <f t="shared" si="216"/>
        <v>19.899748742132399</v>
      </c>
      <c r="AC641">
        <f t="shared" si="197"/>
        <v>53.065996645686397</v>
      </c>
      <c r="AE641">
        <v>2.5</v>
      </c>
      <c r="AF641">
        <v>3</v>
      </c>
      <c r="AG641">
        <v>2</v>
      </c>
      <c r="AH641">
        <f t="shared" si="217"/>
        <v>8.6385217359798645</v>
      </c>
      <c r="AI641">
        <f t="shared" si="198"/>
        <v>36.857692740180752</v>
      </c>
    </row>
    <row r="642" spans="1:36" x14ac:dyDescent="0.3">
      <c r="A642">
        <v>2022</v>
      </c>
      <c r="B642" t="s">
        <v>203</v>
      </c>
      <c r="C642" t="s">
        <v>241</v>
      </c>
      <c r="D642" t="s">
        <v>472</v>
      </c>
      <c r="E642" t="s">
        <v>473</v>
      </c>
      <c r="F642">
        <v>34</v>
      </c>
      <c r="G642" t="s">
        <v>22</v>
      </c>
      <c r="H642" t="s">
        <v>56</v>
      </c>
      <c r="I642" t="s">
        <v>153</v>
      </c>
      <c r="J642" t="s">
        <v>301</v>
      </c>
      <c r="K642" t="s">
        <v>302</v>
      </c>
      <c r="L642" t="s">
        <v>112</v>
      </c>
      <c r="M642" t="s">
        <v>112</v>
      </c>
      <c r="N642">
        <v>2</v>
      </c>
      <c r="O642">
        <f t="shared" si="210"/>
        <v>9.6153846153846159E-3</v>
      </c>
      <c r="P642">
        <v>20</v>
      </c>
      <c r="Q642">
        <f t="shared" si="211"/>
        <v>9.6153846153846159E-3</v>
      </c>
      <c r="R642">
        <v>0.01</v>
      </c>
      <c r="S642">
        <f t="shared" si="218"/>
        <v>0.1</v>
      </c>
      <c r="T642">
        <f t="shared" si="212"/>
        <v>3.590664272890484E-3</v>
      </c>
      <c r="U642">
        <f t="shared" si="213"/>
        <v>-4.4657604799436278E-2</v>
      </c>
      <c r="V642">
        <f t="shared" si="214"/>
        <v>1.2800000000000001E-2</v>
      </c>
      <c r="W642">
        <v>0.1</v>
      </c>
      <c r="X642">
        <f t="shared" si="215"/>
        <v>0.128</v>
      </c>
      <c r="Y642">
        <v>3</v>
      </c>
      <c r="Z642">
        <v>1</v>
      </c>
      <c r="AA642" t="s">
        <v>100</v>
      </c>
      <c r="AB642">
        <f t="shared" si="216"/>
        <v>4.2426406871192848</v>
      </c>
      <c r="AC642">
        <f t="shared" si="197"/>
        <v>22.627416997969519</v>
      </c>
      <c r="AE642">
        <v>3</v>
      </c>
      <c r="AF642">
        <v>3</v>
      </c>
      <c r="AG642">
        <v>2.5</v>
      </c>
      <c r="AH642">
        <f t="shared" si="217"/>
        <v>8.4613569594443909</v>
      </c>
      <c r="AI642">
        <f t="shared" si="198"/>
        <v>24.067859795752931</v>
      </c>
    </row>
    <row r="643" spans="1:36" s="4" customFormat="1" x14ac:dyDescent="0.3">
      <c r="N643" s="4">
        <f>SUM(N612:N642)</f>
        <v>208</v>
      </c>
      <c r="O643" s="4">
        <f>SUM(O612:O642)</f>
        <v>0.99999999999999989</v>
      </c>
      <c r="P643" s="4">
        <f t="shared" ref="P643:R643" si="219">SUM(P612:P642)</f>
        <v>2080</v>
      </c>
      <c r="Q643" s="4">
        <f t="shared" si="219"/>
        <v>0.99999999999999989</v>
      </c>
      <c r="R643" s="4">
        <f t="shared" si="219"/>
        <v>2.7849999999999993</v>
      </c>
      <c r="S643" s="4">
        <f>SUM(S612:S642)</f>
        <v>27.850000000000009</v>
      </c>
      <c r="T643" s="4">
        <f>SUM(T612:T642)</f>
        <v>0.99999999999999978</v>
      </c>
      <c r="U643" s="4">
        <f>-SUM(U612:U642)</f>
        <v>2.8002653665027584</v>
      </c>
      <c r="Y643" s="4">
        <v>4</v>
      </c>
      <c r="Z643" s="4">
        <v>4</v>
      </c>
      <c r="AB643" s="4">
        <f>SUM(AB612:AB642)</f>
        <v>1009.4676395292017</v>
      </c>
      <c r="AC643" s="4">
        <f>SUM(AC612:AC642)</f>
        <v>3208.3394483610314</v>
      </c>
      <c r="AD643" s="4">
        <f>AB643/AC643</f>
        <v>0.31463866457300355</v>
      </c>
      <c r="AE643" s="4">
        <v>4</v>
      </c>
      <c r="AF643" s="4">
        <v>4</v>
      </c>
      <c r="AG643" s="4">
        <v>4</v>
      </c>
      <c r="AH643" s="4">
        <f>SUM(AH612:AH642)</f>
        <v>804.23833141863634</v>
      </c>
      <c r="AI643" s="4">
        <f>SUM(AI612:AI642)</f>
        <v>4599.4972248286622</v>
      </c>
      <c r="AJ643" s="4">
        <f>AH643/AI643</f>
        <v>0.17485353118102934</v>
      </c>
    </row>
  </sheetData>
  <sortState xmlns:xlrd2="http://schemas.microsoft.com/office/spreadsheetml/2017/richdata2" ref="A612:AH642">
    <sortCondition ref="AA612:AA6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D6C8-3746-4039-AF91-CC4DDC22A115}">
  <dimension ref="A1:AC42"/>
  <sheetViews>
    <sheetView zoomScale="70" zoomScaleNormal="70" workbookViewId="0">
      <selection activeCell="N11" sqref="N11"/>
    </sheetView>
  </sheetViews>
  <sheetFormatPr defaultRowHeight="14.4" x14ac:dyDescent="0.3"/>
  <cols>
    <col min="15" max="15" width="23.44140625" customWidth="1"/>
    <col min="16" max="16" width="12" customWidth="1"/>
    <col min="17" max="17" width="22.77734375" customWidth="1"/>
    <col min="19" max="19" width="24" customWidth="1"/>
    <col min="20" max="21" width="12" customWidth="1"/>
    <col min="22" max="25" width="13" customWidth="1"/>
    <col min="27" max="28" width="13" customWidth="1"/>
  </cols>
  <sheetData>
    <row r="1" spans="1:29" s="1" customFormat="1" x14ac:dyDescent="0.3">
      <c r="A1" s="1" t="s">
        <v>491</v>
      </c>
      <c r="B1" s="1" t="s">
        <v>491</v>
      </c>
      <c r="C1" s="1" t="s">
        <v>0</v>
      </c>
      <c r="D1" s="1" t="s">
        <v>492</v>
      </c>
      <c r="E1" s="1" t="s">
        <v>493</v>
      </c>
      <c r="F1" s="1" t="s">
        <v>569</v>
      </c>
      <c r="G1" s="1" t="s">
        <v>589</v>
      </c>
      <c r="H1" s="1" t="s">
        <v>542</v>
      </c>
      <c r="I1" s="1" t="s">
        <v>494</v>
      </c>
      <c r="J1" s="1" t="s">
        <v>563</v>
      </c>
      <c r="K1" s="1" t="s">
        <v>495</v>
      </c>
      <c r="L1" s="1" t="s">
        <v>564</v>
      </c>
      <c r="M1" s="1" t="s">
        <v>518</v>
      </c>
      <c r="N1" s="1" t="s">
        <v>562</v>
      </c>
      <c r="O1" s="1" t="s">
        <v>553</v>
      </c>
      <c r="P1" s="1" t="s">
        <v>559</v>
      </c>
      <c r="Q1" s="1" t="s">
        <v>554</v>
      </c>
      <c r="R1" s="1" t="s">
        <v>559</v>
      </c>
      <c r="S1" s="1" t="s">
        <v>555</v>
      </c>
      <c r="T1" s="1" t="s">
        <v>559</v>
      </c>
      <c r="U1" s="1" t="s">
        <v>501</v>
      </c>
      <c r="V1" s="1" t="s">
        <v>556</v>
      </c>
      <c r="W1" s="1" t="s">
        <v>559</v>
      </c>
      <c r="X1" s="1" t="s">
        <v>557</v>
      </c>
      <c r="Y1" s="1" t="s">
        <v>559</v>
      </c>
      <c r="Z1" s="1" t="s">
        <v>558</v>
      </c>
      <c r="AA1" s="1" t="s">
        <v>559</v>
      </c>
      <c r="AB1" s="1" t="s">
        <v>501</v>
      </c>
    </row>
    <row r="2" spans="1:29" s="3" customFormat="1" x14ac:dyDescent="0.3">
      <c r="A2" s="3" t="s">
        <v>497</v>
      </c>
      <c r="F2" s="3">
        <f>AVERAGE(F3:F4,F6,F8:F9,F12:F14,F16:F18)</f>
        <v>1.0441049593180411</v>
      </c>
      <c r="G2" s="3">
        <f>_xlfn.STDEV.P(F3:F4,F6,F8:F9,F12:F14,F16:F18)</f>
        <v>1.1013100881098854</v>
      </c>
    </row>
    <row r="3" spans="1:29" x14ac:dyDescent="0.3">
      <c r="A3" t="s">
        <v>498</v>
      </c>
      <c r="B3" t="s">
        <v>499</v>
      </c>
      <c r="C3">
        <v>2020</v>
      </c>
      <c r="D3">
        <f>S3a!P29</f>
        <v>1560</v>
      </c>
      <c r="E3">
        <f>S3a!S29</f>
        <v>218.8</v>
      </c>
      <c r="F3">
        <f>(E3/D3)*10</f>
        <v>1.4025641025641025</v>
      </c>
      <c r="H3">
        <f>S3a!U29</f>
        <v>2.5441130109788235</v>
      </c>
      <c r="I3">
        <f>S3a!AB29</f>
        <v>3893.8656626232678</v>
      </c>
      <c r="J3">
        <f>S3a!AD29</f>
        <v>0.65244270883342659</v>
      </c>
      <c r="K3">
        <f>S3a!AH29</f>
        <v>5061.0859120865698</v>
      </c>
      <c r="L3">
        <f>S3a!AJ29</f>
        <v>0.31555789209574403</v>
      </c>
      <c r="M3">
        <f>I3/K3</f>
        <v>0.76937355545065544</v>
      </c>
      <c r="N3">
        <f t="shared" ref="N3:N20" si="0">J3/L3</f>
        <v>2.0675848241357491</v>
      </c>
      <c r="O3" t="s">
        <v>32</v>
      </c>
      <c r="P3" s="15">
        <v>0.8068451690706181</v>
      </c>
      <c r="Q3" t="s">
        <v>39</v>
      </c>
      <c r="R3" s="15">
        <v>9.4031880650640096E-2</v>
      </c>
      <c r="S3" t="s">
        <v>74</v>
      </c>
      <c r="T3" s="15">
        <v>1.810130262669099E-2</v>
      </c>
      <c r="U3" s="15">
        <v>0.91897835234794911</v>
      </c>
      <c r="V3" s="15" t="s">
        <v>32</v>
      </c>
      <c r="W3" s="15">
        <v>0.79135078059520236</v>
      </c>
      <c r="X3" t="s">
        <v>39</v>
      </c>
      <c r="Y3" s="15">
        <v>0.12716151417313928</v>
      </c>
      <c r="Z3" t="s">
        <v>104</v>
      </c>
      <c r="AA3" s="15">
        <v>4.2786535637388282E-2</v>
      </c>
      <c r="AB3">
        <v>0.96129883040572994</v>
      </c>
    </row>
    <row r="4" spans="1:29" x14ac:dyDescent="0.3">
      <c r="A4" t="s">
        <v>498</v>
      </c>
      <c r="B4" t="s">
        <v>499</v>
      </c>
      <c r="C4">
        <v>2022</v>
      </c>
      <c r="D4">
        <f>S3a!P546</f>
        <v>1870</v>
      </c>
      <c r="E4">
        <f>S3a!S546</f>
        <v>130.39999999999998</v>
      </c>
      <c r="F4">
        <f>(E4/D4)*10</f>
        <v>0.69732620320855598</v>
      </c>
      <c r="H4">
        <f>S3a!U546</f>
        <v>2.0865274837473065</v>
      </c>
      <c r="I4">
        <f>S3a!AB546</f>
        <v>4501.1819276899105</v>
      </c>
      <c r="J4">
        <f>S3a!AD546</f>
        <v>0.66668866486744427</v>
      </c>
      <c r="K4">
        <f>S3a!AH546</f>
        <v>5514.5441487318867</v>
      </c>
      <c r="L4">
        <f>S3a!AJ546</f>
        <v>0.37836428194874078</v>
      </c>
      <c r="M4">
        <f t="shared" ref="M4:M20" si="1">I4/K4</f>
        <v>0.81623826127586507</v>
      </c>
      <c r="N4">
        <f t="shared" si="0"/>
        <v>1.7620285441154948</v>
      </c>
      <c r="O4" t="s">
        <v>32</v>
      </c>
      <c r="P4" s="15">
        <v>0.83311344892062422</v>
      </c>
      <c r="Q4" t="s">
        <v>152</v>
      </c>
      <c r="R4" s="15">
        <v>3.6405060133655513E-2</v>
      </c>
      <c r="S4" t="s">
        <v>228</v>
      </c>
      <c r="T4" s="15">
        <v>1.7883846616994135E-2</v>
      </c>
      <c r="U4" s="15">
        <v>0.8874023556712739</v>
      </c>
      <c r="V4" t="s">
        <v>32</v>
      </c>
      <c r="W4" s="15">
        <v>0.74551974942886334</v>
      </c>
      <c r="X4" t="s">
        <v>104</v>
      </c>
      <c r="Y4" s="15">
        <v>8.7520505215100908E-2</v>
      </c>
      <c r="Z4" t="s">
        <v>152</v>
      </c>
      <c r="AA4" s="15">
        <v>7.0826858906100146E-2</v>
      </c>
      <c r="AB4">
        <v>0.90386711355006444</v>
      </c>
    </row>
    <row r="5" spans="1:29" s="4" customFormat="1" x14ac:dyDescent="0.3">
      <c r="A5" s="4" t="s">
        <v>500</v>
      </c>
      <c r="C5" s="4" t="s">
        <v>501</v>
      </c>
      <c r="D5" s="4">
        <f>AVERAGE(D3:D4)</f>
        <v>1715</v>
      </c>
      <c r="E5" s="4">
        <f t="shared" ref="E5:K5" si="2">AVERAGE(E3:E4)</f>
        <v>174.6</v>
      </c>
      <c r="F5" s="4">
        <f t="shared" si="2"/>
        <v>1.0499451528863293</v>
      </c>
      <c r="G5" s="4">
        <f>_xlfn.STDEV.P(F3:F4)</f>
        <v>0.35261894967777296</v>
      </c>
      <c r="H5" s="4">
        <f t="shared" si="2"/>
        <v>2.315320247363065</v>
      </c>
      <c r="I5" s="4">
        <f t="shared" si="2"/>
        <v>4197.5237951565887</v>
      </c>
      <c r="J5" s="4">
        <f>AVERAGE(J3:J4)</f>
        <v>0.65956568685043537</v>
      </c>
      <c r="K5" s="4">
        <f t="shared" si="2"/>
        <v>5287.8150304092287</v>
      </c>
      <c r="L5" s="4">
        <f>AVERAGE(L3:L4)</f>
        <v>0.34696108702224238</v>
      </c>
      <c r="M5" s="4">
        <f>I5/K5</f>
        <v>0.7938106327504687</v>
      </c>
      <c r="N5" s="4">
        <f>J5/L5</f>
        <v>1.900978846103722</v>
      </c>
      <c r="O5" s="6"/>
      <c r="P5" s="17"/>
      <c r="Q5" s="6"/>
      <c r="R5" s="17"/>
      <c r="S5" s="6"/>
      <c r="T5" s="17"/>
      <c r="U5" s="16"/>
      <c r="W5" s="13"/>
      <c r="Y5" s="13"/>
      <c r="AA5" s="13"/>
    </row>
    <row r="6" spans="1:29" x14ac:dyDescent="0.3">
      <c r="A6" t="s">
        <v>502</v>
      </c>
      <c r="B6" t="s">
        <v>503</v>
      </c>
      <c r="C6">
        <v>2020</v>
      </c>
      <c r="D6">
        <f>S3a!P57</f>
        <v>3040</v>
      </c>
      <c r="E6">
        <f>S3a!S57</f>
        <v>48.09999999999998</v>
      </c>
      <c r="F6">
        <f>(E6/D6)*10</f>
        <v>0.15822368421052627</v>
      </c>
      <c r="H6">
        <f>S3a!U57</f>
        <v>2.4452969640807236</v>
      </c>
      <c r="I6">
        <f>S3a!AB57</f>
        <v>2997.2328131151435</v>
      </c>
      <c r="J6">
        <f>S3a!AD57</f>
        <v>0.6254898094102983</v>
      </c>
      <c r="K6">
        <f>S3a!AH57</f>
        <v>1866.760518469526</v>
      </c>
      <c r="L6">
        <f>S3a!AJ57</f>
        <v>0.25864767545824968</v>
      </c>
      <c r="M6">
        <f t="shared" si="1"/>
        <v>1.6055797106596412</v>
      </c>
      <c r="N6">
        <f t="shared" si="0"/>
        <v>2.4183082577568475</v>
      </c>
      <c r="O6" t="s">
        <v>166</v>
      </c>
      <c r="P6" s="15">
        <v>0.37020631686637984</v>
      </c>
      <c r="Q6" t="s">
        <v>152</v>
      </c>
      <c r="R6" s="15">
        <v>0.21577680821700526</v>
      </c>
      <c r="S6" t="s">
        <v>157</v>
      </c>
      <c r="T6" s="15">
        <v>0.17451693139620864</v>
      </c>
      <c r="U6" s="15">
        <v>0.76050005647959373</v>
      </c>
      <c r="V6" t="s">
        <v>152</v>
      </c>
      <c r="W6" s="15">
        <v>0.49462724677367265</v>
      </c>
      <c r="X6" t="s">
        <v>178</v>
      </c>
      <c r="Y6" s="15">
        <v>0.1113457580282496</v>
      </c>
      <c r="Z6" t="s">
        <v>166</v>
      </c>
      <c r="AA6" s="15">
        <v>9.2720427791292359E-2</v>
      </c>
      <c r="AB6">
        <v>0.69869343259321459</v>
      </c>
    </row>
    <row r="7" spans="1:29" s="1" customFormat="1" x14ac:dyDescent="0.3">
      <c r="A7" s="1" t="s">
        <v>500</v>
      </c>
      <c r="C7" s="1">
        <v>2020</v>
      </c>
      <c r="D7" s="1">
        <f>AVERAGE(D6)</f>
        <v>3040</v>
      </c>
      <c r="E7" s="1">
        <f t="shared" ref="E7:K7" si="3">AVERAGE(E6)</f>
        <v>48.09999999999998</v>
      </c>
      <c r="F7">
        <f>(E7/D7)*10</f>
        <v>0.15822368421052627</v>
      </c>
      <c r="G7"/>
      <c r="H7" s="1">
        <f t="shared" si="3"/>
        <v>2.4452969640807236</v>
      </c>
      <c r="I7" s="1">
        <f t="shared" si="3"/>
        <v>2997.2328131151435</v>
      </c>
      <c r="J7" s="1">
        <f t="shared" ref="J7" si="4">AVERAGE(J6)</f>
        <v>0.6254898094102983</v>
      </c>
      <c r="K7" s="1">
        <f t="shared" si="3"/>
        <v>1866.760518469526</v>
      </c>
      <c r="L7" s="1">
        <f t="shared" ref="L7" si="5">AVERAGE(L6)</f>
        <v>0.25864767545824968</v>
      </c>
      <c r="M7" s="1">
        <f t="shared" si="1"/>
        <v>1.6055797106596412</v>
      </c>
      <c r="N7" s="1">
        <f t="shared" si="0"/>
        <v>2.4183082577568475</v>
      </c>
      <c r="U7" s="15"/>
      <c r="W7" s="7"/>
      <c r="Y7" s="7"/>
      <c r="AA7" s="7"/>
    </row>
    <row r="8" spans="1:29" x14ac:dyDescent="0.3">
      <c r="A8" t="s">
        <v>502</v>
      </c>
      <c r="B8" t="s">
        <v>504</v>
      </c>
      <c r="C8">
        <v>2022</v>
      </c>
      <c r="D8">
        <f>S3a!P471</f>
        <v>4180</v>
      </c>
      <c r="E8">
        <f>S3a!S471</f>
        <v>129.55000000000004</v>
      </c>
      <c r="F8">
        <f>(E8/D8)*10</f>
        <v>0.30992822966507189</v>
      </c>
      <c r="H8">
        <f>S3a!U471</f>
        <v>2.8575785296641616</v>
      </c>
      <c r="I8">
        <f>S3a!AB471</f>
        <v>4446.3891177574433</v>
      </c>
      <c r="J8">
        <f>S3a!AD471</f>
        <v>0.55157317203199396</v>
      </c>
      <c r="K8">
        <f>S3a!AH471</f>
        <v>4300.6068633865289</v>
      </c>
      <c r="L8">
        <f>S3a!AJ471</f>
        <v>0.29120487950212848</v>
      </c>
      <c r="M8">
        <f t="shared" si="1"/>
        <v>1.0338980657850967</v>
      </c>
      <c r="N8">
        <f t="shared" si="0"/>
        <v>1.8941069015567866</v>
      </c>
      <c r="O8" t="s">
        <v>152</v>
      </c>
      <c r="P8" s="15">
        <v>0.3388830472021801</v>
      </c>
      <c r="Q8" t="s">
        <v>166</v>
      </c>
      <c r="R8" s="15">
        <v>0.21657918404972099</v>
      </c>
      <c r="S8" t="s">
        <v>157</v>
      </c>
      <c r="T8" s="15">
        <v>8.7034301692765409E-2</v>
      </c>
      <c r="U8" s="15">
        <v>0.64249653294466647</v>
      </c>
      <c r="V8" t="s">
        <v>152</v>
      </c>
      <c r="W8" s="15">
        <v>0.63309859684574754</v>
      </c>
      <c r="X8" t="s">
        <v>446</v>
      </c>
      <c r="Y8" s="15">
        <v>6.0346144727631647E-2</v>
      </c>
      <c r="Z8" t="s">
        <v>155</v>
      </c>
      <c r="AA8" s="15">
        <v>5.0956580403951658E-2</v>
      </c>
      <c r="AB8">
        <v>0.74440132197733089</v>
      </c>
    </row>
    <row r="9" spans="1:29" x14ac:dyDescent="0.3">
      <c r="A9" t="s">
        <v>502</v>
      </c>
      <c r="B9" t="s">
        <v>505</v>
      </c>
      <c r="C9">
        <v>2022</v>
      </c>
      <c r="D9">
        <f>S3a!P511</f>
        <v>4010</v>
      </c>
      <c r="E9">
        <f>S3a!S511</f>
        <v>135.79999999999998</v>
      </c>
      <c r="F9">
        <f>(E9/D9)*10</f>
        <v>0.33865336658354112</v>
      </c>
      <c r="H9">
        <f>S3a!U511</f>
        <v>2.788555503449222</v>
      </c>
      <c r="I9">
        <f>S3a!AB511</f>
        <v>3843.7408839459818</v>
      </c>
      <c r="J9">
        <f>S3a!AD511</f>
        <v>0.44567260432759015</v>
      </c>
      <c r="K9">
        <f>S3a!AH511</f>
        <v>4666.2411530640593</v>
      </c>
      <c r="L9">
        <f>S3a!AJ511</f>
        <v>0.29372654087928823</v>
      </c>
      <c r="M9">
        <f t="shared" si="1"/>
        <v>0.8237338701241389</v>
      </c>
      <c r="N9">
        <f t="shared" si="0"/>
        <v>1.5173045070882671</v>
      </c>
      <c r="O9" t="s">
        <v>152</v>
      </c>
      <c r="P9" s="15">
        <v>0.24627880828254417</v>
      </c>
      <c r="Q9" t="s">
        <v>166</v>
      </c>
      <c r="R9" s="15">
        <v>0.143372359582183</v>
      </c>
      <c r="S9" t="s">
        <v>446</v>
      </c>
      <c r="T9" s="15">
        <v>8.8852500105983792E-2</v>
      </c>
      <c r="U9" s="15">
        <v>0.47850366797071098</v>
      </c>
      <c r="V9" t="s">
        <v>152</v>
      </c>
      <c r="W9" s="15">
        <v>0.38739892065790338</v>
      </c>
      <c r="X9" t="s">
        <v>446</v>
      </c>
      <c r="Y9" s="15">
        <v>0.12424397759436177</v>
      </c>
      <c r="Z9" t="s">
        <v>155</v>
      </c>
      <c r="AA9" s="15">
        <v>0.11983046253879974</v>
      </c>
      <c r="AB9">
        <v>0.63147336079106486</v>
      </c>
      <c r="AC9" s="1"/>
    </row>
    <row r="10" spans="1:29" s="1" customFormat="1" x14ac:dyDescent="0.3">
      <c r="A10" s="1" t="s">
        <v>500</v>
      </c>
      <c r="C10" s="1">
        <v>2022</v>
      </c>
      <c r="D10" s="1">
        <f>AVERAGE(D8:D9)</f>
        <v>4095</v>
      </c>
      <c r="E10" s="1">
        <f t="shared" ref="E10:H10" si="6">AVERAGE(E8:E9)</f>
        <v>132.67500000000001</v>
      </c>
      <c r="F10">
        <f>AVERAGE(F8:F9)</f>
        <v>0.3242907981243065</v>
      </c>
      <c r="G10"/>
      <c r="H10" s="1">
        <f t="shared" si="6"/>
        <v>2.823067016556692</v>
      </c>
      <c r="I10" s="1">
        <f t="shared" ref="I10:J10" si="7">AVERAGE(I8:I9)</f>
        <v>4145.0650008517123</v>
      </c>
      <c r="J10" s="1">
        <f t="shared" si="7"/>
        <v>0.49862288817979206</v>
      </c>
      <c r="K10" s="1">
        <f>AVERAGE(K8:K9)</f>
        <v>4483.4240082252945</v>
      </c>
      <c r="L10" s="1">
        <f>AVERAGE(L8:L9)</f>
        <v>0.29246571019070833</v>
      </c>
      <c r="M10" s="1">
        <f t="shared" si="1"/>
        <v>0.9245311157827526</v>
      </c>
      <c r="N10" s="1">
        <f t="shared" si="0"/>
        <v>1.7048934996675496</v>
      </c>
      <c r="U10" s="15"/>
      <c r="W10" s="7"/>
      <c r="Y10" s="7"/>
      <c r="AA10" s="7"/>
    </row>
    <row r="11" spans="1:29" s="4" customFormat="1" x14ac:dyDescent="0.3">
      <c r="A11" s="4" t="s">
        <v>500</v>
      </c>
      <c r="C11" s="4" t="s">
        <v>501</v>
      </c>
      <c r="D11" s="4">
        <f>AVERAGE(D7,D10)</f>
        <v>3567.5</v>
      </c>
      <c r="E11" s="4">
        <f t="shared" ref="E11:K11" si="8">AVERAGE(E7,E10)</f>
        <v>90.387499999999989</v>
      </c>
      <c r="F11" s="4">
        <f>AVERAGE(F7,F10)</f>
        <v>0.24125724116741637</v>
      </c>
      <c r="G11" s="4">
        <f>_xlfn.STDEV.P(F6,F8:F9)</f>
        <v>7.9158261226610016E-2</v>
      </c>
      <c r="H11" s="4">
        <f t="shared" si="8"/>
        <v>2.6341819903187078</v>
      </c>
      <c r="I11" s="4">
        <f t="shared" si="8"/>
        <v>3571.1489069834279</v>
      </c>
      <c r="J11" s="4">
        <f t="shared" ref="J11" si="9">AVERAGE(J7,J10)</f>
        <v>0.56205634879504518</v>
      </c>
      <c r="K11" s="4">
        <f t="shared" si="8"/>
        <v>3175.0922633474102</v>
      </c>
      <c r="L11" s="4">
        <f t="shared" ref="L11" si="10">AVERAGE(L7,L10)</f>
        <v>0.27555669282447903</v>
      </c>
      <c r="M11" s="4">
        <f t="shared" si="1"/>
        <v>1.1247386251442237</v>
      </c>
      <c r="N11" s="4">
        <f t="shared" si="0"/>
        <v>2.0397122023563314</v>
      </c>
      <c r="O11" s="13"/>
      <c r="P11" s="13"/>
      <c r="U11" s="16"/>
      <c r="W11" s="13"/>
      <c r="Y11" s="13"/>
      <c r="AA11" s="13"/>
    </row>
    <row r="12" spans="1:29" x14ac:dyDescent="0.3">
      <c r="A12" t="s">
        <v>506</v>
      </c>
      <c r="B12" t="s">
        <v>180</v>
      </c>
      <c r="C12">
        <v>2020</v>
      </c>
      <c r="D12">
        <f>S3a!P85</f>
        <v>1470</v>
      </c>
      <c r="E12">
        <f>S3a!S85</f>
        <v>547.24999999999989</v>
      </c>
      <c r="F12">
        <f>(E12/D12)*10</f>
        <v>3.7227891156462576</v>
      </c>
      <c r="H12">
        <f>S3a!U85</f>
        <v>1.721371926876198</v>
      </c>
      <c r="I12">
        <f>S3a!AB85</f>
        <v>6512.3058364792078</v>
      </c>
      <c r="J12">
        <f>S3a!AD85</f>
        <v>0.71652269137609614</v>
      </c>
      <c r="K12">
        <f>S3a!AH85</f>
        <v>9781.9725503683912</v>
      </c>
      <c r="L12">
        <f>S3a!AJ85</f>
        <v>0.31828940632212976</v>
      </c>
      <c r="M12">
        <f t="shared" si="1"/>
        <v>0.66574566662773482</v>
      </c>
      <c r="N12">
        <f t="shared" si="0"/>
        <v>2.2511672620700676</v>
      </c>
      <c r="O12" t="s">
        <v>32</v>
      </c>
      <c r="P12" s="15">
        <v>0.69330266678063812</v>
      </c>
      <c r="Q12" t="s">
        <v>39</v>
      </c>
      <c r="R12" s="15">
        <v>0.15073858150819899</v>
      </c>
      <c r="S12" t="s">
        <v>152</v>
      </c>
      <c r="T12" s="15">
        <v>0.11416100983574742</v>
      </c>
      <c r="U12" s="15">
        <v>0.95820225812458482</v>
      </c>
      <c r="V12" t="s">
        <v>32</v>
      </c>
      <c r="W12" s="15">
        <v>0.58403045457418412</v>
      </c>
      <c r="X12" t="s">
        <v>39</v>
      </c>
      <c r="Y12" s="15">
        <v>0.20422676168052131</v>
      </c>
      <c r="Z12" t="s">
        <v>152</v>
      </c>
      <c r="AA12" s="15">
        <v>0.15752588949379709</v>
      </c>
      <c r="AB12">
        <v>0.94578310574850255</v>
      </c>
      <c r="AC12" s="1"/>
    </row>
    <row r="13" spans="1:29" x14ac:dyDescent="0.3">
      <c r="A13" t="s">
        <v>506</v>
      </c>
      <c r="B13" t="s">
        <v>204</v>
      </c>
      <c r="C13">
        <v>2020</v>
      </c>
      <c r="D13">
        <f>S3a!P113</f>
        <v>1610</v>
      </c>
      <c r="E13">
        <f>S3a!S113</f>
        <v>54.79999999999999</v>
      </c>
      <c r="F13">
        <f t="shared" ref="F13:F14" si="11">(E13/D13)*10</f>
        <v>0.34037267080745337</v>
      </c>
      <c r="H13">
        <f>S3a!U113</f>
        <v>2.712705425537044</v>
      </c>
      <c r="I13">
        <f>S3a!AB113</f>
        <v>1165.3782710085297</v>
      </c>
      <c r="J13">
        <f>S3a!AD113</f>
        <v>0.41756417101700988</v>
      </c>
      <c r="K13">
        <f>S3a!AH113</f>
        <v>1411.7446087511487</v>
      </c>
      <c r="L13">
        <f>S3a!AJ113</f>
        <v>0.25417793306230058</v>
      </c>
      <c r="M13">
        <f t="shared" si="1"/>
        <v>0.82548802650604169</v>
      </c>
      <c r="N13">
        <f t="shared" si="0"/>
        <v>1.6428026067654831</v>
      </c>
      <c r="O13" t="s">
        <v>32</v>
      </c>
      <c r="P13" s="15">
        <v>0.29215429143364791</v>
      </c>
      <c r="Q13" t="s">
        <v>226</v>
      </c>
      <c r="R13" s="15">
        <v>0.1127989229518402</v>
      </c>
      <c r="S13" t="s">
        <v>107</v>
      </c>
      <c r="T13" s="15">
        <v>8.6832651374059724E-2</v>
      </c>
      <c r="U13" s="15">
        <v>0.4917858657595478</v>
      </c>
      <c r="V13" t="s">
        <v>32</v>
      </c>
      <c r="W13" s="15">
        <v>0.36334317922609349</v>
      </c>
      <c r="X13" t="s">
        <v>228</v>
      </c>
      <c r="Y13" s="15">
        <v>0.33695535642210228</v>
      </c>
      <c r="Z13" t="s">
        <v>223</v>
      </c>
      <c r="AA13" s="15">
        <v>5.5476412335490166E-2</v>
      </c>
      <c r="AB13">
        <v>0.75577494798368594</v>
      </c>
      <c r="AC13" s="1"/>
    </row>
    <row r="14" spans="1:29" x14ac:dyDescent="0.3">
      <c r="A14" t="s">
        <v>506</v>
      </c>
      <c r="B14" t="s">
        <v>241</v>
      </c>
      <c r="C14">
        <v>2020</v>
      </c>
      <c r="D14">
        <f>S3a!P137</f>
        <v>990</v>
      </c>
      <c r="E14">
        <f>S3a!S137</f>
        <v>261.35000000000008</v>
      </c>
      <c r="F14">
        <f t="shared" si="11"/>
        <v>2.6398989898989904</v>
      </c>
      <c r="H14">
        <f>S3a!U137</f>
        <v>2.7985352201016784</v>
      </c>
      <c r="I14">
        <f>S3a!AB137</f>
        <v>1329.3739367517035</v>
      </c>
      <c r="J14">
        <f>S3a!AD137</f>
        <v>0.51418177900410511</v>
      </c>
      <c r="K14">
        <f>S3a!AH137</f>
        <v>1660.1566397543206</v>
      </c>
      <c r="L14">
        <f>S3a!AJ137</f>
        <v>0.1667039004388669</v>
      </c>
      <c r="M14">
        <f t="shared" si="1"/>
        <v>0.80075211273342961</v>
      </c>
      <c r="N14">
        <f>J14/L14</f>
        <v>3.0844016105829759</v>
      </c>
      <c r="O14" t="s">
        <v>39</v>
      </c>
      <c r="P14" s="15">
        <v>0.44074481480123462</v>
      </c>
      <c r="Q14" t="s">
        <v>226</v>
      </c>
      <c r="R14" s="15">
        <v>0.17007804796404027</v>
      </c>
      <c r="S14" t="s">
        <v>107</v>
      </c>
      <c r="T14" s="15">
        <v>0.12737430697782698</v>
      </c>
      <c r="U14" s="15">
        <v>0.73819716974310179</v>
      </c>
      <c r="V14" t="s">
        <v>39</v>
      </c>
      <c r="W14" s="15">
        <v>0.78472549204692588</v>
      </c>
      <c r="X14" t="s">
        <v>226</v>
      </c>
      <c r="Y14" s="15">
        <v>4.1801170829186732E-2</v>
      </c>
      <c r="Z14" t="s">
        <v>107</v>
      </c>
      <c r="AA14" s="15">
        <v>2.951052692290651E-2</v>
      </c>
      <c r="AB14">
        <v>0.8560371897990191</v>
      </c>
      <c r="AC14" s="1"/>
    </row>
    <row r="15" spans="1:29" s="1" customFormat="1" x14ac:dyDescent="0.3">
      <c r="A15" s="1" t="s">
        <v>500</v>
      </c>
      <c r="C15" s="1">
        <v>2020</v>
      </c>
      <c r="D15" s="1">
        <f>AVERAGE(D12:D14)</f>
        <v>1356.6666666666667</v>
      </c>
      <c r="E15" s="1">
        <f t="shared" ref="E15:K15" si="12">AVERAGE(E12:E14)</f>
        <v>287.79999999999995</v>
      </c>
      <c r="F15" s="1">
        <f t="shared" si="12"/>
        <v>2.2343535921175675</v>
      </c>
      <c r="H15" s="1">
        <f t="shared" si="12"/>
        <v>2.4108708575049733</v>
      </c>
      <c r="I15" s="1">
        <f t="shared" si="12"/>
        <v>3002.3526814131469</v>
      </c>
      <c r="J15" s="1">
        <f t="shared" ref="J15" si="13">AVERAGE(J12:J14)</f>
        <v>0.54942288046573706</v>
      </c>
      <c r="K15" s="1">
        <f t="shared" si="12"/>
        <v>4284.6245996246207</v>
      </c>
      <c r="L15" s="1">
        <f t="shared" ref="L15" si="14">AVERAGE(L12:L14)</f>
        <v>0.24639041327443242</v>
      </c>
      <c r="M15" s="1">
        <f t="shared" si="1"/>
        <v>0.7007271259368173</v>
      </c>
      <c r="N15" s="1">
        <f t="shared" si="0"/>
        <v>2.2298874098392116</v>
      </c>
      <c r="U15" s="15"/>
      <c r="W15" s="7"/>
      <c r="Y15" s="7"/>
      <c r="AA15" s="7"/>
    </row>
    <row r="16" spans="1:29" x14ac:dyDescent="0.3">
      <c r="A16" t="s">
        <v>506</v>
      </c>
      <c r="B16" t="s">
        <v>180</v>
      </c>
      <c r="C16">
        <v>2022</v>
      </c>
      <c r="D16">
        <f>S3a!P581</f>
        <v>2830</v>
      </c>
      <c r="E16">
        <f>S3a!S581</f>
        <v>327.90000000000026</v>
      </c>
      <c r="F16">
        <f>(E16/D16)*10</f>
        <v>1.1586572438162555</v>
      </c>
      <c r="H16">
        <f>S3a!U581</f>
        <v>1.7813466794701236</v>
      </c>
      <c r="I16">
        <f>S3a!AB581</f>
        <v>7663.7408897103423</v>
      </c>
      <c r="J16">
        <f>S3a!AD581</f>
        <v>0.69272958739209145</v>
      </c>
      <c r="K16">
        <f>S3a!AH581</f>
        <v>9023.7578569451398</v>
      </c>
      <c r="L16">
        <f>S3a!AJ581</f>
        <v>0.32971773405794325</v>
      </c>
      <c r="M16">
        <f t="shared" si="1"/>
        <v>0.84928485573357226</v>
      </c>
      <c r="N16">
        <f t="shared" si="0"/>
        <v>2.1009776418952155</v>
      </c>
      <c r="O16" t="s">
        <v>32</v>
      </c>
      <c r="P16" s="15">
        <v>0.80869756370291734</v>
      </c>
      <c r="Q16" t="s">
        <v>39</v>
      </c>
      <c r="R16" s="15">
        <v>7.9871911715463026E-2</v>
      </c>
      <c r="S16" t="s">
        <v>152</v>
      </c>
      <c r="T16" s="15">
        <v>2.3748193293481608E-2</v>
      </c>
      <c r="U16" s="15">
        <v>0.91231766871186204</v>
      </c>
      <c r="V16" t="s">
        <v>32</v>
      </c>
      <c r="W16" s="15">
        <v>0.74837235629200971</v>
      </c>
      <c r="X16" t="s">
        <v>39</v>
      </c>
      <c r="Y16" s="15">
        <v>0.10900970837232755</v>
      </c>
      <c r="Z16" t="s">
        <v>104</v>
      </c>
      <c r="AA16" s="15">
        <v>7.1141259631095674E-2</v>
      </c>
      <c r="AB16">
        <v>0.92852332429543294</v>
      </c>
    </row>
    <row r="17" spans="1:28" x14ac:dyDescent="0.3">
      <c r="A17" t="s">
        <v>506</v>
      </c>
      <c r="B17" t="s">
        <v>204</v>
      </c>
      <c r="C17">
        <v>2022</v>
      </c>
      <c r="D17">
        <f>S3a!P611</f>
        <v>1370</v>
      </c>
      <c r="E17">
        <f>S3a!S611</f>
        <v>79.849999999999952</v>
      </c>
      <c r="F17">
        <f t="shared" ref="F17:F18" si="15">(E17/D17)*10</f>
        <v>0.58284671532846677</v>
      </c>
      <c r="H17">
        <f>S3a!U611</f>
        <v>2.6122601213199244</v>
      </c>
      <c r="I17">
        <f>S3a!AB611</f>
        <v>1071.6245770008072</v>
      </c>
      <c r="J17">
        <f>S3a!AD611</f>
        <v>0.41504984631150665</v>
      </c>
      <c r="K17">
        <f>S3a!AH611</f>
        <v>1092.7896315307789</v>
      </c>
      <c r="L17">
        <f>S3a!AJ611</f>
        <v>0.1930787455389503</v>
      </c>
      <c r="M17">
        <f t="shared" si="1"/>
        <v>0.98063208698244719</v>
      </c>
      <c r="N17">
        <f t="shared" si="0"/>
        <v>2.1496402680313538</v>
      </c>
      <c r="O17" t="s">
        <v>39</v>
      </c>
      <c r="P17" s="15">
        <v>0.27406399994526132</v>
      </c>
      <c r="Q17" t="s">
        <v>32</v>
      </c>
      <c r="R17" s="15">
        <v>0.26687798417980485</v>
      </c>
      <c r="S17" t="s">
        <v>92</v>
      </c>
      <c r="T17" s="15">
        <v>0.1207355212766732</v>
      </c>
      <c r="U17" s="15">
        <v>0.66167750540173942</v>
      </c>
      <c r="V17" t="s">
        <v>39</v>
      </c>
      <c r="W17" s="15">
        <v>0.42307824141377937</v>
      </c>
      <c r="X17" t="s">
        <v>32</v>
      </c>
      <c r="Y17" s="15">
        <v>0.28568729977735929</v>
      </c>
      <c r="Z17" t="s">
        <v>223</v>
      </c>
      <c r="AA17" s="15">
        <v>6.9526657634474479E-2</v>
      </c>
      <c r="AB17">
        <v>0.77829219882561318</v>
      </c>
    </row>
    <row r="18" spans="1:28" x14ac:dyDescent="0.3">
      <c r="A18" t="s">
        <v>506</v>
      </c>
      <c r="B18" t="s">
        <v>241</v>
      </c>
      <c r="C18">
        <v>2022</v>
      </c>
      <c r="D18">
        <f>S3a!P643</f>
        <v>2080</v>
      </c>
      <c r="E18">
        <f>S3a!S643</f>
        <v>27.850000000000009</v>
      </c>
      <c r="F18">
        <f t="shared" si="15"/>
        <v>0.13389423076923082</v>
      </c>
      <c r="H18">
        <f>S3a!U643</f>
        <v>2.8002653665027584</v>
      </c>
      <c r="I18">
        <f>S3a!AB643</f>
        <v>1009.4676395292017</v>
      </c>
      <c r="J18">
        <f>S3a!AD643</f>
        <v>0.31463866457300355</v>
      </c>
      <c r="K18">
        <f>S3a!AH643</f>
        <v>804.23833141863634</v>
      </c>
      <c r="L18">
        <f>S3a!AJ643</f>
        <v>0.17485353118102934</v>
      </c>
      <c r="M18">
        <f t="shared" si="1"/>
        <v>1.2551846885344935</v>
      </c>
      <c r="N18">
        <f t="shared" si="0"/>
        <v>1.7994412949387444</v>
      </c>
      <c r="O18" t="s">
        <v>92</v>
      </c>
      <c r="P18" s="15">
        <v>0.18184307777805708</v>
      </c>
      <c r="Q18" t="s">
        <v>107</v>
      </c>
      <c r="R18" s="15">
        <v>0.16997165436253125</v>
      </c>
      <c r="S18" t="s">
        <v>32</v>
      </c>
      <c r="T18" s="15">
        <v>0.1465583742142095</v>
      </c>
      <c r="U18" s="15">
        <v>0.49837310635479781</v>
      </c>
      <c r="V18" t="s">
        <v>32</v>
      </c>
      <c r="W18" s="15">
        <v>0.14443224794773504</v>
      </c>
      <c r="X18" t="s">
        <v>228</v>
      </c>
      <c r="Y18" s="15">
        <v>0.13466825050460213</v>
      </c>
      <c r="Z18" t="s">
        <v>223</v>
      </c>
      <c r="AA18" s="15">
        <v>0.12120271529711582</v>
      </c>
      <c r="AB18">
        <v>0.40030321374945299</v>
      </c>
    </row>
    <row r="19" spans="1:28" s="1" customFormat="1" x14ac:dyDescent="0.3">
      <c r="A19" s="1" t="s">
        <v>500</v>
      </c>
      <c r="C19" s="1">
        <v>2022</v>
      </c>
      <c r="D19" s="1">
        <f>AVERAGE(D16:D18)</f>
        <v>2093.3333333333335</v>
      </c>
      <c r="E19" s="1">
        <f t="shared" ref="E19:H19" si="16">AVERAGE(E16:E18)</f>
        <v>145.20000000000007</v>
      </c>
      <c r="F19" s="1">
        <f>AVERAGE(F16:F18)</f>
        <v>0.62513272997131764</v>
      </c>
      <c r="H19" s="1">
        <f t="shared" si="16"/>
        <v>2.397957389097602</v>
      </c>
      <c r="I19" s="1">
        <f t="shared" ref="I19:J19" si="17">AVERAGE(I16:I18)</f>
        <v>3248.2777020801173</v>
      </c>
      <c r="J19" s="1">
        <f t="shared" si="17"/>
        <v>0.47413936609220059</v>
      </c>
      <c r="K19" s="1">
        <f t="shared" ref="K19:L19" si="18">AVERAGE(K16:K18)</f>
        <v>3640.2619399648515</v>
      </c>
      <c r="L19" s="1">
        <f t="shared" si="18"/>
        <v>0.23255000359264097</v>
      </c>
      <c r="M19" s="1">
        <f t="shared" si="1"/>
        <v>0.89231977139301155</v>
      </c>
      <c r="N19" s="1">
        <f t="shared" si="0"/>
        <v>2.0388706031703743</v>
      </c>
      <c r="Y19" s="7"/>
      <c r="AA19" s="7"/>
    </row>
    <row r="20" spans="1:28" s="4" customFormat="1" x14ac:dyDescent="0.3">
      <c r="A20" s="4" t="s">
        <v>500</v>
      </c>
      <c r="C20" s="4" t="s">
        <v>501</v>
      </c>
      <c r="D20" s="4">
        <f>AVERAGE(D15,D19)</f>
        <v>1725</v>
      </c>
      <c r="E20" s="4">
        <f t="shared" ref="E20:K20" si="19">AVERAGE(E15,E19)</f>
        <v>216.5</v>
      </c>
      <c r="F20" s="4">
        <f>AVERAGE(F15,F19)</f>
        <v>1.4297431610444424</v>
      </c>
      <c r="G20" s="4">
        <f>_xlfn.STDEV.P(F12:F14,F16:F18)</f>
        <v>1.3152446261315025</v>
      </c>
      <c r="H20" s="4">
        <f t="shared" si="19"/>
        <v>2.4044141233012875</v>
      </c>
      <c r="I20" s="4">
        <f t="shared" si="19"/>
        <v>3125.3151917466321</v>
      </c>
      <c r="J20" s="4">
        <f t="shared" ref="J20" si="20">AVERAGE(J15,J19)</f>
        <v>0.51178112327896885</v>
      </c>
      <c r="K20" s="4">
        <f t="shared" si="19"/>
        <v>3962.4432697947359</v>
      </c>
      <c r="L20" s="4">
        <f t="shared" ref="L20" si="21">AVERAGE(L15,L19)</f>
        <v>0.2394702084335367</v>
      </c>
      <c r="M20" s="4">
        <f t="shared" si="1"/>
        <v>0.78873436891085913</v>
      </c>
      <c r="N20" s="4">
        <f t="shared" si="0"/>
        <v>2.1371390062535074</v>
      </c>
      <c r="O20" s="6"/>
      <c r="P20" s="16"/>
      <c r="Q20" s="6"/>
      <c r="R20" s="16"/>
      <c r="T20" s="16"/>
      <c r="V20" s="6"/>
      <c r="W20" s="16"/>
      <c r="Y20" s="13"/>
      <c r="AA20" s="13"/>
    </row>
    <row r="21" spans="1:28" x14ac:dyDescent="0.3">
      <c r="W21" s="15"/>
      <c r="Y21" s="15"/>
      <c r="AA21" s="15"/>
    </row>
    <row r="22" spans="1:28" s="4" customFormat="1" x14ac:dyDescent="0.3">
      <c r="A22" s="4" t="s">
        <v>507</v>
      </c>
      <c r="F22" s="4">
        <f>AVERAGE(F23:F27,F29:F30)</f>
        <v>0.22685608358941325</v>
      </c>
      <c r="G22" s="4">
        <f>_xlfn.STDEV.P(F23:F27,F29:F30)</f>
        <v>7.3714326237676958E-2</v>
      </c>
      <c r="W22" s="13"/>
      <c r="Y22" s="13"/>
      <c r="AA22" s="13"/>
    </row>
    <row r="23" spans="1:28" x14ac:dyDescent="0.3">
      <c r="A23" t="s">
        <v>508</v>
      </c>
      <c r="B23" t="s">
        <v>250</v>
      </c>
      <c r="C23">
        <v>2021</v>
      </c>
      <c r="D23">
        <f>S3a!P183</f>
        <v>3860</v>
      </c>
      <c r="E23">
        <f>S3a!S183</f>
        <v>97.399999999999949</v>
      </c>
      <c r="F23">
        <f>(E23/D23)*10</f>
        <v>0.25233160621761641</v>
      </c>
      <c r="H23">
        <f>S3a!U183</f>
        <v>2.6477084272317128</v>
      </c>
      <c r="I23">
        <f>S3a!AB183</f>
        <v>3514.4976338886272</v>
      </c>
      <c r="J23">
        <f>S3a!AD183</f>
        <v>0.44231826892265125</v>
      </c>
      <c r="K23">
        <f>S3a!AH183</f>
        <v>2609.2935755277008</v>
      </c>
      <c r="L23">
        <f>S3a!AJ183</f>
        <v>0.19636825052810772</v>
      </c>
      <c r="M23">
        <f t="shared" ref="M23:M34" si="22">I23/K23</f>
        <v>1.3469153746633737</v>
      </c>
      <c r="N23">
        <f t="shared" ref="N23:N34" si="23">J23/L23</f>
        <v>2.2524938106495926</v>
      </c>
      <c r="O23" t="s">
        <v>32</v>
      </c>
      <c r="P23" s="15">
        <v>0.44275800978359003</v>
      </c>
      <c r="Q23" t="s">
        <v>248</v>
      </c>
      <c r="R23" s="15">
        <v>0.1424884723005726</v>
      </c>
      <c r="S23" t="s">
        <v>125</v>
      </c>
      <c r="T23" s="15">
        <v>7.1946467577698292E-2</v>
      </c>
      <c r="U23" s="15">
        <v>0.65719294966186093</v>
      </c>
      <c r="V23" t="s">
        <v>32</v>
      </c>
      <c r="W23" s="15">
        <v>0.56888374239345074</v>
      </c>
      <c r="X23" t="s">
        <v>248</v>
      </c>
      <c r="Y23" s="15">
        <v>8.9682548576888926E-2</v>
      </c>
      <c r="Z23" t="s">
        <v>272</v>
      </c>
      <c r="AA23" s="15">
        <v>5.6437668414785182E-2</v>
      </c>
      <c r="AB23">
        <v>0.71500395938512484</v>
      </c>
    </row>
    <row r="24" spans="1:28" x14ac:dyDescent="0.3">
      <c r="A24" t="s">
        <v>508</v>
      </c>
      <c r="B24" t="s">
        <v>298</v>
      </c>
      <c r="C24">
        <v>2021</v>
      </c>
      <c r="D24">
        <f>S3a!P212</f>
        <v>5240</v>
      </c>
      <c r="E24">
        <f>S3a!S212</f>
        <v>70.94999999999996</v>
      </c>
      <c r="F24">
        <f t="shared" ref="F24:F27" si="24">(E24/D24)*10</f>
        <v>0.13540076335877854</v>
      </c>
      <c r="H24">
        <f>S3a!U212</f>
        <v>2.4235123363282263</v>
      </c>
      <c r="I24">
        <f>S3a!AB212</f>
        <v>3866.070116770381</v>
      </c>
      <c r="J24">
        <f>S3a!AD212</f>
        <v>0.4644808069336358</v>
      </c>
      <c r="K24">
        <f>S3a!AH212</f>
        <v>2433.6498794520166</v>
      </c>
      <c r="L24">
        <f>S3a!AJ212</f>
        <v>0.20562380527594132</v>
      </c>
      <c r="M24">
        <f t="shared" si="22"/>
        <v>1.5885892828761801</v>
      </c>
      <c r="N24">
        <f t="shared" si="23"/>
        <v>2.2588863498091367</v>
      </c>
      <c r="O24" t="s">
        <v>32</v>
      </c>
      <c r="P24" s="15">
        <v>0.3497948251077922</v>
      </c>
      <c r="Q24" t="s">
        <v>107</v>
      </c>
      <c r="R24" s="15">
        <v>0.20019728573449197</v>
      </c>
      <c r="S24" t="s">
        <v>125</v>
      </c>
      <c r="T24" s="15">
        <v>0.13052906594324371</v>
      </c>
      <c r="U24" s="15">
        <v>0.68052117678552793</v>
      </c>
      <c r="V24" t="s">
        <v>32</v>
      </c>
      <c r="W24" s="15">
        <v>0.52761961450506367</v>
      </c>
      <c r="X24" t="s">
        <v>178</v>
      </c>
      <c r="Y24" s="15">
        <v>0.10312024090821328</v>
      </c>
      <c r="Z24" t="s">
        <v>192</v>
      </c>
      <c r="AA24" s="15">
        <v>9.8859530554171487E-2</v>
      </c>
      <c r="AB24">
        <v>0.72959938596744844</v>
      </c>
    </row>
    <row r="25" spans="1:28" x14ac:dyDescent="0.3">
      <c r="A25" t="s">
        <v>508</v>
      </c>
      <c r="B25" t="s">
        <v>315</v>
      </c>
      <c r="C25">
        <v>2021</v>
      </c>
      <c r="D25">
        <f>S3a!P245</f>
        <v>4340</v>
      </c>
      <c r="E25">
        <f>S3a!S245</f>
        <v>60.949999999999982</v>
      </c>
      <c r="F25">
        <f t="shared" si="24"/>
        <v>0.14043778801843315</v>
      </c>
      <c r="H25">
        <f>S3a!U245</f>
        <v>2.4649262578060158</v>
      </c>
      <c r="I25">
        <f>S3a!AB245</f>
        <v>3733.4152459929792</v>
      </c>
      <c r="J25">
        <f>S3a!AD245</f>
        <v>0.53958402530502803</v>
      </c>
      <c r="K25">
        <f>S3a!AH245</f>
        <v>2405.8792722850767</v>
      </c>
      <c r="L25">
        <f>S3a!AJ245</f>
        <v>0.24111882721652453</v>
      </c>
      <c r="M25">
        <f t="shared" si="22"/>
        <v>1.5517882750812446</v>
      </c>
      <c r="N25">
        <f t="shared" si="23"/>
        <v>2.2378344799283632</v>
      </c>
      <c r="O25" t="s">
        <v>32</v>
      </c>
      <c r="P25" s="15">
        <v>0.42500628093949777</v>
      </c>
      <c r="Q25" t="s">
        <v>107</v>
      </c>
      <c r="R25" s="15">
        <v>0.28050358559204253</v>
      </c>
      <c r="S25" t="s">
        <v>125</v>
      </c>
      <c r="T25" s="15">
        <v>4.4614727142400834E-2</v>
      </c>
      <c r="U25" s="15">
        <v>0.75012459367394113</v>
      </c>
      <c r="V25" t="s">
        <v>32</v>
      </c>
      <c r="W25" s="15">
        <v>0.60914707730040796</v>
      </c>
      <c r="X25" t="s">
        <v>107</v>
      </c>
      <c r="Y25" s="15">
        <v>0.1148450524674067</v>
      </c>
      <c r="Z25" t="s">
        <v>178</v>
      </c>
      <c r="AA25" s="15">
        <v>5.9605379835383443E-2</v>
      </c>
      <c r="AB25">
        <v>0.78359750960319818</v>
      </c>
    </row>
    <row r="26" spans="1:28" x14ac:dyDescent="0.3">
      <c r="A26" t="s">
        <v>508</v>
      </c>
      <c r="B26" t="s">
        <v>331</v>
      </c>
      <c r="C26">
        <v>2021</v>
      </c>
      <c r="D26">
        <f>S3a!P288</f>
        <v>5120</v>
      </c>
      <c r="E26">
        <f>S3a!S288</f>
        <v>185.25000000000009</v>
      </c>
      <c r="F26">
        <f t="shared" si="24"/>
        <v>0.36181640625000017</v>
      </c>
      <c r="H26">
        <f>S3a!U288</f>
        <v>2.2909707659157617</v>
      </c>
      <c r="I26">
        <f>S3a!AB288</f>
        <v>4530.6489509791563</v>
      </c>
      <c r="J26">
        <f>S3a!AD288</f>
        <v>0.3264993767855357</v>
      </c>
      <c r="K26">
        <f>S3a!AH288</f>
        <v>2074.2211666865423</v>
      </c>
      <c r="L26">
        <f>S3a!AJ288</f>
        <v>8.3266330426653171E-2</v>
      </c>
      <c r="M26">
        <f t="shared" si="22"/>
        <v>2.1842651226130463</v>
      </c>
      <c r="N26">
        <f t="shared" si="23"/>
        <v>3.9211452589848337</v>
      </c>
      <c r="O26" t="s">
        <v>125</v>
      </c>
      <c r="P26" s="15">
        <v>0.42750516667771871</v>
      </c>
      <c r="Q26" t="s">
        <v>32</v>
      </c>
      <c r="R26" s="15">
        <v>0.16568216351067644</v>
      </c>
      <c r="S26" t="s">
        <v>226</v>
      </c>
      <c r="T26" s="15">
        <v>6.086081928158061E-2</v>
      </c>
      <c r="U26" s="15">
        <v>0.6540481494699758</v>
      </c>
      <c r="V26" t="s">
        <v>32</v>
      </c>
      <c r="W26" s="15">
        <v>0.27606054312040923</v>
      </c>
      <c r="X26" t="s">
        <v>125</v>
      </c>
      <c r="Y26" s="15">
        <v>0.21238786017881503</v>
      </c>
      <c r="Z26" t="s">
        <v>117</v>
      </c>
      <c r="AA26" s="15">
        <v>0.12437520248703067</v>
      </c>
      <c r="AB26">
        <v>0.61282360578625494</v>
      </c>
    </row>
    <row r="27" spans="1:28" x14ac:dyDescent="0.3">
      <c r="A27" t="s">
        <v>508</v>
      </c>
      <c r="B27" t="s">
        <v>358</v>
      </c>
      <c r="C27">
        <v>2021</v>
      </c>
      <c r="D27">
        <f>S3a!P320</f>
        <v>4110</v>
      </c>
      <c r="E27">
        <f>S3a!S320</f>
        <v>113.79999999999997</v>
      </c>
      <c r="F27">
        <f t="shared" si="24"/>
        <v>0.27688564476885635</v>
      </c>
      <c r="H27">
        <f>S3a!U320</f>
        <v>2.2359366886859657</v>
      </c>
      <c r="I27">
        <f>S3a!AB320</f>
        <v>3037.6205041546909</v>
      </c>
      <c r="J27">
        <f>S3a!AD320</f>
        <v>0.31633649442439715</v>
      </c>
      <c r="K27">
        <f>S3a!AH320</f>
        <v>1416.3890566824305</v>
      </c>
      <c r="L27">
        <f>S3a!AJ320</f>
        <v>8.7444425192612113E-2</v>
      </c>
      <c r="M27">
        <f t="shared" si="22"/>
        <v>2.1446229691082386</v>
      </c>
      <c r="N27">
        <f t="shared" si="23"/>
        <v>3.6175718889753004</v>
      </c>
      <c r="O27" t="s">
        <v>125</v>
      </c>
      <c r="P27" s="15">
        <v>0.45353703636776427</v>
      </c>
      <c r="Q27" t="s">
        <v>226</v>
      </c>
      <c r="R27" s="15">
        <v>0.1161193514720939</v>
      </c>
      <c r="S27" t="s">
        <v>32</v>
      </c>
      <c r="T27" s="15">
        <v>0.10451936207748967</v>
      </c>
      <c r="U27" s="15">
        <v>0.67417574991734786</v>
      </c>
      <c r="V27" t="s">
        <v>125</v>
      </c>
      <c r="W27" s="15">
        <v>0.21513968200742817</v>
      </c>
      <c r="X27" t="s">
        <v>228</v>
      </c>
      <c r="Y27" s="15">
        <v>0.13964626466647548</v>
      </c>
      <c r="Z27" t="s">
        <v>178</v>
      </c>
      <c r="AA27" s="15">
        <v>0.12730512911436612</v>
      </c>
      <c r="AB27">
        <v>0.48209107578826971</v>
      </c>
    </row>
    <row r="28" spans="1:28" s="4" customFormat="1" x14ac:dyDescent="0.3">
      <c r="A28" s="4" t="s">
        <v>500</v>
      </c>
      <c r="C28" s="4" t="s">
        <v>501</v>
      </c>
      <c r="D28" s="4">
        <v>4534</v>
      </c>
      <c r="E28" s="4">
        <f t="shared" ref="E28:L28" si="25">AVERAGE(E23:E27)</f>
        <v>105.66999999999999</v>
      </c>
      <c r="F28" s="4">
        <f t="shared" si="25"/>
        <v>0.23337444172273694</v>
      </c>
      <c r="G28" s="4">
        <f>_xlfn.STDEV.P(F23:F27)</f>
        <v>8.6006976905071267E-2</v>
      </c>
      <c r="H28" s="4">
        <f t="shared" si="25"/>
        <v>2.4126108951935366</v>
      </c>
      <c r="I28" s="4">
        <f t="shared" si="25"/>
        <v>3736.4504903571665</v>
      </c>
      <c r="J28" s="4">
        <f t="shared" si="25"/>
        <v>0.41784379447424963</v>
      </c>
      <c r="K28" s="4">
        <f t="shared" si="25"/>
        <v>2187.8865901267536</v>
      </c>
      <c r="L28" s="4">
        <f t="shared" si="25"/>
        <v>0.16276432772796778</v>
      </c>
      <c r="M28" s="4">
        <f>I28/K28</f>
        <v>1.7077898403046101</v>
      </c>
      <c r="N28" s="4">
        <f t="shared" si="23"/>
        <v>2.5671705852685531</v>
      </c>
      <c r="V28" s="14"/>
      <c r="W28" s="13"/>
      <c r="X28" s="14"/>
      <c r="Y28" s="13"/>
      <c r="AA28" s="13"/>
      <c r="AB28" s="14"/>
    </row>
    <row r="29" spans="1:28" x14ac:dyDescent="0.3">
      <c r="A29" t="s">
        <v>509</v>
      </c>
      <c r="B29" t="s">
        <v>365</v>
      </c>
      <c r="C29">
        <v>2021</v>
      </c>
      <c r="D29">
        <f>S3a!P358</f>
        <v>5190</v>
      </c>
      <c r="E29">
        <f>S3a!S358</f>
        <v>102.84999999999997</v>
      </c>
      <c r="F29">
        <f>(E29/D29)*10</f>
        <v>0.19816955684007703</v>
      </c>
      <c r="H29">
        <f>S3a!U358</f>
        <v>2.1596301540270049</v>
      </c>
      <c r="I29">
        <f>S3a!AB358</f>
        <v>4070.141057169491</v>
      </c>
      <c r="J29">
        <f>S3a!AD358</f>
        <v>0.48518656330299842</v>
      </c>
      <c r="K29">
        <f>S3a!AH358</f>
        <v>1735.0080812940669</v>
      </c>
      <c r="L29">
        <f>S3a!AJ358</f>
        <v>0.1294459662735242</v>
      </c>
      <c r="M29">
        <f t="shared" si="22"/>
        <v>2.3458916999013342</v>
      </c>
      <c r="N29">
        <f t="shared" si="23"/>
        <v>3.7481783115418286</v>
      </c>
      <c r="O29" t="s">
        <v>107</v>
      </c>
      <c r="P29" s="15">
        <v>0.45683336606236835</v>
      </c>
      <c r="Q29" t="s">
        <v>125</v>
      </c>
      <c r="R29" s="15">
        <v>0.18256730736893248</v>
      </c>
      <c r="S29" t="s">
        <v>74</v>
      </c>
      <c r="T29" s="15">
        <v>7.4075140000994716E-2</v>
      </c>
      <c r="U29" s="15">
        <v>0.71347581343229549</v>
      </c>
      <c r="V29" t="s">
        <v>107</v>
      </c>
      <c r="W29" s="15">
        <v>0.30217329500961132</v>
      </c>
      <c r="X29" t="s">
        <v>352</v>
      </c>
      <c r="Y29" s="15">
        <v>0.23436254044485455</v>
      </c>
      <c r="Z29" t="s">
        <v>125</v>
      </c>
      <c r="AA29" s="15">
        <v>0.10011006659930638</v>
      </c>
      <c r="AB29">
        <v>0.63664590205377225</v>
      </c>
    </row>
    <row r="30" spans="1:28" x14ac:dyDescent="0.3">
      <c r="A30" t="s">
        <v>509</v>
      </c>
      <c r="B30" t="s">
        <v>365</v>
      </c>
      <c r="C30">
        <v>2023</v>
      </c>
      <c r="D30">
        <f>S3a!P432</f>
        <v>4270</v>
      </c>
      <c r="E30">
        <f>S3a!S432</f>
        <v>95.199999999999974</v>
      </c>
      <c r="F30">
        <f>(E30/D30)*10</f>
        <v>0.2229508196721311</v>
      </c>
      <c r="H30">
        <f>S3a!U432</f>
        <v>2.5860742876916079</v>
      </c>
      <c r="I30">
        <f>S3a!AB432</f>
        <v>2746.8915884576145</v>
      </c>
      <c r="J30">
        <f>S3a!AD432</f>
        <v>0.38278894444206329</v>
      </c>
      <c r="K30">
        <f>S3a!AH432</f>
        <v>1755.2174821220233</v>
      </c>
      <c r="L30">
        <f>S3a!AJ432</f>
        <v>0.1490233381374165</v>
      </c>
      <c r="M30">
        <f t="shared" si="22"/>
        <v>1.5649864569128362</v>
      </c>
      <c r="N30">
        <f t="shared" si="23"/>
        <v>2.5686509859891089</v>
      </c>
      <c r="O30" t="s">
        <v>32</v>
      </c>
      <c r="P30" s="15">
        <v>0.35624645323824899</v>
      </c>
      <c r="Q30" t="s">
        <v>125</v>
      </c>
      <c r="R30" s="15">
        <v>0.12821101958619086</v>
      </c>
      <c r="S30" t="s">
        <v>314</v>
      </c>
      <c r="T30" s="15">
        <v>0.12696452858833979</v>
      </c>
      <c r="U30" s="15">
        <v>0.61142200141277958</v>
      </c>
      <c r="V30" t="s">
        <v>32</v>
      </c>
      <c r="W30" s="15">
        <v>0.45030994426009119</v>
      </c>
      <c r="X30" t="s">
        <v>314</v>
      </c>
      <c r="Y30" s="15">
        <v>0.20369615315151585</v>
      </c>
      <c r="Z30" t="s">
        <v>235</v>
      </c>
      <c r="AA30" s="15">
        <v>7.1354175219188812E-2</v>
      </c>
      <c r="AB30">
        <v>0.72536027263079594</v>
      </c>
    </row>
    <row r="31" spans="1:28" s="4" customFormat="1" x14ac:dyDescent="0.3">
      <c r="A31" s="4" t="s">
        <v>500</v>
      </c>
      <c r="C31" s="4" t="s">
        <v>501</v>
      </c>
      <c r="D31" s="4">
        <v>4730</v>
      </c>
      <c r="E31" s="4">
        <f t="shared" ref="E31:L31" si="26">AVERAGE(E29:E30)</f>
        <v>99.024999999999977</v>
      </c>
      <c r="F31" s="4">
        <f t="shared" si="26"/>
        <v>0.21056018825610406</v>
      </c>
      <c r="G31" s="4">
        <f>_xlfn.STDEV.P(F29:F30)</f>
        <v>1.2390631416027031E-2</v>
      </c>
      <c r="H31" s="4">
        <f t="shared" si="26"/>
        <v>2.3728522208593064</v>
      </c>
      <c r="I31" s="4">
        <f t="shared" si="26"/>
        <v>3408.5163228135525</v>
      </c>
      <c r="J31" s="4">
        <f t="shared" si="26"/>
        <v>0.43398775387253086</v>
      </c>
      <c r="K31" s="4">
        <f t="shared" si="26"/>
        <v>1745.1127817080451</v>
      </c>
      <c r="L31" s="4">
        <f t="shared" si="26"/>
        <v>0.13923465220547035</v>
      </c>
      <c r="M31" s="4">
        <f t="shared" si="22"/>
        <v>1.9531782464382823</v>
      </c>
      <c r="N31" s="4">
        <f t="shared" si="23"/>
        <v>3.1169521882533209</v>
      </c>
      <c r="O31" s="13"/>
      <c r="P31" s="13"/>
      <c r="W31" s="13"/>
      <c r="Y31" s="13"/>
      <c r="AA31" s="13"/>
    </row>
    <row r="32" spans="1:28" x14ac:dyDescent="0.3">
      <c r="A32" t="s">
        <v>510</v>
      </c>
      <c r="B32" t="s">
        <v>365</v>
      </c>
      <c r="C32">
        <v>2021</v>
      </c>
      <c r="D32">
        <f>S3a!P358</f>
        <v>5190</v>
      </c>
      <c r="E32">
        <f>S3a!S358</f>
        <v>102.84999999999997</v>
      </c>
      <c r="F32">
        <f>(E32/D32)*10</f>
        <v>0.19816955684007703</v>
      </c>
      <c r="H32">
        <f>S3a!U358</f>
        <v>2.1596301540270049</v>
      </c>
      <c r="I32">
        <f>S3a!AB358</f>
        <v>4070.141057169491</v>
      </c>
      <c r="J32">
        <v>0.48518656330299842</v>
      </c>
      <c r="K32">
        <f>S3a!AH358</f>
        <v>1735.0080812940669</v>
      </c>
      <c r="L32">
        <v>0.1294459662735242</v>
      </c>
      <c r="M32">
        <f t="shared" si="22"/>
        <v>2.3458916999013342</v>
      </c>
      <c r="N32">
        <f t="shared" si="23"/>
        <v>3.7481783115418286</v>
      </c>
      <c r="O32" t="s">
        <v>107</v>
      </c>
      <c r="P32" s="15">
        <v>0.45683336606236835</v>
      </c>
      <c r="Q32" t="s">
        <v>125</v>
      </c>
      <c r="R32" s="15">
        <v>0.18256730736893248</v>
      </c>
      <c r="S32" t="s">
        <v>74</v>
      </c>
      <c r="T32" s="15">
        <v>7.4075140000994716E-2</v>
      </c>
      <c r="U32" s="15">
        <v>0.71347581343229549</v>
      </c>
      <c r="V32" t="s">
        <v>107</v>
      </c>
      <c r="W32" s="15">
        <v>0.30217329500961132</v>
      </c>
      <c r="X32" t="s">
        <v>352</v>
      </c>
      <c r="Y32" s="15">
        <v>0.23436254044485455</v>
      </c>
      <c r="Z32" t="s">
        <v>125</v>
      </c>
      <c r="AA32" s="15">
        <v>0.10011006659930638</v>
      </c>
      <c r="AB32">
        <v>0.63664590205377225</v>
      </c>
    </row>
    <row r="33" spans="1:28" x14ac:dyDescent="0.3">
      <c r="A33" t="s">
        <v>510</v>
      </c>
      <c r="B33" t="s">
        <v>365</v>
      </c>
      <c r="C33">
        <v>2023</v>
      </c>
      <c r="D33">
        <f>S3a!P432</f>
        <v>4270</v>
      </c>
      <c r="E33">
        <f>S3a!S432</f>
        <v>95.199999999999974</v>
      </c>
      <c r="F33">
        <f>(E33/D33)*10</f>
        <v>0.2229508196721311</v>
      </c>
      <c r="H33">
        <f>S3a!U432</f>
        <v>2.5860742876916079</v>
      </c>
      <c r="I33">
        <f>S3a!AB432</f>
        <v>2746.8915884576145</v>
      </c>
      <c r="J33">
        <v>0.38278894444206329</v>
      </c>
      <c r="K33">
        <f>S3a!AH432</f>
        <v>1755.2174821220233</v>
      </c>
      <c r="L33">
        <v>0.1490233381374165</v>
      </c>
      <c r="M33">
        <f t="shared" si="22"/>
        <v>1.5649864569128362</v>
      </c>
      <c r="N33">
        <f t="shared" si="23"/>
        <v>2.5686509859891089</v>
      </c>
      <c r="O33" t="s">
        <v>32</v>
      </c>
      <c r="P33" s="15">
        <v>0.35624645323824899</v>
      </c>
      <c r="Q33" t="s">
        <v>125</v>
      </c>
      <c r="R33" s="15">
        <v>0.12821101958619086</v>
      </c>
      <c r="S33" t="s">
        <v>314</v>
      </c>
      <c r="T33" s="15">
        <v>0.12696452858833979</v>
      </c>
      <c r="U33" s="15">
        <v>0.61142200141277958</v>
      </c>
      <c r="V33" t="s">
        <v>32</v>
      </c>
      <c r="W33" s="15">
        <v>0.45030994426009119</v>
      </c>
      <c r="X33" t="s">
        <v>314</v>
      </c>
      <c r="Y33" s="15">
        <v>0.20369615315151585</v>
      </c>
      <c r="Z33" t="s">
        <v>235</v>
      </c>
      <c r="AA33" s="15">
        <v>7.1354175219188812E-2</v>
      </c>
      <c r="AB33">
        <v>0.72536027263079594</v>
      </c>
    </row>
    <row r="34" spans="1:28" s="4" customFormat="1" x14ac:dyDescent="0.3">
      <c r="A34" s="4" t="s">
        <v>500</v>
      </c>
      <c r="C34" s="4" t="s">
        <v>501</v>
      </c>
      <c r="D34" s="4">
        <v>4730</v>
      </c>
      <c r="E34" s="4">
        <f t="shared" ref="E34:L34" si="27">AVERAGE(E32:E33)</f>
        <v>99.024999999999977</v>
      </c>
      <c r="F34" s="4">
        <f t="shared" si="27"/>
        <v>0.21056018825610406</v>
      </c>
      <c r="G34" s="4">
        <f>_xlfn.STDEV.P(F32:F33)</f>
        <v>1.2390631416027031E-2</v>
      </c>
      <c r="H34" s="4">
        <f t="shared" si="27"/>
        <v>2.3728522208593064</v>
      </c>
      <c r="I34" s="4">
        <f t="shared" si="27"/>
        <v>3408.5163228135525</v>
      </c>
      <c r="J34" s="4">
        <f t="shared" si="27"/>
        <v>0.43398775387253086</v>
      </c>
      <c r="K34" s="4">
        <f t="shared" si="27"/>
        <v>1745.1127817080451</v>
      </c>
      <c r="L34" s="4">
        <f t="shared" si="27"/>
        <v>0.13923465220547035</v>
      </c>
      <c r="M34" s="4">
        <f t="shared" si="22"/>
        <v>1.9531782464382823</v>
      </c>
      <c r="N34" s="4">
        <f t="shared" si="23"/>
        <v>3.1169521882533209</v>
      </c>
      <c r="O34" s="6"/>
      <c r="P34" s="16"/>
      <c r="Q34" s="6"/>
      <c r="R34" s="16"/>
      <c r="S34" s="6"/>
      <c r="T34" s="16"/>
      <c r="W34" s="13"/>
      <c r="Y34" s="13"/>
      <c r="AA34" s="13"/>
    </row>
    <row r="35" spans="1:28" x14ac:dyDescent="0.3">
      <c r="W35" s="15"/>
      <c r="Y35" s="15"/>
      <c r="AA35" s="15"/>
    </row>
    <row r="36" spans="1:28" s="4" customFormat="1" x14ac:dyDescent="0.3">
      <c r="A36" s="4" t="s">
        <v>511</v>
      </c>
      <c r="F36" s="4">
        <f>AVERAGE(F37:F38)</f>
        <v>0.11028597147209525</v>
      </c>
      <c r="G36" s="4">
        <f>_xlfn.STDEV.P(F37:F38)</f>
        <v>4.1320454230715932E-2</v>
      </c>
      <c r="W36" s="13"/>
      <c r="Y36" s="13"/>
      <c r="AA36" s="13"/>
    </row>
    <row r="37" spans="1:28" x14ac:dyDescent="0.3">
      <c r="A37" t="s">
        <v>512</v>
      </c>
      <c r="B37" t="s">
        <v>384</v>
      </c>
      <c r="C37">
        <v>2023</v>
      </c>
      <c r="D37">
        <f>S3a!P374</f>
        <v>870</v>
      </c>
      <c r="E37">
        <f>S3a!S374</f>
        <v>6</v>
      </c>
      <c r="F37">
        <f>(E37/D37)*10</f>
        <v>6.8965517241379309E-2</v>
      </c>
      <c r="H37">
        <f>S3a!U374</f>
        <v>2.288702637793965</v>
      </c>
      <c r="I37">
        <f>S3a!AB374</f>
        <v>481.9596271943102</v>
      </c>
      <c r="J37">
        <f>S3a!AD374</f>
        <v>0.53900314407125127</v>
      </c>
      <c r="K37">
        <f>S3a!AH374</f>
        <v>160.8974927362782</v>
      </c>
      <c r="L37">
        <f>S3a!AJ374</f>
        <v>0.14960758168004482</v>
      </c>
      <c r="M37">
        <f t="shared" ref="M37:N39" si="28">I37/K37</f>
        <v>2.9954452303633743</v>
      </c>
      <c r="N37">
        <f t="shared" si="28"/>
        <v>3.602779605274145</v>
      </c>
      <c r="O37" t="s">
        <v>107</v>
      </c>
      <c r="P37" s="15">
        <v>0.33528135946674353</v>
      </c>
      <c r="Q37" t="s">
        <v>190</v>
      </c>
      <c r="R37" s="15">
        <v>0.28169268612427018</v>
      </c>
      <c r="S37" t="s">
        <v>226</v>
      </c>
      <c r="T37" s="15">
        <v>0.11409857846308681</v>
      </c>
      <c r="U37" s="15">
        <v>0.73107262405410056</v>
      </c>
      <c r="V37" t="s">
        <v>107</v>
      </c>
      <c r="W37" s="15">
        <v>0.2753904633082892</v>
      </c>
      <c r="X37" t="s">
        <v>190</v>
      </c>
      <c r="Y37" s="15">
        <v>0.21154520907443228</v>
      </c>
      <c r="Z37" t="s">
        <v>226</v>
      </c>
      <c r="AA37" s="15">
        <v>0.11568217485808208</v>
      </c>
      <c r="AB37">
        <v>0.60261784724080358</v>
      </c>
    </row>
    <row r="38" spans="1:28" x14ac:dyDescent="0.3">
      <c r="A38" t="s">
        <v>512</v>
      </c>
      <c r="B38" t="s">
        <v>400</v>
      </c>
      <c r="C38">
        <v>2023</v>
      </c>
      <c r="D38">
        <f>S3a!P392</f>
        <v>2490</v>
      </c>
      <c r="E38">
        <f>S3a!S392</f>
        <v>37.749999999999986</v>
      </c>
      <c r="F38">
        <f>(E38/D38)*10</f>
        <v>0.15160642570281119</v>
      </c>
      <c r="H38">
        <f>S3a!U392</f>
        <v>1.3656015403891262</v>
      </c>
      <c r="I38">
        <f>S3a!AB392</f>
        <v>2691.0807593055347</v>
      </c>
      <c r="J38">
        <f>S3a!AD392</f>
        <v>0.68979016558012529</v>
      </c>
      <c r="K38">
        <f>S3a!AH392</f>
        <v>1005.7702085935806</v>
      </c>
      <c r="L38">
        <f>S3a!AJ392</f>
        <v>0.17985913024004921</v>
      </c>
      <c r="M38">
        <f t="shared" si="28"/>
        <v>2.6756417482961732</v>
      </c>
      <c r="N38">
        <f t="shared" si="28"/>
        <v>3.8351690273354264</v>
      </c>
      <c r="O38" t="s">
        <v>107</v>
      </c>
      <c r="P38" s="15">
        <v>0.8280789197342211</v>
      </c>
      <c r="Q38" t="s">
        <v>226</v>
      </c>
      <c r="R38" s="15">
        <v>6.1788141047659194E-2</v>
      </c>
      <c r="S38" t="s">
        <v>232</v>
      </c>
      <c r="T38" s="15">
        <v>3.2565209683057587E-2</v>
      </c>
      <c r="U38" s="15">
        <v>0.92243227046493781</v>
      </c>
      <c r="V38" t="s">
        <v>107</v>
      </c>
      <c r="W38" s="15">
        <v>0.73772226626836213</v>
      </c>
      <c r="X38" t="s">
        <v>232</v>
      </c>
      <c r="Y38" s="15">
        <v>8.651639380485654E-2</v>
      </c>
      <c r="Z38" t="s">
        <v>226</v>
      </c>
      <c r="AA38" s="15">
        <v>4.8651743542913121E-2</v>
      </c>
      <c r="AB38">
        <v>0.87289040361613179</v>
      </c>
    </row>
    <row r="39" spans="1:28" s="4" customFormat="1" x14ac:dyDescent="0.3">
      <c r="A39" s="4" t="s">
        <v>500</v>
      </c>
      <c r="C39" s="4" t="s">
        <v>501</v>
      </c>
      <c r="D39" s="4">
        <v>1680</v>
      </c>
      <c r="E39" s="4">
        <f t="shared" ref="E39:L39" si="29">AVERAGE(E37:E38)</f>
        <v>21.874999999999993</v>
      </c>
      <c r="F39" s="4">
        <f t="shared" si="29"/>
        <v>0.11028597147209525</v>
      </c>
      <c r="G39" s="4">
        <f>_xlfn.STDEV.P(F37:F38)</f>
        <v>4.1320454230715932E-2</v>
      </c>
      <c r="H39" s="4">
        <f t="shared" si="29"/>
        <v>1.8271520890915456</v>
      </c>
      <c r="I39" s="4">
        <f t="shared" si="29"/>
        <v>1586.5201932499224</v>
      </c>
      <c r="J39" s="4">
        <f t="shared" si="29"/>
        <v>0.61439665482568828</v>
      </c>
      <c r="K39" s="4">
        <f t="shared" si="29"/>
        <v>583.3338506649294</v>
      </c>
      <c r="L39" s="4">
        <f t="shared" si="29"/>
        <v>0.16473335596004701</v>
      </c>
      <c r="M39" s="4">
        <f t="shared" si="28"/>
        <v>2.7197464906956506</v>
      </c>
      <c r="N39" s="4">
        <f t="shared" si="28"/>
        <v>3.7296432847194509</v>
      </c>
    </row>
    <row r="40" spans="1:28" s="2" customFormat="1" x14ac:dyDescent="0.3">
      <c r="S40" s="5"/>
      <c r="T40" s="5"/>
      <c r="U40" s="5"/>
    </row>
    <row r="41" spans="1:28" x14ac:dyDescent="0.3">
      <c r="P41" s="15"/>
      <c r="Q41" s="18"/>
      <c r="R41" s="15"/>
    </row>
    <row r="42" spans="1:28" x14ac:dyDescent="0.3">
      <c r="Q42" s="1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679A-BDB4-4073-9124-B88B975D485A}">
  <dimension ref="A1:O74"/>
  <sheetViews>
    <sheetView topLeftCell="A20" zoomScale="85" zoomScaleNormal="85" workbookViewId="0">
      <selection activeCell="AE47" sqref="AE47"/>
    </sheetView>
  </sheetViews>
  <sheetFormatPr defaultRowHeight="14.4" x14ac:dyDescent="0.3"/>
  <sheetData>
    <row r="1" spans="1:15" s="1" customFormat="1" x14ac:dyDescent="0.3">
      <c r="A1" s="1" t="s">
        <v>544</v>
      </c>
    </row>
    <row r="2" spans="1:15" x14ac:dyDescent="0.3">
      <c r="A2" s="1" t="s">
        <v>520</v>
      </c>
    </row>
    <row r="3" spans="1:15" x14ac:dyDescent="0.3">
      <c r="B3" s="1" t="s">
        <v>497</v>
      </c>
      <c r="M3" s="12" t="s">
        <v>500</v>
      </c>
    </row>
    <row r="4" spans="1:15" x14ac:dyDescent="0.3">
      <c r="A4" s="1"/>
      <c r="B4" s="8" t="s">
        <v>521</v>
      </c>
      <c r="C4" s="8" t="s">
        <v>522</v>
      </c>
      <c r="D4" s="8" t="s">
        <v>523</v>
      </c>
      <c r="E4" s="8" t="s">
        <v>524</v>
      </c>
      <c r="F4" s="8" t="s">
        <v>525</v>
      </c>
      <c r="G4" s="8" t="s">
        <v>526</v>
      </c>
      <c r="H4" s="8" t="s">
        <v>527</v>
      </c>
      <c r="I4" s="8" t="s">
        <v>528</v>
      </c>
      <c r="J4" s="8" t="s">
        <v>529</v>
      </c>
      <c r="K4" s="8" t="s">
        <v>530</v>
      </c>
      <c r="L4" s="8" t="s">
        <v>531</v>
      </c>
      <c r="M4" s="10" t="s">
        <v>498</v>
      </c>
      <c r="N4" s="8" t="s">
        <v>502</v>
      </c>
      <c r="O4" s="8" t="s">
        <v>506</v>
      </c>
    </row>
    <row r="5" spans="1:15" x14ac:dyDescent="0.3">
      <c r="A5" s="9" t="s">
        <v>66</v>
      </c>
      <c r="B5">
        <f>SUM(S3a!T15:T16)</f>
        <v>2.056672760511883E-2</v>
      </c>
      <c r="C5">
        <v>0</v>
      </c>
      <c r="D5">
        <v>0</v>
      </c>
      <c r="E5">
        <v>0</v>
      </c>
      <c r="F5">
        <v>0</v>
      </c>
      <c r="G5">
        <f>SUM(S3a!T69)</f>
        <v>3.6546368204659673E-4</v>
      </c>
      <c r="H5">
        <f>SUM(S3a!T93)</f>
        <v>0.12773722627737227</v>
      </c>
      <c r="I5">
        <v>0</v>
      </c>
      <c r="J5">
        <v>0</v>
      </c>
      <c r="K5">
        <v>0</v>
      </c>
      <c r="L5">
        <f>SUM(S3a!T622:T623)</f>
        <v>8.9766606822262091E-2</v>
      </c>
      <c r="M5" s="11">
        <f t="shared" ref="M5:M10" si="0">AVERAGE(B5:C5)</f>
        <v>1.0283363802559415E-2</v>
      </c>
      <c r="N5">
        <f t="shared" ref="N5:N10" si="1">AVERAGE(D5:F5)</f>
        <v>0</v>
      </c>
      <c r="O5">
        <f>AVERAGE(G5:L5)</f>
        <v>3.6311549463613493E-2</v>
      </c>
    </row>
    <row r="6" spans="1:15" x14ac:dyDescent="0.3">
      <c r="A6" s="9" t="s">
        <v>50</v>
      </c>
      <c r="B6">
        <f>SUM(S3a!T17:T22)</f>
        <v>9.5978062157221194E-3</v>
      </c>
      <c r="C6">
        <f>SUM(S3a!T526:T537)</f>
        <v>1.4187116564417179E-2</v>
      </c>
      <c r="D6">
        <f>SUM(S3a!T38:T48)</f>
        <v>6.2370062370062387E-2</v>
      </c>
      <c r="E6">
        <f>SUM(S3a!T447:T458)</f>
        <v>0.12311848707062906</v>
      </c>
      <c r="F6">
        <f>SUM(S3a!T487:T500)</f>
        <v>0.18041237113402059</v>
      </c>
      <c r="G6">
        <f>SUM(S3a!T70:T77)</f>
        <v>2.1014161717679311E-3</v>
      </c>
      <c r="H6">
        <f>SUM(S3a!T94:T104)</f>
        <v>4.105839416058394E-2</v>
      </c>
      <c r="I6">
        <f>SUM(S3a!T122:T130)</f>
        <v>1.7600918308781324E-2</v>
      </c>
      <c r="J6">
        <f>SUM(S3a!T562:T573)</f>
        <v>6.4043915827996312E-3</v>
      </c>
      <c r="K6">
        <f>SUM(S3a!T593:T606)</f>
        <v>4.3832185347526649E-2</v>
      </c>
      <c r="L6">
        <f>SUM(S3a!T624:T634)</f>
        <v>0.18132854578096946</v>
      </c>
      <c r="M6" s="11">
        <f t="shared" si="0"/>
        <v>1.189246139006965E-2</v>
      </c>
      <c r="N6">
        <f t="shared" si="1"/>
        <v>0.121966973524904</v>
      </c>
      <c r="O6">
        <f>AVERAGE(G6:L6)</f>
        <v>4.8720975225404826E-2</v>
      </c>
    </row>
    <row r="7" spans="1:15" x14ac:dyDescent="0.3">
      <c r="A7" s="9" t="s">
        <v>27</v>
      </c>
      <c r="B7">
        <f>SUM(S3a!T2:T12)</f>
        <v>0.94469835466179153</v>
      </c>
      <c r="C7">
        <f>SUM(S3a!T512:T523)</f>
        <v>0.85506134969325187</v>
      </c>
      <c r="D7">
        <f>SUM(S3a!T30:T35)</f>
        <v>0.75051975051975095</v>
      </c>
      <c r="E7">
        <f>SUM(S3a!T433:T441)</f>
        <v>0.68313392512543381</v>
      </c>
      <c r="F7">
        <f>SUM(S3a!T472:T482)</f>
        <v>0.5044182621502209</v>
      </c>
      <c r="G7">
        <f>SUM(S3a!T58:T64)</f>
        <v>0.97359524897213368</v>
      </c>
      <c r="H7">
        <f>SUM(S3a!T86:T90)</f>
        <v>0.36040145985401462</v>
      </c>
      <c r="I7">
        <f>SUM(S3a!T114:T118)</f>
        <v>0.94451884446144985</v>
      </c>
      <c r="J7">
        <f>SUM(S3a!T547:T558)</f>
        <v>0.93183897529734605</v>
      </c>
      <c r="K7">
        <f>SUM(S3a!T582:T589)</f>
        <v>0.85410144020037615</v>
      </c>
      <c r="L7">
        <f>SUM(S3a!T612:T615)</f>
        <v>0.17773788150807898</v>
      </c>
      <c r="M7" s="11">
        <f t="shared" si="0"/>
        <v>0.89987985217752176</v>
      </c>
      <c r="N7">
        <f t="shared" si="1"/>
        <v>0.64602397926513522</v>
      </c>
      <c r="O7">
        <f>AVERAGE(G7:L7)</f>
        <v>0.7070323083822333</v>
      </c>
    </row>
    <row r="8" spans="1:15" x14ac:dyDescent="0.3">
      <c r="A8" s="9" t="s">
        <v>60</v>
      </c>
      <c r="B8">
        <f>SUM(S3a!T23:T24)</f>
        <v>1.5539305301645339E-2</v>
      </c>
      <c r="C8">
        <f>SUM(S3a!T538:T540)</f>
        <v>0.12231595092024541</v>
      </c>
      <c r="D8">
        <f>SUM(S3a!T49:T51)</f>
        <v>3.4303534303534319E-2</v>
      </c>
      <c r="E8">
        <f>SUM(S3a!T459:T460)</f>
        <v>3.4735623311462748E-3</v>
      </c>
      <c r="F8">
        <f>SUM(S3a!T501)</f>
        <v>3.6818851251840947E-4</v>
      </c>
      <c r="G8">
        <f>SUM(S3a!T78:T79)</f>
        <v>1.863864778437643E-2</v>
      </c>
      <c r="H8">
        <f>SUM(S3a!T105:T107)</f>
        <v>0.26824817518248184</v>
      </c>
      <c r="I8">
        <f>SUM(S3a!T131:T132)</f>
        <v>5.7394298832982578E-4</v>
      </c>
      <c r="J8">
        <f>SUM(S3a!T574:T575)</f>
        <v>4.9710277523635216E-2</v>
      </c>
      <c r="K8">
        <f>SUM(S3a!T607)</f>
        <v>3.7570444583594261E-3</v>
      </c>
      <c r="L8">
        <f>SUM(S3a!T635:T638)</f>
        <v>8.0789946140035887E-2</v>
      </c>
      <c r="M8" s="11">
        <f t="shared" si="0"/>
        <v>6.8927628110945383E-2</v>
      </c>
      <c r="N8">
        <f t="shared" si="1"/>
        <v>1.2715095049066335E-2</v>
      </c>
      <c r="O8">
        <f t="shared" ref="O8:O10" si="2">AVERAGE(G8:L8)</f>
        <v>7.0286339012869764E-2</v>
      </c>
    </row>
    <row r="9" spans="1:15" x14ac:dyDescent="0.3">
      <c r="A9" s="9" t="s">
        <v>93</v>
      </c>
      <c r="B9">
        <f>SUM(S3a!T13:T14)</f>
        <v>6.8555758683729439E-3</v>
      </c>
      <c r="C9">
        <f>SUM(S3a!T524:T525)</f>
        <v>3.8343558282208593E-3</v>
      </c>
      <c r="D9">
        <f>SUM(S3a!T36:T37)</f>
        <v>5.9251559251559283E-2</v>
      </c>
      <c r="E9">
        <f>SUM(S3a!T442:T446)</f>
        <v>7.2558857583944411E-2</v>
      </c>
      <c r="F9">
        <f>SUM(S3a!T483:T486)</f>
        <v>0.10198821796759944</v>
      </c>
      <c r="G9">
        <f>SUM(S3a!T65:T68)</f>
        <v>1.3704888076747376E-3</v>
      </c>
      <c r="H9">
        <f>SUM(S3a!T91:T92)</f>
        <v>0.15875912408759127</v>
      </c>
      <c r="I9">
        <f>SUM(S3a!T119:T121)</f>
        <v>3.520183661756264E-2</v>
      </c>
      <c r="J9">
        <f>SUM(S3a!T559:T561)</f>
        <v>2.8972247636474512E-3</v>
      </c>
      <c r="K9">
        <f>SUM(S3a!T590:T592)</f>
        <v>8.3281152160300603E-2</v>
      </c>
      <c r="L9">
        <f>SUM(S3a!T616:T621)</f>
        <v>0.38779174147217221</v>
      </c>
      <c r="M9" s="11">
        <f t="shared" si="0"/>
        <v>5.3449658482969016E-3</v>
      </c>
      <c r="N9">
        <f t="shared" si="1"/>
        <v>7.7932878267701053E-2</v>
      </c>
      <c r="O9">
        <f t="shared" si="2"/>
        <v>0.11155026131815815</v>
      </c>
    </row>
    <row r="10" spans="1:15" x14ac:dyDescent="0.3">
      <c r="A10" s="9" t="s">
        <v>100</v>
      </c>
      <c r="B10">
        <f>SUM(S3a!T25:T28)</f>
        <v>2.7422303473491776E-3</v>
      </c>
      <c r="C10">
        <f>SUM(S3a!T541:T545)</f>
        <v>4.6012269938650319E-3</v>
      </c>
      <c r="D10">
        <f>SUM(S3a!T52:T56)</f>
        <v>9.3555093555093574E-2</v>
      </c>
      <c r="E10">
        <f>SUM(S3a!T461:T470)</f>
        <v>0.11771516788884598</v>
      </c>
      <c r="F10">
        <f>SUM(S3a!T502:T510)</f>
        <v>0.21281296023564067</v>
      </c>
      <c r="G10">
        <f>SUM(S3a!T80:T84)</f>
        <v>3.9287345820009142E-3</v>
      </c>
      <c r="H10">
        <f>SUM(S3a!T108:T112)</f>
        <v>4.3795620437956206E-2</v>
      </c>
      <c r="I10">
        <f>SUM(S3a!T133:T136)</f>
        <v>2.1044576238760278E-3</v>
      </c>
      <c r="J10">
        <f>SUM(S3a!T576:T580)</f>
        <v>9.1491308325709012E-3</v>
      </c>
      <c r="K10">
        <f>SUM(S3a!T608:T610)</f>
        <v>1.5028177833437704E-2</v>
      </c>
      <c r="L10">
        <f>SUM(S3a!T639:T642)</f>
        <v>8.25852782764811E-2</v>
      </c>
      <c r="M10" s="11">
        <f t="shared" si="0"/>
        <v>3.6717286706071045E-3</v>
      </c>
      <c r="N10">
        <f t="shared" si="1"/>
        <v>0.14136107389319341</v>
      </c>
      <c r="O10">
        <f t="shared" si="2"/>
        <v>2.6098566597720474E-2</v>
      </c>
    </row>
    <row r="11" spans="1:15" x14ac:dyDescent="0.3">
      <c r="A11" s="9" t="s">
        <v>494</v>
      </c>
      <c r="M11" s="11">
        <f>S3b!$I$5</f>
        <v>4197.5237951565887</v>
      </c>
      <c r="N11">
        <f>S3b!$I$11</f>
        <v>3571.1489069834279</v>
      </c>
      <c r="O11">
        <f>S3b!$I$20</f>
        <v>3125.3151917466321</v>
      </c>
    </row>
    <row r="12" spans="1:15" x14ac:dyDescent="0.3">
      <c r="A12" s="9" t="s">
        <v>495</v>
      </c>
      <c r="M12" s="11">
        <f>S3b!K5</f>
        <v>5287.8150304092287</v>
      </c>
      <c r="N12">
        <f>S3b!K11</f>
        <v>3175.0922633474102</v>
      </c>
      <c r="O12">
        <f>S3b!K20</f>
        <v>3962.4432697947359</v>
      </c>
    </row>
    <row r="13" spans="1:15" x14ac:dyDescent="0.3">
      <c r="A13" s="9" t="s">
        <v>547</v>
      </c>
      <c r="M13">
        <f>M7/M6</f>
        <v>75.668091126108877</v>
      </c>
      <c r="N13">
        <f>N7/N6</f>
        <v>5.2967123852853977</v>
      </c>
      <c r="O13">
        <f t="shared" ref="O13" si="3">O7/O6</f>
        <v>14.51186691381255</v>
      </c>
    </row>
    <row r="14" spans="1:15" x14ac:dyDescent="0.3">
      <c r="A14" s="9" t="s">
        <v>548</v>
      </c>
      <c r="M14">
        <f>M7+M6</f>
        <v>0.91177231356759136</v>
      </c>
      <c r="N14">
        <f t="shared" ref="N14:O14" si="4">N7+N6</f>
        <v>0.76799095279003926</v>
      </c>
      <c r="O14">
        <f t="shared" si="4"/>
        <v>0.75575328360763816</v>
      </c>
    </row>
    <row r="15" spans="1:15" x14ac:dyDescent="0.3">
      <c r="A15" s="9" t="s">
        <v>549</v>
      </c>
      <c r="M15">
        <f>SUM(M8:M10)</f>
        <v>7.7944322629849391E-2</v>
      </c>
      <c r="N15">
        <f t="shared" ref="N15:O15" si="5">SUM(N8:N10)</f>
        <v>0.23200904720996079</v>
      </c>
      <c r="O15">
        <f t="shared" si="5"/>
        <v>0.20793516692874839</v>
      </c>
    </row>
    <row r="16" spans="1:15" x14ac:dyDescent="0.3">
      <c r="A16" s="9" t="s">
        <v>545</v>
      </c>
      <c r="M16">
        <v>20</v>
      </c>
      <c r="N16">
        <v>2.1</v>
      </c>
      <c r="O16">
        <v>3.3</v>
      </c>
    </row>
    <row r="17" spans="1:15" x14ac:dyDescent="0.3">
      <c r="A17" s="9" t="s">
        <v>546</v>
      </c>
      <c r="M17">
        <v>11.1</v>
      </c>
      <c r="N17">
        <v>8</v>
      </c>
      <c r="O17">
        <v>7.2</v>
      </c>
    </row>
    <row r="18" spans="1:15" x14ac:dyDescent="0.3">
      <c r="A18" s="9" t="s">
        <v>550</v>
      </c>
      <c r="N18">
        <v>0.4</v>
      </c>
    </row>
    <row r="19" spans="1:15" x14ac:dyDescent="0.3">
      <c r="B19" s="1" t="s">
        <v>507</v>
      </c>
      <c r="I19" s="12" t="s">
        <v>500</v>
      </c>
      <c r="M19">
        <v>0.7</v>
      </c>
      <c r="N19">
        <v>1</v>
      </c>
      <c r="O19">
        <v>0.8</v>
      </c>
    </row>
    <row r="20" spans="1:15" x14ac:dyDescent="0.3">
      <c r="B20" s="8" t="s">
        <v>532</v>
      </c>
      <c r="C20" s="8" t="s">
        <v>533</v>
      </c>
      <c r="D20" s="8" t="s">
        <v>534</v>
      </c>
      <c r="E20" s="8" t="s">
        <v>535</v>
      </c>
      <c r="F20" s="8" t="s">
        <v>536</v>
      </c>
      <c r="G20" s="8" t="s">
        <v>537</v>
      </c>
      <c r="H20" s="8" t="s">
        <v>538</v>
      </c>
      <c r="I20" s="10" t="s">
        <v>508</v>
      </c>
      <c r="J20" s="8" t="s">
        <v>509</v>
      </c>
      <c r="K20" s="8" t="s">
        <v>510</v>
      </c>
      <c r="M20" s="1"/>
      <c r="N20" s="1"/>
    </row>
    <row r="21" spans="1:15" x14ac:dyDescent="0.3">
      <c r="A21" s="9" t="s">
        <v>66</v>
      </c>
      <c r="B21">
        <f>SUM(S3a!T153:T155)</f>
        <v>2.9774127310061623E-2</v>
      </c>
      <c r="C21">
        <v>0</v>
      </c>
      <c r="D21">
        <v>0</v>
      </c>
      <c r="E21">
        <v>0</v>
      </c>
      <c r="F21">
        <v>0</v>
      </c>
      <c r="G21">
        <v>0</v>
      </c>
      <c r="H21">
        <f>S3a!T405</f>
        <v>6.3025210084033624E-3</v>
      </c>
      <c r="I21" s="11">
        <f>AVERAGE(B21:F21)</f>
        <v>5.9548254620123246E-3</v>
      </c>
      <c r="J21">
        <f>AVERAGE(G21:H21)</f>
        <v>3.1512605042016812E-3</v>
      </c>
      <c r="K21">
        <f>AVERAGE(G21:H21)</f>
        <v>3.1512605042016812E-3</v>
      </c>
    </row>
    <row r="22" spans="1:15" x14ac:dyDescent="0.3">
      <c r="A22" s="9" t="s">
        <v>50</v>
      </c>
      <c r="B22">
        <f>SUM(S3a!T156:T175)</f>
        <v>0.29106776180698152</v>
      </c>
      <c r="C22">
        <f>SUM(S3a!T192:T206)</f>
        <v>0.46511627906976782</v>
      </c>
      <c r="D22">
        <f>SUM(S3a!T222:T240)</f>
        <v>0.31747333880229706</v>
      </c>
      <c r="E22">
        <f>SUM(S3a!T258:T281)</f>
        <v>0.69932523616734088</v>
      </c>
      <c r="F22">
        <f>SUM(S3a!T299:T312)</f>
        <v>0.77811950790861195</v>
      </c>
      <c r="G22">
        <f>SUM(S3a!T335:T352)</f>
        <v>0.71657754010695218</v>
      </c>
      <c r="H22">
        <f>SUM(S3a!T406:T425)</f>
        <v>0.81407563025210106</v>
      </c>
      <c r="I22" s="11">
        <f t="shared" ref="I22:I26" si="6">AVERAGE(B22:F22)</f>
        <v>0.51022042475099982</v>
      </c>
      <c r="J22">
        <f t="shared" ref="J22:J26" si="7">AVERAGE(G22:H22)</f>
        <v>0.76532658517952656</v>
      </c>
      <c r="K22">
        <f t="shared" ref="K22:K26" si="8">AVERAGE(G22:H22)</f>
        <v>0.76532658517952656</v>
      </c>
    </row>
    <row r="23" spans="1:15" x14ac:dyDescent="0.3">
      <c r="A23" s="9" t="s">
        <v>27</v>
      </c>
      <c r="B23">
        <f>SUM(S3a!T138:T144)</f>
        <v>0.42967145790554429</v>
      </c>
      <c r="C23">
        <f>SUM(S3a!T184:T188)</f>
        <v>0.48273431994362254</v>
      </c>
      <c r="D23">
        <f>SUM(S3a!T213:T217)</f>
        <v>0.55701394585726016</v>
      </c>
      <c r="E23">
        <f>SUM(S3a!T246:T252)</f>
        <v>0.16653171390013488</v>
      </c>
      <c r="F23">
        <f>SUM(S3a!T289:T293)</f>
        <v>0.12258347978910374</v>
      </c>
      <c r="G23">
        <f>SUM(S3a!T321:T330)</f>
        <v>0.12931453573164808</v>
      </c>
      <c r="H23">
        <f>SUM(S3a!T393:T402)</f>
        <v>0.15703781512605045</v>
      </c>
      <c r="I23" s="11">
        <f t="shared" si="6"/>
        <v>0.35170698347913315</v>
      </c>
      <c r="J23">
        <f t="shared" si="7"/>
        <v>0.14317617542884925</v>
      </c>
      <c r="K23">
        <f t="shared" si="8"/>
        <v>0.14317617542884925</v>
      </c>
    </row>
    <row r="24" spans="1:15" x14ac:dyDescent="0.3">
      <c r="A24" s="9" t="s">
        <v>60</v>
      </c>
      <c r="B24">
        <f>SUM(S3a!T176:T177)</f>
        <v>3.0800821355236162E-3</v>
      </c>
      <c r="C24">
        <f>SUM(S3a!T207)</f>
        <v>7.0472163495419356E-4</v>
      </c>
      <c r="D24">
        <f>SUM(S3a!T241:T243)</f>
        <v>8.2034454470877802E-3</v>
      </c>
      <c r="E24">
        <f>SUM(S3a!T282:T283)</f>
        <v>1.1875843454790818E-2</v>
      </c>
      <c r="F24">
        <f>SUM(S3a!T313:T315)</f>
        <v>4.7451669595782092E-2</v>
      </c>
      <c r="G24">
        <f>SUM(S3a!T353:T354)</f>
        <v>0.14681575109382602</v>
      </c>
      <c r="H24">
        <f>SUM(S3a!T426:T427)</f>
        <v>2.1008403361344546E-3</v>
      </c>
      <c r="I24" s="11">
        <f t="shared" si="6"/>
        <v>1.4263152453627701E-2</v>
      </c>
      <c r="J24">
        <f t="shared" si="7"/>
        <v>7.4458295714980235E-2</v>
      </c>
      <c r="K24">
        <f t="shared" si="8"/>
        <v>7.4458295714980235E-2</v>
      </c>
    </row>
    <row r="25" spans="1:15" x14ac:dyDescent="0.3">
      <c r="A25" s="9" t="s">
        <v>93</v>
      </c>
      <c r="B25">
        <f>SUM(S3a!T145:T152)</f>
        <v>0.20225872689938407</v>
      </c>
      <c r="C25">
        <f>SUM(S3a!T189:T191)</f>
        <v>4.5102184637068381E-2</v>
      </c>
      <c r="D25">
        <f>SUM(S3a!T218:T221)</f>
        <v>0.11402789171452013</v>
      </c>
      <c r="E25">
        <f>SUM(S3a!T253:T257)</f>
        <v>0.12091767881241558</v>
      </c>
      <c r="F25">
        <f>SUM(S3a!T294:T298)</f>
        <v>4.349736379613358E-2</v>
      </c>
      <c r="G25">
        <f>SUM(S3a!T331:T334)</f>
        <v>5.8337384540593125E-3</v>
      </c>
      <c r="H25">
        <f>SUM(S3a!T403:T404)</f>
        <v>9.9789915966386564E-3</v>
      </c>
      <c r="I25" s="11">
        <f t="shared" si="6"/>
        <v>0.10516076917190434</v>
      </c>
      <c r="J25">
        <f t="shared" si="7"/>
        <v>7.9063650253489853E-3</v>
      </c>
      <c r="K25">
        <f t="shared" si="8"/>
        <v>7.9063650253489853E-3</v>
      </c>
    </row>
    <row r="26" spans="1:15" x14ac:dyDescent="0.3">
      <c r="A26" s="9" t="s">
        <v>100</v>
      </c>
      <c r="B26">
        <f>SUM(S3a!T178:T182)</f>
        <v>4.4147843942505156E-2</v>
      </c>
      <c r="C26">
        <f>SUM(S3a!T208:T211)</f>
        <v>6.3424947145877411E-3</v>
      </c>
      <c r="D26">
        <f>SUM(S3a!T244)</f>
        <v>3.2813781788351118E-3</v>
      </c>
      <c r="E26">
        <f>SUM(S3a!T284:T287)</f>
        <v>1.3495276653171383E-3</v>
      </c>
      <c r="F26">
        <f>SUM(S3a!T316:T319)</f>
        <v>8.3479789103690707E-3</v>
      </c>
      <c r="G26">
        <f>SUM(S3a!T355:T357)</f>
        <v>1.4584346135148281E-3</v>
      </c>
      <c r="H26">
        <f>SUM(S3a!T428:T431)</f>
        <v>1.0504201680672271E-2</v>
      </c>
      <c r="I26" s="11">
        <f t="shared" si="6"/>
        <v>1.2693844682322843E-2</v>
      </c>
      <c r="J26">
        <f t="shared" si="7"/>
        <v>5.9813181470935502E-3</v>
      </c>
      <c r="K26">
        <f t="shared" si="8"/>
        <v>5.9813181470935502E-3</v>
      </c>
    </row>
    <row r="27" spans="1:15" x14ac:dyDescent="0.3">
      <c r="A27" s="9" t="s">
        <v>494</v>
      </c>
      <c r="I27" s="11">
        <f>S3b!I28</f>
        <v>3736.4504903571665</v>
      </c>
      <c r="J27">
        <f>S3b!I31</f>
        <v>3408.5163228135525</v>
      </c>
      <c r="K27">
        <f>S3b!I34</f>
        <v>3408.5163228135525</v>
      </c>
    </row>
    <row r="28" spans="1:15" x14ac:dyDescent="0.3">
      <c r="A28" s="9" t="s">
        <v>495</v>
      </c>
      <c r="I28" s="11">
        <f>S3b!K28</f>
        <v>2187.8865901267536</v>
      </c>
      <c r="J28">
        <f>S3b!K31</f>
        <v>1745.1127817080451</v>
      </c>
      <c r="K28">
        <f>S3b!K34</f>
        <v>1745.1127817080451</v>
      </c>
    </row>
    <row r="29" spans="1:15" x14ac:dyDescent="0.3">
      <c r="A29" s="9" t="s">
        <v>547</v>
      </c>
      <c r="I29">
        <f>I23/I22</f>
        <v>0.68932360685242045</v>
      </c>
      <c r="J29">
        <f t="shared" ref="J29:K29" si="9">J23/J22</f>
        <v>0.18707853379386225</v>
      </c>
      <c r="K29">
        <f t="shared" si="9"/>
        <v>0.18707853379386225</v>
      </c>
    </row>
    <row r="30" spans="1:15" x14ac:dyDescent="0.3">
      <c r="A30" s="9" t="s">
        <v>548</v>
      </c>
      <c r="I30">
        <f>I23+I22</f>
        <v>0.86192740823013292</v>
      </c>
      <c r="J30">
        <f t="shared" ref="J30:K30" si="10">J23+J22</f>
        <v>0.90850276060837576</v>
      </c>
      <c r="K30">
        <f t="shared" si="10"/>
        <v>0.90850276060837576</v>
      </c>
    </row>
    <row r="31" spans="1:15" x14ac:dyDescent="0.3">
      <c r="A31" s="9" t="s">
        <v>549</v>
      </c>
      <c r="I31">
        <f>SUM(I24:I26)</f>
        <v>0.13211776630785488</v>
      </c>
      <c r="J31">
        <f t="shared" ref="J31:K31" si="11">SUM(J24:J26)</f>
        <v>8.8345978887422766E-2</v>
      </c>
      <c r="K31">
        <f t="shared" si="11"/>
        <v>8.8345978887422766E-2</v>
      </c>
    </row>
    <row r="32" spans="1:15" x14ac:dyDescent="0.3">
      <c r="A32" s="9" t="s">
        <v>545</v>
      </c>
      <c r="I32">
        <v>2</v>
      </c>
      <c r="J32">
        <v>3.1</v>
      </c>
      <c r="K32">
        <v>3</v>
      </c>
    </row>
    <row r="33" spans="1:15" x14ac:dyDescent="0.3">
      <c r="A33" s="9" t="s">
        <v>546</v>
      </c>
      <c r="I33">
        <v>1.1000000000000001</v>
      </c>
      <c r="J33">
        <v>5.8</v>
      </c>
      <c r="K33">
        <v>12</v>
      </c>
    </row>
    <row r="34" spans="1:15" x14ac:dyDescent="0.3">
      <c r="A34" s="9" t="s">
        <v>550</v>
      </c>
      <c r="J34">
        <v>0.5</v>
      </c>
    </row>
    <row r="35" spans="1:15" x14ac:dyDescent="0.3">
      <c r="B35" s="1" t="s">
        <v>511</v>
      </c>
      <c r="D35" s="12" t="s">
        <v>500</v>
      </c>
      <c r="I35">
        <v>0.5</v>
      </c>
      <c r="J35">
        <v>0.6</v>
      </c>
      <c r="K35">
        <v>1</v>
      </c>
    </row>
    <row r="36" spans="1:15" x14ac:dyDescent="0.3">
      <c r="B36" s="8" t="s">
        <v>539</v>
      </c>
      <c r="C36" s="8" t="s">
        <v>540</v>
      </c>
      <c r="D36" s="10" t="s">
        <v>512</v>
      </c>
      <c r="E36" s="8" t="s">
        <v>590</v>
      </c>
      <c r="F36" s="8" t="s">
        <v>512</v>
      </c>
      <c r="G36" s="8" t="s">
        <v>551</v>
      </c>
      <c r="H36" s="8" t="s">
        <v>552</v>
      </c>
    </row>
    <row r="37" spans="1:15" x14ac:dyDescent="0.3">
      <c r="A37" s="9" t="s">
        <v>66</v>
      </c>
      <c r="B37">
        <v>0</v>
      </c>
      <c r="C37">
        <f>S3a!T380</f>
        <v>1.3245033112582787E-2</v>
      </c>
      <c r="D37" s="11">
        <f>AVERAGE(B37:C37)</f>
        <v>6.6225165562913933E-3</v>
      </c>
      <c r="E37">
        <v>0</v>
      </c>
      <c r="F37">
        <v>0</v>
      </c>
      <c r="G37">
        <v>1715</v>
      </c>
      <c r="H37">
        <v>6796.7390874798875</v>
      </c>
    </row>
    <row r="38" spans="1:15" x14ac:dyDescent="0.3">
      <c r="A38" s="9" t="s">
        <v>50</v>
      </c>
      <c r="B38">
        <f>SUM(S3a!T365:T370)</f>
        <v>0.16666666666666666</v>
      </c>
      <c r="C38">
        <f>SUM(S3a!T381:T389)</f>
        <v>0.52052980132450355</v>
      </c>
      <c r="D38" s="11">
        <f t="shared" ref="D38:D42" si="12">AVERAGE(B38:C38)</f>
        <v>0.34359823399558509</v>
      </c>
      <c r="E38">
        <v>0</v>
      </c>
      <c r="F38">
        <v>0</v>
      </c>
      <c r="G38">
        <v>3567.5</v>
      </c>
      <c r="H38">
        <v>3631.0901607054475</v>
      </c>
    </row>
    <row r="39" spans="1:15" x14ac:dyDescent="0.3">
      <c r="A39" s="9" t="s">
        <v>27</v>
      </c>
      <c r="B39">
        <f>SUM(S3a!T359:T363)</f>
        <v>0.7416666666666667</v>
      </c>
      <c r="C39">
        <f>SUM(S3a!T375:T377)</f>
        <v>0.45165562913907303</v>
      </c>
      <c r="D39" s="11">
        <f t="shared" si="12"/>
        <v>0.59666114790286984</v>
      </c>
      <c r="E39">
        <v>0</v>
      </c>
      <c r="F39">
        <v>0</v>
      </c>
      <c r="G39">
        <v>1725</v>
      </c>
      <c r="H39">
        <v>8491.8934583015071</v>
      </c>
    </row>
    <row r="40" spans="1:15" x14ac:dyDescent="0.3">
      <c r="A40" s="9" t="s">
        <v>60</v>
      </c>
      <c r="B40">
        <f>SUM(S3a!T371)</f>
        <v>8.3333333333333332E-3</v>
      </c>
      <c r="C40">
        <f>SUM(S3a!T390)</f>
        <v>1.3245033112582788E-3</v>
      </c>
      <c r="D40" s="11">
        <f t="shared" si="12"/>
        <v>4.8289183222958061E-3</v>
      </c>
      <c r="E40">
        <v>0</v>
      </c>
      <c r="F40">
        <v>0</v>
      </c>
      <c r="G40">
        <v>4534</v>
      </c>
      <c r="H40">
        <v>5258.438686323293</v>
      </c>
    </row>
    <row r="41" spans="1:15" x14ac:dyDescent="0.3">
      <c r="A41" s="9" t="s">
        <v>93</v>
      </c>
      <c r="B41">
        <f>SUM(S3a!T364)</f>
        <v>6.6666666666666666E-2</v>
      </c>
      <c r="C41">
        <f>SUM(S3a!T378:T379)</f>
        <v>1.1920529801324509E-2</v>
      </c>
      <c r="D41" s="11">
        <f t="shared" si="12"/>
        <v>3.9293598233995586E-2</v>
      </c>
      <c r="E41">
        <v>0</v>
      </c>
      <c r="F41">
        <v>0</v>
      </c>
      <c r="G41">
        <v>4730</v>
      </c>
      <c r="H41">
        <v>4069.0746219592374</v>
      </c>
    </row>
    <row r="42" spans="1:15" x14ac:dyDescent="0.3">
      <c r="A42" s="9" t="s">
        <v>100</v>
      </c>
      <c r="B42">
        <f>SUM(S3a!T372:T373)</f>
        <v>1.6666666666666666E-2</v>
      </c>
      <c r="C42">
        <f>SUM(S3a!T391)</f>
        <v>1.3245033112582788E-3</v>
      </c>
      <c r="D42" s="11">
        <f t="shared" si="12"/>
        <v>8.9955849889624719E-3</v>
      </c>
      <c r="E42">
        <v>0</v>
      </c>
      <c r="F42">
        <v>0</v>
      </c>
      <c r="G42">
        <v>4730</v>
      </c>
      <c r="H42">
        <v>4069.0746219592374</v>
      </c>
    </row>
    <row r="43" spans="1:15" x14ac:dyDescent="0.3">
      <c r="A43" s="9" t="s">
        <v>494</v>
      </c>
      <c r="D43" s="11">
        <f>S3b!I39</f>
        <v>1586.5201932499224</v>
      </c>
      <c r="G43">
        <v>1680</v>
      </c>
      <c r="H43">
        <v>898.87409598948068</v>
      </c>
    </row>
    <row r="44" spans="1:15" x14ac:dyDescent="0.3">
      <c r="A44" s="9" t="s">
        <v>495</v>
      </c>
      <c r="B44" s="1"/>
      <c r="C44" s="1"/>
      <c r="D44">
        <f>S3b!K39</f>
        <v>583.3338506649294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9" t="s">
        <v>547</v>
      </c>
      <c r="D45">
        <f>D39/D38</f>
        <v>1.7365081914551876</v>
      </c>
    </row>
    <row r="46" spans="1:15" x14ac:dyDescent="0.3">
      <c r="A46" s="9" t="s">
        <v>548</v>
      </c>
      <c r="B46" s="1"/>
      <c r="D46">
        <f>D38+D39</f>
        <v>0.94025938189845493</v>
      </c>
    </row>
    <row r="47" spans="1:15" x14ac:dyDescent="0.3">
      <c r="A47" s="9" t="s">
        <v>549</v>
      </c>
      <c r="B47" s="1"/>
      <c r="D47">
        <f>SUM(D40:D42)</f>
        <v>5.3118101545253857E-2</v>
      </c>
    </row>
    <row r="48" spans="1:15" x14ac:dyDescent="0.3">
      <c r="A48" s="8" t="s">
        <v>545</v>
      </c>
      <c r="B48" s="1"/>
      <c r="C48" s="1"/>
      <c r="D48">
        <v>0.2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8" x14ac:dyDescent="0.3">
      <c r="A49" s="9" t="s">
        <v>546</v>
      </c>
      <c r="D49">
        <v>3.9</v>
      </c>
    </row>
    <row r="50" spans="1:8" x14ac:dyDescent="0.3">
      <c r="A50" s="1"/>
      <c r="D50">
        <v>0.4</v>
      </c>
    </row>
    <row r="51" spans="1:8" x14ac:dyDescent="0.3">
      <c r="A51" s="1"/>
    </row>
    <row r="52" spans="1:8" x14ac:dyDescent="0.3">
      <c r="A52" s="1"/>
    </row>
    <row r="53" spans="1:8" x14ac:dyDescent="0.3">
      <c r="A53" s="1" t="s">
        <v>508</v>
      </c>
    </row>
    <row r="54" spans="1:8" x14ac:dyDescent="0.3">
      <c r="A54" s="1" t="s">
        <v>509</v>
      </c>
    </row>
    <row r="55" spans="1:8" x14ac:dyDescent="0.3">
      <c r="A55" s="1" t="s">
        <v>510</v>
      </c>
    </row>
    <row r="56" spans="1:8" x14ac:dyDescent="0.3">
      <c r="A56" s="1" t="s">
        <v>498</v>
      </c>
    </row>
    <row r="57" spans="1:8" x14ac:dyDescent="0.3">
      <c r="A57" s="1" t="s">
        <v>502</v>
      </c>
      <c r="B57" s="1"/>
    </row>
    <row r="58" spans="1:8" x14ac:dyDescent="0.3">
      <c r="A58" s="1" t="s">
        <v>506</v>
      </c>
      <c r="B58" s="1"/>
      <c r="C58" s="1"/>
      <c r="D58" s="1"/>
      <c r="E58" s="1"/>
      <c r="F58" s="1"/>
      <c r="G58" s="1"/>
      <c r="H58" s="1"/>
    </row>
    <row r="59" spans="1:8" x14ac:dyDescent="0.3">
      <c r="A59" s="1" t="s">
        <v>512</v>
      </c>
    </row>
    <row r="60" spans="1:8" x14ac:dyDescent="0.3">
      <c r="A60" s="1" t="s">
        <v>591</v>
      </c>
    </row>
    <row r="61" spans="1:8" x14ac:dyDescent="0.3">
      <c r="A61" s="1" t="s">
        <v>590</v>
      </c>
    </row>
    <row r="62" spans="1:8" x14ac:dyDescent="0.3">
      <c r="A62" s="1"/>
    </row>
    <row r="63" spans="1:8" x14ac:dyDescent="0.3">
      <c r="A63" s="1"/>
    </row>
    <row r="64" spans="1:8" x14ac:dyDescent="0.3">
      <c r="A64" s="1"/>
    </row>
    <row r="68" spans="1:3" x14ac:dyDescent="0.3">
      <c r="B68" s="1"/>
    </row>
    <row r="69" spans="1:3" x14ac:dyDescent="0.3">
      <c r="B69" s="12"/>
      <c r="C69" s="1"/>
    </row>
    <row r="70" spans="1:3" x14ac:dyDescent="0.3">
      <c r="A70" s="1"/>
      <c r="B70" s="11"/>
    </row>
    <row r="71" spans="1:3" x14ac:dyDescent="0.3">
      <c r="A71" s="1"/>
      <c r="B71" s="11"/>
    </row>
    <row r="72" spans="1:3" x14ac:dyDescent="0.3">
      <c r="A72" s="1"/>
      <c r="B72" s="11"/>
    </row>
    <row r="73" spans="1:3" x14ac:dyDescent="0.3">
      <c r="A73" s="1"/>
      <c r="B73" s="11"/>
    </row>
    <row r="74" spans="1:3" x14ac:dyDescent="0.3">
      <c r="A74" s="1"/>
      <c r="B74" s="11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E1B5-9188-4918-93F0-845C2527AC52}">
  <dimension ref="A1:O62"/>
  <sheetViews>
    <sheetView topLeftCell="A10" zoomScale="85" zoomScaleNormal="85" workbookViewId="0">
      <selection activeCell="B10" sqref="B10"/>
    </sheetView>
  </sheetViews>
  <sheetFormatPr defaultRowHeight="14.4" x14ac:dyDescent="0.3"/>
  <sheetData>
    <row r="1" spans="1:15" s="1" customFormat="1" x14ac:dyDescent="0.3">
      <c r="A1" s="1" t="s">
        <v>544</v>
      </c>
    </row>
    <row r="2" spans="1:15" x14ac:dyDescent="0.3">
      <c r="A2" s="1" t="s">
        <v>519</v>
      </c>
    </row>
    <row r="3" spans="1:15" x14ac:dyDescent="0.3">
      <c r="B3" s="1" t="s">
        <v>497</v>
      </c>
      <c r="M3" s="12" t="s">
        <v>500</v>
      </c>
    </row>
    <row r="4" spans="1:15" x14ac:dyDescent="0.3">
      <c r="A4" s="1"/>
      <c r="B4" s="8" t="s">
        <v>521</v>
      </c>
      <c r="C4" s="8" t="s">
        <v>522</v>
      </c>
      <c r="D4" s="8" t="s">
        <v>523</v>
      </c>
      <c r="E4" s="8" t="s">
        <v>524</v>
      </c>
      <c r="F4" s="8" t="s">
        <v>525</v>
      </c>
      <c r="G4" s="8" t="s">
        <v>526</v>
      </c>
      <c r="H4" s="8" t="s">
        <v>527</v>
      </c>
      <c r="I4" s="8" t="s">
        <v>528</v>
      </c>
      <c r="J4" s="8" t="s">
        <v>529</v>
      </c>
      <c r="K4" s="8" t="s">
        <v>530</v>
      </c>
      <c r="L4" s="8" t="s">
        <v>531</v>
      </c>
      <c r="M4" s="10" t="s">
        <v>498</v>
      </c>
      <c r="N4" s="8" t="s">
        <v>502</v>
      </c>
      <c r="O4" s="8" t="s">
        <v>506</v>
      </c>
    </row>
    <row r="5" spans="1:15" x14ac:dyDescent="0.3">
      <c r="A5" s="9" t="s">
        <v>66</v>
      </c>
      <c r="B5">
        <f>SUM(S3a!Q15:Q16)</f>
        <v>1.282051282051282E-2</v>
      </c>
      <c r="C5">
        <v>0</v>
      </c>
      <c r="D5">
        <v>0</v>
      </c>
      <c r="E5">
        <v>0</v>
      </c>
      <c r="F5">
        <v>0</v>
      </c>
      <c r="G5">
        <f>SUM(S3a!Q69)</f>
        <v>6.8027210884353739E-3</v>
      </c>
      <c r="H5">
        <f>SUM(S3a!Q93)</f>
        <v>1.8633540372670808E-2</v>
      </c>
      <c r="I5">
        <v>0</v>
      </c>
      <c r="J5">
        <v>0</v>
      </c>
      <c r="K5">
        <v>0</v>
      </c>
      <c r="L5">
        <f>SUM(S3a!Q622:Q623)</f>
        <v>9.6153846153846159E-3</v>
      </c>
      <c r="M5" s="11">
        <f t="shared" ref="M5:M10" si="0">AVERAGE(B5:C5)</f>
        <v>6.41025641025641E-3</v>
      </c>
      <c r="N5">
        <f t="shared" ref="N5:N10" si="1">AVERAGE(D5:F5)</f>
        <v>0</v>
      </c>
      <c r="O5">
        <f>AVERAGE(G5:L5)</f>
        <v>5.8419410127484661E-3</v>
      </c>
    </row>
    <row r="6" spans="1:15" x14ac:dyDescent="0.3">
      <c r="A6" s="9" t="s">
        <v>50</v>
      </c>
      <c r="B6">
        <f>SUM(S3a!Q17:Q22)</f>
        <v>0.23076923076923078</v>
      </c>
      <c r="C6">
        <f>SUM(S3a!Q526:Q537)</f>
        <v>0.16577540106951869</v>
      </c>
      <c r="D6">
        <f>SUM(S3a!Q38:Q48)</f>
        <v>0.25657894736842102</v>
      </c>
      <c r="E6">
        <f>SUM(S3a!Q447:Q458)</f>
        <v>0.29425837320574166</v>
      </c>
      <c r="F6">
        <f>SUM(S3a!Q487:Q500)</f>
        <v>0.40399002493765596</v>
      </c>
      <c r="G6">
        <f>SUM(S3a!Q70:Q77)</f>
        <v>0.12925170068027209</v>
      </c>
      <c r="H6">
        <f>SUM(S3a!Q94:Q104)</f>
        <v>0.47204968944099385</v>
      </c>
      <c r="I6">
        <f>SUM(S3a!Q122:Q130)</f>
        <v>0.50505050505050508</v>
      </c>
      <c r="J6">
        <f>SUM(S3a!Q562:Q573)</f>
        <v>0.17314487632508832</v>
      </c>
      <c r="K6">
        <f>SUM(S3a!Q593:Q606)</f>
        <v>0.52554744525547448</v>
      </c>
      <c r="L6">
        <f>SUM(S3a!Q624:Q634)</f>
        <v>0.51442307692307698</v>
      </c>
      <c r="M6" s="11">
        <f t="shared" si="0"/>
        <v>0.19827231591937472</v>
      </c>
      <c r="N6">
        <f t="shared" si="1"/>
        <v>0.31827578183727284</v>
      </c>
      <c r="O6">
        <f>AVERAGE(G6:L6)</f>
        <v>0.38657788227923512</v>
      </c>
    </row>
    <row r="7" spans="1:15" x14ac:dyDescent="0.3">
      <c r="A7" s="9" t="s">
        <v>27</v>
      </c>
      <c r="B7">
        <f>SUM(S3a!Q2:Q12)</f>
        <v>0.5448717948717946</v>
      </c>
      <c r="C7">
        <f>SUM(S3a!Q512:Q523)</f>
        <v>0.64705882352941202</v>
      </c>
      <c r="D7">
        <f>SUM(S3a!Q30:Q35)</f>
        <v>0.5625</v>
      </c>
      <c r="E7">
        <f>SUM(S3a!Q433:Q441)</f>
        <v>0.42583732057416274</v>
      </c>
      <c r="F7">
        <f>SUM(S3a!Q472:Q482)</f>
        <v>0.2793017456359102</v>
      </c>
      <c r="G7">
        <f>SUM(S3a!Q58:Q64)</f>
        <v>0.72108843537414979</v>
      </c>
      <c r="H7">
        <f>SUM(S3a!Q86:Q90)</f>
        <v>0.14285714285714288</v>
      </c>
      <c r="I7">
        <f>SUM(S3a!Q114:Q118)</f>
        <v>0.25252525252525254</v>
      </c>
      <c r="J7">
        <f>SUM(S3a!Q547:Q558)</f>
        <v>0.67491166077738551</v>
      </c>
      <c r="K7">
        <f>SUM(S3a!Q582:Q589)</f>
        <v>0.13868613138686131</v>
      </c>
      <c r="L7">
        <f>SUM(S3a!Q612:Q615)</f>
        <v>7.2115384615384609E-2</v>
      </c>
      <c r="M7" s="11">
        <f t="shared" si="0"/>
        <v>0.59596530920060331</v>
      </c>
      <c r="N7">
        <f t="shared" si="1"/>
        <v>0.42254635540335767</v>
      </c>
      <c r="O7">
        <f>AVERAGE(G7:L7)</f>
        <v>0.33369733458936279</v>
      </c>
    </row>
    <row r="8" spans="1:15" x14ac:dyDescent="0.3">
      <c r="A8" s="9" t="s">
        <v>60</v>
      </c>
      <c r="B8">
        <f>SUM(S3a!Q23:Q24)</f>
        <v>4.4871794871794872E-2</v>
      </c>
      <c r="C8">
        <f>SUM(S3a!Q538:Q540)</f>
        <v>4.812834224598931E-2</v>
      </c>
      <c r="D8">
        <f>SUM(S3a!Q49:Q51)</f>
        <v>4.6052631578947359E-2</v>
      </c>
      <c r="E8">
        <f>SUM(S3a!Q459:Q460)</f>
        <v>2.1531100478468897E-2</v>
      </c>
      <c r="F8">
        <f>SUM(S3a!Q501)</f>
        <v>1.2468827930174564E-2</v>
      </c>
      <c r="G8">
        <f>SUM(S3a!Q78:Q79)</f>
        <v>2.7210884353741496E-2</v>
      </c>
      <c r="H8">
        <f>SUM(S3a!Q105:Q107)</f>
        <v>2.4844720496894408E-2</v>
      </c>
      <c r="I8">
        <f>SUM(S3a!Q131:Q132)</f>
        <v>2.0202020202020204E-2</v>
      </c>
      <c r="J8">
        <f>SUM(S3a!Q574:Q575)</f>
        <v>5.3003533568904596E-2</v>
      </c>
      <c r="K8">
        <f>SUM(S3a!Q607)</f>
        <v>3.6496350364963501E-2</v>
      </c>
      <c r="L8">
        <f>SUM(S3a!Q635:Q638)</f>
        <v>4.3269230769230768E-2</v>
      </c>
      <c r="M8" s="11">
        <f t="shared" si="0"/>
        <v>4.6500068558892091E-2</v>
      </c>
      <c r="N8">
        <f t="shared" si="1"/>
        <v>2.6684186662530276E-2</v>
      </c>
      <c r="O8">
        <f t="shared" ref="O8:O10" si="2">AVERAGE(G8:L8)</f>
        <v>3.4171123292625831E-2</v>
      </c>
    </row>
    <row r="9" spans="1:15" x14ac:dyDescent="0.3">
      <c r="A9" s="9" t="s">
        <v>93</v>
      </c>
      <c r="B9">
        <f>SUM(S3a!Q13:Q14)</f>
        <v>9.6153846153846145E-2</v>
      </c>
      <c r="C9">
        <f>SUM(S3a!Q524:Q525)</f>
        <v>6.4171122994652399E-2</v>
      </c>
      <c r="D9">
        <f>SUM(S3a!Q36:Q37)</f>
        <v>5.5921052631578941E-2</v>
      </c>
      <c r="E9">
        <f>SUM(S3a!Q442:Q446)</f>
        <v>0.14354066985645933</v>
      </c>
      <c r="F9">
        <f>SUM(S3a!Q483:Q486)</f>
        <v>0.15960099750623441</v>
      </c>
      <c r="G9">
        <f>SUM(S3a!Q65:Q68)</f>
        <v>6.1224489795918373E-2</v>
      </c>
      <c r="H9">
        <f>SUM(S3a!Q91:Q92)</f>
        <v>8.6956521739130432E-2</v>
      </c>
      <c r="I9">
        <f>SUM(S3a!Q119:Q121)</f>
        <v>0.10101010101010101</v>
      </c>
      <c r="J9">
        <f>SUM(S3a!Q559:Q561)</f>
        <v>3.180212014134276E-2</v>
      </c>
      <c r="K9">
        <f>SUM(S3a!Q590:Q592)</f>
        <v>0.24817518248175185</v>
      </c>
      <c r="L9">
        <f>SUM(S3a!Q616:Q621)</f>
        <v>0.25961538461538458</v>
      </c>
      <c r="M9" s="11">
        <f t="shared" si="0"/>
        <v>8.0162484574249265E-2</v>
      </c>
      <c r="N9">
        <f t="shared" si="1"/>
        <v>0.11968757333142423</v>
      </c>
      <c r="O9">
        <f t="shared" si="2"/>
        <v>0.13146396663060483</v>
      </c>
    </row>
    <row r="10" spans="1:15" x14ac:dyDescent="0.3">
      <c r="A10" s="9" t="s">
        <v>100</v>
      </c>
      <c r="B10">
        <f>SUM(S3a!Q25:Q28)</f>
        <v>7.0512820512820512E-2</v>
      </c>
      <c r="C10">
        <f>SUM(S3a!Q541:Q545)</f>
        <v>7.4866310160427801E-2</v>
      </c>
      <c r="D10">
        <f>SUM(S3a!Q52:Q56)</f>
        <v>7.8947368421052613E-2</v>
      </c>
      <c r="E10">
        <f>SUM(S3a!Q461:Q470)</f>
        <v>0.11483253588516747</v>
      </c>
      <c r="F10">
        <f>SUM(S3a!Q502:Q510)</f>
        <v>0.14463840399002495</v>
      </c>
      <c r="G10">
        <f>SUM(S3a!Q80:Q84)</f>
        <v>5.4421768707482991E-2</v>
      </c>
      <c r="H10">
        <f>SUM(S3a!Q108:Q112)</f>
        <v>0.25465838509316768</v>
      </c>
      <c r="I10">
        <f>SUM(S3a!Q133:Q136)</f>
        <v>0.12121212121212122</v>
      </c>
      <c r="J10">
        <f>SUM(S3a!Q576:Q580)</f>
        <v>6.7137809187279143E-2</v>
      </c>
      <c r="K10">
        <f>SUM(S3a!Q608:Q610)</f>
        <v>5.1094890510948905E-2</v>
      </c>
      <c r="L10">
        <f>SUM(S3a!Q639:Q642)</f>
        <v>0.10096153846153846</v>
      </c>
      <c r="M10" s="11">
        <f t="shared" si="0"/>
        <v>7.2689565336624157E-2</v>
      </c>
      <c r="N10">
        <f t="shared" si="1"/>
        <v>0.11280610276541501</v>
      </c>
      <c r="O10">
        <f t="shared" si="2"/>
        <v>0.10824775219542306</v>
      </c>
    </row>
    <row r="13" spans="1:15" x14ac:dyDescent="0.3">
      <c r="B13" s="1" t="s">
        <v>507</v>
      </c>
      <c r="I13" s="12" t="s">
        <v>500</v>
      </c>
    </row>
    <row r="14" spans="1:15" x14ac:dyDescent="0.3">
      <c r="B14" s="8" t="s">
        <v>532</v>
      </c>
      <c r="C14" s="8" t="s">
        <v>533</v>
      </c>
      <c r="D14" s="8" t="s">
        <v>534</v>
      </c>
      <c r="E14" s="8" t="s">
        <v>535</v>
      </c>
      <c r="F14" s="8" t="s">
        <v>536</v>
      </c>
      <c r="G14" s="8" t="s">
        <v>537</v>
      </c>
      <c r="H14" s="8" t="s">
        <v>538</v>
      </c>
      <c r="I14" s="10" t="s">
        <v>508</v>
      </c>
      <c r="J14" s="8" t="s">
        <v>509</v>
      </c>
      <c r="K14" s="8" t="s">
        <v>510</v>
      </c>
    </row>
    <row r="15" spans="1:15" x14ac:dyDescent="0.3">
      <c r="A15" s="9" t="s">
        <v>66</v>
      </c>
      <c r="B15">
        <f>SUM(S3a!Q153:Q155)</f>
        <v>1.2953367875647669E-2</v>
      </c>
      <c r="C15">
        <v>0</v>
      </c>
      <c r="D15">
        <v>0</v>
      </c>
      <c r="E15">
        <v>0</v>
      </c>
      <c r="F15">
        <v>0</v>
      </c>
      <c r="G15">
        <v>0</v>
      </c>
      <c r="H15">
        <f>S3a!Q405</f>
        <v>2.34192037470726E-3</v>
      </c>
      <c r="I15" s="11">
        <f>AVERAGE(B15:F15)</f>
        <v>2.5906735751295338E-3</v>
      </c>
      <c r="J15">
        <f>AVERAGE(G15:H15)</f>
        <v>1.17096018735363E-3</v>
      </c>
      <c r="K15">
        <f>AVERAGE(G15:H15)</f>
        <v>1.17096018735363E-3</v>
      </c>
    </row>
    <row r="16" spans="1:15" x14ac:dyDescent="0.3">
      <c r="A16" s="9" t="s">
        <v>50</v>
      </c>
      <c r="B16">
        <f>SUM(S3a!Q156:Q175)</f>
        <v>0.64248704663212453</v>
      </c>
      <c r="C16">
        <f>SUM(S3a!Q192:Q206)</f>
        <v>0.62022900763358757</v>
      </c>
      <c r="D16">
        <f>SUM(S3a!Q222:Q240)</f>
        <v>0.4216589861751151</v>
      </c>
      <c r="E16">
        <f>SUM(S3a!Q258:Q281)</f>
        <v>0.70703125</v>
      </c>
      <c r="F16">
        <f>SUM(S3a!Q299:Q312)</f>
        <v>0.70559610705596087</v>
      </c>
      <c r="G16">
        <f>SUM(S3a!Q335:Q352)</f>
        <v>0.52023121387283255</v>
      </c>
      <c r="H16">
        <f>SUM(S3a!Q406:Q425)</f>
        <v>0.7704918032786886</v>
      </c>
      <c r="I16" s="11">
        <f t="shared" ref="I16:I20" si="3">AVERAGE(B16:F16)</f>
        <v>0.61940047949935761</v>
      </c>
      <c r="J16">
        <f t="shared" ref="J16:J20" si="4">AVERAGE(G16:H16)</f>
        <v>0.64536150857576058</v>
      </c>
      <c r="K16">
        <f t="shared" ref="K16:K20" si="5">AVERAGE(G16:H16)</f>
        <v>0.64536150857576058</v>
      </c>
    </row>
    <row r="17" spans="1:11" x14ac:dyDescent="0.3">
      <c r="A17" s="9" t="s">
        <v>27</v>
      </c>
      <c r="B17">
        <f>SUM(S3a!Q138:Q144)</f>
        <v>0.26683937823834203</v>
      </c>
      <c r="C17">
        <f>SUM(S3a!Q184:Q188)</f>
        <v>0.28244274809160302</v>
      </c>
      <c r="D17">
        <f>SUM(S3a!Q213:Q217)</f>
        <v>0.43778801843317966</v>
      </c>
      <c r="E17">
        <f>SUM(S3a!Q246:Q252)</f>
        <v>0.142578125</v>
      </c>
      <c r="F17">
        <f>SUM(S3a!Q289:Q293)</f>
        <v>0.13625304136253041</v>
      </c>
      <c r="G17">
        <f>SUM(S3a!Q321:Q330)</f>
        <v>0.4373795761078999</v>
      </c>
      <c r="H17">
        <f>SUM(S3a!Q393:Q402)</f>
        <v>0.15925058548009369</v>
      </c>
      <c r="I17" s="11">
        <f t="shared" si="3"/>
        <v>0.25318026222513101</v>
      </c>
      <c r="J17">
        <f t="shared" si="4"/>
        <v>0.29831508079399682</v>
      </c>
      <c r="K17">
        <f t="shared" si="5"/>
        <v>0.29831508079399682</v>
      </c>
    </row>
    <row r="18" spans="1:11" x14ac:dyDescent="0.3">
      <c r="A18" s="9" t="s">
        <v>60</v>
      </c>
      <c r="B18">
        <f>SUM(S3a!Q176:Q177)</f>
        <v>7.7720207253886009E-3</v>
      </c>
      <c r="C18">
        <f>SUM(S3a!Q207)</f>
        <v>1.9083969465648854E-3</v>
      </c>
      <c r="D18">
        <f>SUM(S3a!Q241:Q243)</f>
        <v>1.6129032258064516E-2</v>
      </c>
      <c r="E18">
        <f>SUM(S3a!Q282:Q283)</f>
        <v>2.734375E-2</v>
      </c>
      <c r="F18">
        <f>SUM(S3a!Q313:Q315)</f>
        <v>1.9464720194647202E-2</v>
      </c>
      <c r="G18">
        <f>SUM(S3a!Q353:Q354)</f>
        <v>1.1560693641618497E-2</v>
      </c>
      <c r="H18">
        <f>SUM(S3a!Q426:Q427)</f>
        <v>7.0257611241217799E-3</v>
      </c>
      <c r="I18" s="11">
        <f t="shared" si="3"/>
        <v>1.4523584024933043E-2</v>
      </c>
      <c r="J18">
        <f t="shared" si="4"/>
        <v>9.2932273828701378E-3</v>
      </c>
      <c r="K18">
        <f t="shared" si="5"/>
        <v>9.2932273828701378E-3</v>
      </c>
    </row>
    <row r="19" spans="1:11" x14ac:dyDescent="0.3">
      <c r="A19" s="9" t="s">
        <v>93</v>
      </c>
      <c r="B19">
        <f>SUM(S3a!Q145:Q152)</f>
        <v>3.10880829015544E-2</v>
      </c>
      <c r="C19">
        <f>SUM(S3a!Q189:Q191)</f>
        <v>7.6335877862595422E-2</v>
      </c>
      <c r="D19">
        <f>SUM(S3a!Q218:Q221)</f>
        <v>0.11751152073732718</v>
      </c>
      <c r="E19">
        <f>SUM(S3a!Q253:Q257)</f>
        <v>0.10546875</v>
      </c>
      <c r="F19">
        <f>SUM(S3a!Q294:Q298)</f>
        <v>0.1143552311435523</v>
      </c>
      <c r="G19">
        <f>SUM(S3a!Q331:Q334)</f>
        <v>2.119460500963391E-2</v>
      </c>
      <c r="H19">
        <f>SUM(S3a!Q403:Q404)</f>
        <v>3.9812646370023415E-2</v>
      </c>
      <c r="I19" s="11">
        <f t="shared" si="3"/>
        <v>8.8951892529005858E-2</v>
      </c>
      <c r="J19">
        <f t="shared" si="4"/>
        <v>3.0503625689828662E-2</v>
      </c>
      <c r="K19">
        <f t="shared" si="5"/>
        <v>3.0503625689828662E-2</v>
      </c>
    </row>
    <row r="20" spans="1:11" x14ac:dyDescent="0.3">
      <c r="A20" s="9" t="s">
        <v>100</v>
      </c>
      <c r="B20">
        <f>SUM(S3a!Q178:Q182)</f>
        <v>3.8860103626943004E-2</v>
      </c>
      <c r="C20">
        <f>SUM(S3a!Q208:Q211)</f>
        <v>1.9083969465648856E-2</v>
      </c>
      <c r="D20">
        <f>SUM(S3a!Q244)</f>
        <v>6.9124423963133645E-3</v>
      </c>
      <c r="E20">
        <f>SUM(S3a!Q284:Q287)</f>
        <v>1.7578125E-2</v>
      </c>
      <c r="F20">
        <f>SUM(S3a!Q316:Q319)</f>
        <v>2.4330900243309004E-2</v>
      </c>
      <c r="G20">
        <f>SUM(S3a!Q355:Q357)</f>
        <v>9.6339113680154135E-3</v>
      </c>
      <c r="H20">
        <f>SUM(S3a!Q428:Q431)</f>
        <v>2.1077283372365342E-2</v>
      </c>
      <c r="I20" s="11">
        <f t="shared" si="3"/>
        <v>2.1353108146442847E-2</v>
      </c>
      <c r="J20">
        <f t="shared" si="4"/>
        <v>1.5355597370190377E-2</v>
      </c>
      <c r="K20">
        <f t="shared" si="5"/>
        <v>1.5355597370190377E-2</v>
      </c>
    </row>
    <row r="24" spans="1:11" x14ac:dyDescent="0.3">
      <c r="B24" s="1" t="s">
        <v>511</v>
      </c>
      <c r="D24" s="12" t="s">
        <v>500</v>
      </c>
    </row>
    <row r="25" spans="1:11" x14ac:dyDescent="0.3">
      <c r="B25" s="10" t="s">
        <v>539</v>
      </c>
      <c r="C25" s="8" t="s">
        <v>540</v>
      </c>
      <c r="D25" s="10" t="s">
        <v>512</v>
      </c>
    </row>
    <row r="26" spans="1:11" x14ac:dyDescent="0.3">
      <c r="A26" s="9" t="s">
        <v>66</v>
      </c>
      <c r="B26" s="11">
        <v>0</v>
      </c>
      <c r="C26">
        <f>S3a!Q380</f>
        <v>8.0321285140562242E-3</v>
      </c>
      <c r="D26" s="11">
        <f>AVERAGE(B26:C26)</f>
        <v>4.0160642570281121E-3</v>
      </c>
    </row>
    <row r="27" spans="1:11" x14ac:dyDescent="0.3">
      <c r="A27" s="9" t="s">
        <v>50</v>
      </c>
      <c r="B27" s="11">
        <f>SUM(S3a!Q365:Q370)</f>
        <v>0.54022988505747127</v>
      </c>
      <c r="C27">
        <f>SUM(S3a!Q381:Q389)</f>
        <v>0.26907630522088349</v>
      </c>
      <c r="D27" s="11">
        <f t="shared" ref="D27:D31" si="6">AVERAGE(B27:C27)</f>
        <v>0.40465309513917735</v>
      </c>
    </row>
    <row r="28" spans="1:11" x14ac:dyDescent="0.3">
      <c r="A28" s="9" t="s">
        <v>27</v>
      </c>
      <c r="B28" s="11">
        <f>SUM(S3a!Q359:Q363)</f>
        <v>0.32183908045977005</v>
      </c>
      <c r="C28">
        <f>SUM(S3a!Q375:Q377)</f>
        <v>0.65863453815261042</v>
      </c>
      <c r="D28" s="11">
        <f t="shared" si="6"/>
        <v>0.49023680930619024</v>
      </c>
    </row>
    <row r="29" spans="1:11" x14ac:dyDescent="0.3">
      <c r="A29" s="9" t="s">
        <v>60</v>
      </c>
      <c r="B29" s="11">
        <f>SUM(S3a!Q371)</f>
        <v>3.4482758620689655E-2</v>
      </c>
      <c r="C29">
        <f>SUM(S3a!Q390)</f>
        <v>4.0160642570281121E-3</v>
      </c>
      <c r="D29" s="11">
        <f t="shared" si="6"/>
        <v>1.9249411438858884E-2</v>
      </c>
    </row>
    <row r="30" spans="1:11" x14ac:dyDescent="0.3">
      <c r="A30" s="9" t="s">
        <v>93</v>
      </c>
      <c r="B30" s="11">
        <f>SUM(S3a!Q364)</f>
        <v>4.5977011494252873E-2</v>
      </c>
      <c r="C30">
        <f>SUM(S3a!Q378:Q379)</f>
        <v>5.2208835341365466E-2</v>
      </c>
      <c r="D30" s="11">
        <f t="shared" si="6"/>
        <v>4.9092923417809173E-2</v>
      </c>
    </row>
    <row r="31" spans="1:11" x14ac:dyDescent="0.3">
      <c r="A31" s="9" t="s">
        <v>100</v>
      </c>
      <c r="B31">
        <f>SUM(S3a!Q372:Q373)</f>
        <v>5.7471264367816091E-2</v>
      </c>
      <c r="C31">
        <f>SUM(S3a!Q391)</f>
        <v>8.0321285140562242E-3</v>
      </c>
      <c r="D31" s="11">
        <f t="shared" si="6"/>
        <v>3.2751696440936159E-2</v>
      </c>
    </row>
    <row r="33" spans="1: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3">
      <c r="A34" s="1"/>
    </row>
    <row r="35" spans="1:15" x14ac:dyDescent="0.3">
      <c r="B35" s="1"/>
    </row>
    <row r="36" spans="1: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">
      <c r="A37" s="1"/>
    </row>
    <row r="38" spans="1:15" x14ac:dyDescent="0.3">
      <c r="A38" s="1"/>
    </row>
    <row r="39" spans="1:15" x14ac:dyDescent="0.3">
      <c r="A39" s="1"/>
    </row>
    <row r="40" spans="1:15" x14ac:dyDescent="0.3">
      <c r="A40" s="1"/>
    </row>
    <row r="41" spans="1:15" x14ac:dyDescent="0.3">
      <c r="A41" s="1"/>
    </row>
    <row r="42" spans="1:15" x14ac:dyDescent="0.3">
      <c r="A42" s="1"/>
    </row>
    <row r="45" spans="1:15" x14ac:dyDescent="0.3">
      <c r="B45" s="1"/>
    </row>
    <row r="46" spans="1:15" x14ac:dyDescent="0.3">
      <c r="B46" s="1"/>
      <c r="C46" s="1"/>
      <c r="D46" s="1"/>
      <c r="E46" s="1"/>
      <c r="F46" s="1"/>
      <c r="G46" s="1"/>
      <c r="H46" s="1"/>
    </row>
    <row r="47" spans="1:15" x14ac:dyDescent="0.3">
      <c r="A47" s="1"/>
    </row>
    <row r="48" spans="1:15" x14ac:dyDescent="0.3">
      <c r="A48" s="1"/>
    </row>
    <row r="49" spans="1:3" x14ac:dyDescent="0.3">
      <c r="A49" s="1"/>
    </row>
    <row r="50" spans="1:3" x14ac:dyDescent="0.3">
      <c r="A50" s="1"/>
    </row>
    <row r="51" spans="1:3" x14ac:dyDescent="0.3">
      <c r="A51" s="1"/>
    </row>
    <row r="52" spans="1:3" x14ac:dyDescent="0.3">
      <c r="A52" s="1"/>
    </row>
    <row r="56" spans="1:3" x14ac:dyDescent="0.3">
      <c r="B56" s="1"/>
    </row>
    <row r="57" spans="1:3" x14ac:dyDescent="0.3">
      <c r="B57" s="12"/>
      <c r="C57" s="1"/>
    </row>
    <row r="58" spans="1:3" x14ac:dyDescent="0.3">
      <c r="A58" s="1"/>
      <c r="B58" s="11"/>
    </row>
    <row r="59" spans="1:3" x14ac:dyDescent="0.3">
      <c r="A59" s="1"/>
      <c r="B59" s="11"/>
    </row>
    <row r="60" spans="1:3" x14ac:dyDescent="0.3">
      <c r="A60" s="1"/>
      <c r="B60" s="11"/>
    </row>
    <row r="61" spans="1:3" x14ac:dyDescent="0.3">
      <c r="A61" s="1"/>
      <c r="B61" s="11"/>
    </row>
    <row r="62" spans="1:3" x14ac:dyDescent="0.3">
      <c r="A62" s="1"/>
      <c r="B62" s="1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B666-4C0E-443B-8812-4EBF5FF5A81B}">
  <dimension ref="A1:K35"/>
  <sheetViews>
    <sheetView tabSelected="1" topLeftCell="A13" workbookViewId="0">
      <selection activeCell="M18" sqref="M18"/>
    </sheetView>
  </sheetViews>
  <sheetFormatPr defaultRowHeight="14.4" x14ac:dyDescent="0.3"/>
  <cols>
    <col min="4" max="4" width="14.44140625" customWidth="1"/>
    <col min="5" max="5" width="18.109375" customWidth="1"/>
    <col min="10" max="10" width="19.44140625" customWidth="1"/>
  </cols>
  <sheetData>
    <row r="1" spans="1:11" x14ac:dyDescent="0.3">
      <c r="A1" t="s">
        <v>1</v>
      </c>
      <c r="B1" t="s">
        <v>573</v>
      </c>
      <c r="C1" t="s">
        <v>570</v>
      </c>
      <c r="D1" t="s">
        <v>571</v>
      </c>
      <c r="E1" t="s">
        <v>572</v>
      </c>
      <c r="F1" t="s">
        <v>574</v>
      </c>
      <c r="I1" t="s">
        <v>583</v>
      </c>
      <c r="J1" s="19" t="s">
        <v>577</v>
      </c>
      <c r="K1" t="s">
        <v>581</v>
      </c>
    </row>
    <row r="2" spans="1:11" x14ac:dyDescent="0.3">
      <c r="A2" t="s">
        <v>508</v>
      </c>
      <c r="B2">
        <v>21</v>
      </c>
      <c r="C2">
        <v>302.38172344000003</v>
      </c>
      <c r="D2">
        <v>213</v>
      </c>
      <c r="E2">
        <v>89.38172344000003</v>
      </c>
      <c r="F2" t="s">
        <v>575</v>
      </c>
      <c r="G2" t="s">
        <v>585</v>
      </c>
      <c r="J2" t="s">
        <v>579</v>
      </c>
      <c r="K2">
        <f>68.77/37.93</f>
        <v>1.8130767202741893</v>
      </c>
    </row>
    <row r="3" spans="1:11" x14ac:dyDescent="0.3">
      <c r="A3" t="s">
        <v>508</v>
      </c>
      <c r="B3">
        <v>21</v>
      </c>
      <c r="C3">
        <v>4.5172666666666679</v>
      </c>
      <c r="D3">
        <v>13.7</v>
      </c>
      <c r="E3">
        <v>9.1827333333333314</v>
      </c>
      <c r="F3" t="s">
        <v>576</v>
      </c>
      <c r="G3" t="s">
        <v>585</v>
      </c>
      <c r="I3" t="s">
        <v>584</v>
      </c>
      <c r="J3" s="19" t="s">
        <v>488</v>
      </c>
    </row>
    <row r="4" spans="1:11" x14ac:dyDescent="0.3">
      <c r="A4" t="s">
        <v>508</v>
      </c>
      <c r="B4">
        <v>21</v>
      </c>
      <c r="C4">
        <v>30.818999999999999</v>
      </c>
      <c r="D4">
        <v>30.3</v>
      </c>
      <c r="E4">
        <v>0.51899999999999835</v>
      </c>
      <c r="F4" t="s">
        <v>50</v>
      </c>
      <c r="G4" t="s">
        <v>585</v>
      </c>
      <c r="J4" t="s">
        <v>578</v>
      </c>
      <c r="K4" t="s">
        <v>582</v>
      </c>
    </row>
    <row r="5" spans="1:11" x14ac:dyDescent="0.3">
      <c r="A5" t="s">
        <v>508</v>
      </c>
      <c r="B5">
        <v>21</v>
      </c>
      <c r="C5">
        <f>S3b!I28</f>
        <v>3736.4504903571665</v>
      </c>
      <c r="D5">
        <f>C5*K2</f>
        <v>6774.4714005236574</v>
      </c>
      <c r="E5">
        <f>D5-C5</f>
        <v>3038.0209101664909</v>
      </c>
      <c r="F5" t="s">
        <v>494</v>
      </c>
      <c r="G5" t="s">
        <v>583</v>
      </c>
      <c r="I5" t="s">
        <v>585</v>
      </c>
      <c r="J5" t="s">
        <v>586</v>
      </c>
    </row>
    <row r="6" spans="1:11" x14ac:dyDescent="0.3">
      <c r="A6" t="s">
        <v>508</v>
      </c>
      <c r="B6">
        <v>21</v>
      </c>
      <c r="C6">
        <f>S3b!K28</f>
        <v>2187.8865901267536</v>
      </c>
      <c r="D6">
        <f>C6*2^((D3-C3)/10)</f>
        <v>4134.7820666734278</v>
      </c>
      <c r="E6">
        <f>D6-C6</f>
        <v>1946.8954765466742</v>
      </c>
      <c r="F6" t="s">
        <v>495</v>
      </c>
      <c r="G6" t="s">
        <v>584</v>
      </c>
    </row>
    <row r="7" spans="1:11" x14ac:dyDescent="0.3">
      <c r="A7" t="s">
        <v>580</v>
      </c>
      <c r="B7">
        <v>41</v>
      </c>
      <c r="C7">
        <v>284.76688659999996</v>
      </c>
      <c r="D7">
        <v>204</v>
      </c>
      <c r="E7">
        <v>80.766886599999978</v>
      </c>
      <c r="F7" t="s">
        <v>575</v>
      </c>
      <c r="G7" t="s">
        <v>585</v>
      </c>
    </row>
    <row r="8" spans="1:11" x14ac:dyDescent="0.3">
      <c r="A8" t="s">
        <v>580</v>
      </c>
      <c r="B8">
        <v>41</v>
      </c>
      <c r="C8">
        <v>5.4864999999999977</v>
      </c>
      <c r="D8">
        <v>12.1</v>
      </c>
      <c r="E8">
        <v>6.6135000000000019</v>
      </c>
      <c r="F8" t="s">
        <v>576</v>
      </c>
      <c r="G8" t="s">
        <v>585</v>
      </c>
    </row>
    <row r="9" spans="1:11" x14ac:dyDescent="0.3">
      <c r="A9" t="s">
        <v>580</v>
      </c>
      <c r="B9">
        <v>41</v>
      </c>
      <c r="C9">
        <v>33.516249999999999</v>
      </c>
      <c r="D9">
        <v>33.5</v>
      </c>
      <c r="E9">
        <v>-1.6250000000002984E-2</v>
      </c>
      <c r="F9" t="s">
        <v>50</v>
      </c>
      <c r="G9" t="s">
        <v>585</v>
      </c>
    </row>
    <row r="10" spans="1:11" x14ac:dyDescent="0.3">
      <c r="A10" t="s">
        <v>580</v>
      </c>
      <c r="B10">
        <v>41</v>
      </c>
      <c r="C10">
        <f>S3b!I31</f>
        <v>3408.5163228135525</v>
      </c>
      <c r="D10">
        <f>C10*K2</f>
        <v>6179.901595567836</v>
      </c>
      <c r="E10">
        <f t="shared" ref="E10:E11" si="0">D10-C10</f>
        <v>2771.3852727542835</v>
      </c>
      <c r="F10" t="s">
        <v>494</v>
      </c>
      <c r="G10" t="s">
        <v>583</v>
      </c>
    </row>
    <row r="11" spans="1:11" x14ac:dyDescent="0.3">
      <c r="A11" t="s">
        <v>580</v>
      </c>
      <c r="B11">
        <v>41</v>
      </c>
      <c r="C11">
        <f>S3b!K31</f>
        <v>1745.1127817080451</v>
      </c>
      <c r="D11">
        <f>C11*2^((D28-C28)/10)</f>
        <v>2904.7223652763305</v>
      </c>
      <c r="E11">
        <f t="shared" si="0"/>
        <v>1159.6095835682854</v>
      </c>
      <c r="F11" t="s">
        <v>495</v>
      </c>
      <c r="G11" t="s">
        <v>584</v>
      </c>
    </row>
    <row r="12" spans="1:11" x14ac:dyDescent="0.3">
      <c r="A12" t="s">
        <v>506</v>
      </c>
      <c r="B12">
        <v>40</v>
      </c>
      <c r="C12">
        <v>270.33944533333329</v>
      </c>
      <c r="D12">
        <v>200.33020571428571</v>
      </c>
      <c r="E12">
        <v>70.009239619047577</v>
      </c>
      <c r="F12" t="s">
        <v>575</v>
      </c>
      <c r="G12" t="s">
        <v>585</v>
      </c>
    </row>
    <row r="13" spans="1:11" x14ac:dyDescent="0.3">
      <c r="A13" t="s">
        <v>506</v>
      </c>
      <c r="B13">
        <v>40</v>
      </c>
      <c r="C13">
        <v>6.9253846153846155</v>
      </c>
      <c r="D13">
        <v>13.536666666666667</v>
      </c>
      <c r="E13">
        <v>6.6112820512820516</v>
      </c>
      <c r="F13" t="s">
        <v>576</v>
      </c>
      <c r="G13" t="s">
        <v>585</v>
      </c>
    </row>
    <row r="14" spans="1:11" x14ac:dyDescent="0.3">
      <c r="A14" t="s">
        <v>506</v>
      </c>
      <c r="B14">
        <v>40</v>
      </c>
      <c r="C14">
        <v>33.764615384615389</v>
      </c>
      <c r="D14">
        <v>33.551666666666662</v>
      </c>
      <c r="E14">
        <v>0.21294871794872705</v>
      </c>
      <c r="F14" t="s">
        <v>50</v>
      </c>
      <c r="G14" t="s">
        <v>585</v>
      </c>
    </row>
    <row r="15" spans="1:11" x14ac:dyDescent="0.3">
      <c r="A15" t="s">
        <v>506</v>
      </c>
      <c r="B15">
        <v>40</v>
      </c>
      <c r="C15">
        <f>S3b!I20</f>
        <v>3125.3151917466321</v>
      </c>
      <c r="D15">
        <f>C15*K2</f>
        <v>5666.4362176750828</v>
      </c>
      <c r="E15">
        <f>D15-C15</f>
        <v>2541.1210259284508</v>
      </c>
      <c r="F15" t="s">
        <v>494</v>
      </c>
      <c r="G15" t="s">
        <v>583</v>
      </c>
    </row>
    <row r="16" spans="1:11" x14ac:dyDescent="0.3">
      <c r="A16" t="s">
        <v>506</v>
      </c>
      <c r="B16">
        <v>40</v>
      </c>
      <c r="C16">
        <f>S3b!K20</f>
        <v>3962.4432697947359</v>
      </c>
      <c r="D16">
        <f>C16*2^((D13-C13)/10)</f>
        <v>6265.8858418708187</v>
      </c>
      <c r="E16">
        <f>D16-C16</f>
        <v>2303.4425720760828</v>
      </c>
      <c r="F16" t="s">
        <v>495</v>
      </c>
      <c r="G16" t="s">
        <v>584</v>
      </c>
    </row>
    <row r="17" spans="1:7" x14ac:dyDescent="0.3">
      <c r="A17" t="s">
        <v>502</v>
      </c>
      <c r="B17">
        <v>118</v>
      </c>
      <c r="C17">
        <v>204.80452400000001</v>
      </c>
      <c r="D17">
        <v>107</v>
      </c>
      <c r="E17">
        <f>C17-D17</f>
        <v>97.804524000000015</v>
      </c>
      <c r="F17" t="s">
        <v>575</v>
      </c>
      <c r="G17" t="s">
        <v>585</v>
      </c>
    </row>
    <row r="18" spans="1:7" x14ac:dyDescent="0.3">
      <c r="A18" t="s">
        <v>502</v>
      </c>
      <c r="B18">
        <v>118</v>
      </c>
      <c r="C18">
        <v>6.75</v>
      </c>
      <c r="D18">
        <v>6.9</v>
      </c>
      <c r="E18">
        <f t="shared" ref="E18:E35" si="1">C18-D18</f>
        <v>-0.15000000000000036</v>
      </c>
      <c r="F18" t="s">
        <v>576</v>
      </c>
      <c r="G18" t="s">
        <v>585</v>
      </c>
    </row>
    <row r="19" spans="1:7" x14ac:dyDescent="0.3">
      <c r="A19" t="s">
        <v>502</v>
      </c>
      <c r="B19">
        <v>118</v>
      </c>
      <c r="C19">
        <v>34.4</v>
      </c>
      <c r="D19">
        <v>34.4</v>
      </c>
      <c r="E19">
        <f t="shared" si="1"/>
        <v>0</v>
      </c>
      <c r="F19" t="s">
        <v>50</v>
      </c>
      <c r="G19" t="s">
        <v>585</v>
      </c>
    </row>
    <row r="20" spans="1:7" x14ac:dyDescent="0.3">
      <c r="A20" t="s">
        <v>502</v>
      </c>
      <c r="B20">
        <v>118</v>
      </c>
      <c r="C20">
        <f>S3b!I11</f>
        <v>3571.1489069834279</v>
      </c>
      <c r="D20">
        <f>C20*K2</f>
        <v>6474.766947884269</v>
      </c>
      <c r="E20">
        <f t="shared" si="1"/>
        <v>-2903.6180409008412</v>
      </c>
      <c r="F20" t="s">
        <v>494</v>
      </c>
      <c r="G20" t="s">
        <v>583</v>
      </c>
    </row>
    <row r="21" spans="1:7" x14ac:dyDescent="0.3">
      <c r="A21" t="s">
        <v>502</v>
      </c>
      <c r="B21">
        <v>118</v>
      </c>
      <c r="C21">
        <f>S3b!K11</f>
        <v>3175.0922633474102</v>
      </c>
      <c r="D21">
        <f>C21*2^((D18-C18)/10)</f>
        <v>3208.2765702283232</v>
      </c>
      <c r="E21">
        <f t="shared" si="1"/>
        <v>-33.184306880913027</v>
      </c>
      <c r="F21" t="s">
        <v>495</v>
      </c>
      <c r="G21" t="s">
        <v>584</v>
      </c>
    </row>
    <row r="22" spans="1:7" x14ac:dyDescent="0.3">
      <c r="A22" t="s">
        <v>498</v>
      </c>
      <c r="B22">
        <v>44</v>
      </c>
      <c r="C22">
        <v>226.38844432000002</v>
      </c>
      <c r="D22">
        <v>189.86284613333333</v>
      </c>
      <c r="E22">
        <f t="shared" si="1"/>
        <v>36.525598186666684</v>
      </c>
      <c r="F22" t="s">
        <v>575</v>
      </c>
      <c r="G22" t="s">
        <v>585</v>
      </c>
    </row>
    <row r="23" spans="1:7" x14ac:dyDescent="0.3">
      <c r="A23" t="s">
        <v>498</v>
      </c>
      <c r="B23">
        <v>44</v>
      </c>
      <c r="C23">
        <v>6.5628000000000002</v>
      </c>
      <c r="D23">
        <v>9.8493333333333339</v>
      </c>
      <c r="E23">
        <f t="shared" si="1"/>
        <v>-3.2865333333333338</v>
      </c>
      <c r="F23" t="s">
        <v>576</v>
      </c>
      <c r="G23" t="s">
        <v>585</v>
      </c>
    </row>
    <row r="24" spans="1:7" x14ac:dyDescent="0.3">
      <c r="A24" t="s">
        <v>498</v>
      </c>
      <c r="B24">
        <v>44</v>
      </c>
      <c r="C24">
        <v>33.755200000000002</v>
      </c>
      <c r="D24">
        <v>32.903999999999996</v>
      </c>
      <c r="E24">
        <f t="shared" si="1"/>
        <v>0.85120000000000573</v>
      </c>
      <c r="F24" t="s">
        <v>50</v>
      </c>
      <c r="G24" t="s">
        <v>585</v>
      </c>
    </row>
    <row r="25" spans="1:7" x14ac:dyDescent="0.3">
      <c r="A25" t="s">
        <v>498</v>
      </c>
      <c r="B25">
        <v>44</v>
      </c>
      <c r="C25">
        <f>S3b!I5</f>
        <v>4197.5237951565887</v>
      </c>
      <c r="D25">
        <f>C25*K2</f>
        <v>7610.4326757953759</v>
      </c>
      <c r="E25">
        <f t="shared" si="1"/>
        <v>-3412.9088806387872</v>
      </c>
      <c r="F25" t="s">
        <v>494</v>
      </c>
      <c r="G25" t="s">
        <v>583</v>
      </c>
    </row>
    <row r="26" spans="1:7" x14ac:dyDescent="0.3">
      <c r="A26" t="s">
        <v>498</v>
      </c>
      <c r="B26">
        <v>44</v>
      </c>
      <c r="C26">
        <f>S3b!K5</f>
        <v>5287.8150304092287</v>
      </c>
      <c r="D26">
        <f>C26*2^((D23-C23)/10)</f>
        <v>6640.6526823907825</v>
      </c>
      <c r="E26">
        <f t="shared" si="1"/>
        <v>-1352.8376519815538</v>
      </c>
      <c r="F26" t="s">
        <v>495</v>
      </c>
      <c r="G26" t="s">
        <v>584</v>
      </c>
    </row>
    <row r="27" spans="1:7" x14ac:dyDescent="0.3">
      <c r="A27" t="s">
        <v>512</v>
      </c>
      <c r="B27">
        <v>11</v>
      </c>
      <c r="C27">
        <v>327</v>
      </c>
      <c r="D27">
        <v>260</v>
      </c>
      <c r="E27">
        <f t="shared" si="1"/>
        <v>67</v>
      </c>
      <c r="F27" t="s">
        <v>575</v>
      </c>
      <c r="G27" t="s">
        <v>585</v>
      </c>
    </row>
    <row r="28" spans="1:7" x14ac:dyDescent="0.3">
      <c r="A28" t="s">
        <v>512</v>
      </c>
      <c r="B28">
        <v>11</v>
      </c>
      <c r="C28">
        <v>7.1491999999999987</v>
      </c>
      <c r="D28">
        <v>14.5</v>
      </c>
      <c r="E28">
        <f t="shared" si="1"/>
        <v>-7.3508000000000013</v>
      </c>
      <c r="F28" t="s">
        <v>576</v>
      </c>
      <c r="G28" t="s">
        <v>585</v>
      </c>
    </row>
    <row r="29" spans="1:7" x14ac:dyDescent="0.3">
      <c r="A29" t="s">
        <v>512</v>
      </c>
      <c r="B29">
        <v>11</v>
      </c>
      <c r="C29">
        <v>24.151200000000003</v>
      </c>
      <c r="D29">
        <v>24</v>
      </c>
      <c r="E29">
        <f t="shared" si="1"/>
        <v>0.15120000000000289</v>
      </c>
      <c r="F29" t="s">
        <v>50</v>
      </c>
      <c r="G29" t="s">
        <v>585</v>
      </c>
    </row>
    <row r="30" spans="1:7" x14ac:dyDescent="0.3">
      <c r="A30" t="s">
        <v>512</v>
      </c>
      <c r="B30">
        <v>11</v>
      </c>
      <c r="C30">
        <f>S3b!I39</f>
        <v>1586.5201932499224</v>
      </c>
      <c r="D30">
        <f>C30*K2</f>
        <v>2876.4828286263423</v>
      </c>
      <c r="E30">
        <f t="shared" si="1"/>
        <v>-1289.9626353764199</v>
      </c>
      <c r="F30" t="s">
        <v>494</v>
      </c>
      <c r="G30" t="s">
        <v>583</v>
      </c>
    </row>
    <row r="31" spans="1:7" x14ac:dyDescent="0.3">
      <c r="A31" t="s">
        <v>512</v>
      </c>
      <c r="B31">
        <v>11</v>
      </c>
      <c r="C31">
        <f>S3b!K39</f>
        <v>583.3338506649294</v>
      </c>
      <c r="D31">
        <f>C31*2^((D28-C28)/10)</f>
        <v>970.95322446194666</v>
      </c>
      <c r="E31">
        <f t="shared" si="1"/>
        <v>-387.61937379701726</v>
      </c>
      <c r="F31" t="s">
        <v>495</v>
      </c>
      <c r="G31" t="s">
        <v>584</v>
      </c>
    </row>
    <row r="32" spans="1:7" x14ac:dyDescent="0.3">
      <c r="A32" t="s">
        <v>590</v>
      </c>
      <c r="B32">
        <v>23</v>
      </c>
      <c r="C32">
        <v>26.7</v>
      </c>
      <c r="D32">
        <v>0</v>
      </c>
      <c r="E32">
        <f t="shared" si="1"/>
        <v>26.7</v>
      </c>
      <c r="F32" t="s">
        <v>575</v>
      </c>
      <c r="G32" t="s">
        <v>585</v>
      </c>
    </row>
    <row r="33" spans="1:7" x14ac:dyDescent="0.3">
      <c r="A33" t="s">
        <v>590</v>
      </c>
      <c r="B33">
        <v>23</v>
      </c>
      <c r="C33">
        <v>8.4</v>
      </c>
      <c r="D33">
        <v>8.5</v>
      </c>
      <c r="E33">
        <f t="shared" si="1"/>
        <v>-9.9999999999999645E-2</v>
      </c>
      <c r="F33" t="s">
        <v>576</v>
      </c>
      <c r="G33" t="s">
        <v>585</v>
      </c>
    </row>
    <row r="34" spans="1:7" x14ac:dyDescent="0.3">
      <c r="A34" t="s">
        <v>591</v>
      </c>
      <c r="B34">
        <v>46.5</v>
      </c>
      <c r="C34">
        <v>0</v>
      </c>
      <c r="D34">
        <v>0</v>
      </c>
      <c r="E34">
        <f t="shared" si="1"/>
        <v>0</v>
      </c>
      <c r="F34" t="s">
        <v>575</v>
      </c>
      <c r="G34" t="s">
        <v>585</v>
      </c>
    </row>
    <row r="35" spans="1:7" x14ac:dyDescent="0.3">
      <c r="A35" t="s">
        <v>591</v>
      </c>
      <c r="B35">
        <v>46.5</v>
      </c>
      <c r="C35">
        <v>8.6999999999999993</v>
      </c>
      <c r="D35">
        <v>9</v>
      </c>
      <c r="E35">
        <f t="shared" si="1"/>
        <v>-0.30000000000000071</v>
      </c>
      <c r="F35" t="s">
        <v>576</v>
      </c>
      <c r="G35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S3a</vt:lpstr>
      <vt:lpstr>S3b</vt:lpstr>
      <vt:lpstr>S4a</vt:lpstr>
      <vt:lpstr>S4b</vt:lpstr>
      <vt:lpstr>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Cathrin Wittig</cp:lastModifiedBy>
  <dcterms:created xsi:type="dcterms:W3CDTF">2024-11-22T08:47:05Z</dcterms:created>
  <dcterms:modified xsi:type="dcterms:W3CDTF">2026-05-18T09:22:28Z</dcterms:modified>
</cp:coreProperties>
</file>