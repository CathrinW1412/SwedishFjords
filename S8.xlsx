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cathrin_wittig_ugent_be/Documents/UGent-PC/Cawittig/Documents/Sweden_2026/Supplementary Material/"/>
    </mc:Choice>
  </mc:AlternateContent>
  <xr:revisionPtr revIDLastSave="201" documentId="11_934790C43201AAF18A88209C1CC11B168D23EF49" xr6:coauthVersionLast="47" xr6:coauthVersionMax="47" xr10:uidLastSave="{00E00265-2AFE-4D80-A42A-7E10C141C4C6}"/>
  <bookViews>
    <workbookView xWindow="-108" yWindow="-108" windowWidth="23256" windowHeight="12456" activeTab="2" xr2:uid="{00000000-000D-0000-FFFF-FFFF00000000}"/>
  </bookViews>
  <sheets>
    <sheet name="S8a" sheetId="1" r:id="rId1"/>
    <sheet name="S8b" sheetId="2" r:id="rId2"/>
    <sheet name="S8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" i="3" l="1"/>
  <c r="V20" i="3"/>
  <c r="T20" i="3"/>
  <c r="S20" i="3"/>
  <c r="K20" i="3"/>
  <c r="J20" i="3"/>
  <c r="H20" i="3"/>
  <c r="G20" i="3"/>
  <c r="E20" i="3"/>
  <c r="D20" i="3"/>
  <c r="W14" i="3"/>
  <c r="V14" i="3"/>
  <c r="Q14" i="3"/>
  <c r="P14" i="3"/>
  <c r="W8" i="3"/>
  <c r="V8" i="3"/>
  <c r="T8" i="3"/>
  <c r="S8" i="3"/>
  <c r="Q8" i="3"/>
  <c r="P8" i="3"/>
  <c r="K14" i="3"/>
  <c r="J14" i="3"/>
  <c r="H14" i="3"/>
  <c r="G14" i="3"/>
  <c r="E14" i="3"/>
  <c r="D14" i="3"/>
  <c r="K8" i="3"/>
  <c r="J8" i="3"/>
  <c r="H8" i="3"/>
  <c r="G8" i="3"/>
  <c r="E8" i="3"/>
  <c r="D8" i="3"/>
  <c r="V2" i="3"/>
  <c r="W2" i="3"/>
  <c r="T2" i="3"/>
  <c r="S2" i="3"/>
  <c r="Q2" i="3"/>
  <c r="P2" i="3"/>
  <c r="K2" i="3"/>
  <c r="J2" i="3"/>
  <c r="H2" i="3"/>
  <c r="G2" i="3"/>
  <c r="E2" i="3"/>
  <c r="D2" i="3"/>
</calcChain>
</file>

<file path=xl/sharedStrings.xml><?xml version="1.0" encoding="utf-8"?>
<sst xmlns="http://schemas.openxmlformats.org/spreadsheetml/2006/main" count="1623" uniqueCount="53">
  <si>
    <t>Code</t>
  </si>
  <si>
    <t>Unit</t>
  </si>
  <si>
    <t>Parameter</t>
  </si>
  <si>
    <t>Flux</t>
  </si>
  <si>
    <t>CI_2.5</t>
  </si>
  <si>
    <t>CI_97.5</t>
  </si>
  <si>
    <t>StdErrFlux</t>
  </si>
  <si>
    <t>Fvalue</t>
  </si>
  <si>
    <t>pF</t>
  </si>
  <si>
    <t>FitcAIC</t>
  </si>
  <si>
    <t>Fit</t>
  </si>
  <si>
    <t>AdjR2</t>
  </si>
  <si>
    <t>A</t>
  </si>
  <si>
    <t>pA</t>
  </si>
  <si>
    <t>StdErrA</t>
  </si>
  <si>
    <t>B</t>
  </si>
  <si>
    <t>pB</t>
  </si>
  <si>
    <t>StdErrB</t>
  </si>
  <si>
    <t>C</t>
  </si>
  <si>
    <t>pC</t>
  </si>
  <si>
    <t>StdErrC</t>
  </si>
  <si>
    <t>BC</t>
  </si>
  <si>
    <t>C1</t>
  </si>
  <si>
    <t>DIC</t>
  </si>
  <si>
    <t>Linear</t>
  </si>
  <si>
    <t>Fe</t>
  </si>
  <si>
    <t>Mn</t>
  </si>
  <si>
    <t>NH4+</t>
  </si>
  <si>
    <t>C2</t>
  </si>
  <si>
    <t>C3</t>
  </si>
  <si>
    <t>C4</t>
  </si>
  <si>
    <t>CA</t>
  </si>
  <si>
    <t>CB</t>
  </si>
  <si>
    <t>GC</t>
  </si>
  <si>
    <t>HC</t>
  </si>
  <si>
    <t>Height</t>
  </si>
  <si>
    <t>Sample</t>
  </si>
  <si>
    <t>Time</t>
  </si>
  <si>
    <t>Conc</t>
  </si>
  <si>
    <t>Removed</t>
  </si>
  <si>
    <t>FitValue</t>
  </si>
  <si>
    <t>Residual</t>
  </si>
  <si>
    <t>R.stan</t>
  </si>
  <si>
    <t>Theor.quant</t>
  </si>
  <si>
    <t>Root.r.stan</t>
  </si>
  <si>
    <t>R.stud</t>
  </si>
  <si>
    <t>Leverage</t>
  </si>
  <si>
    <t>Cooks</t>
  </si>
  <si>
    <t>All</t>
  </si>
  <si>
    <t>Average</t>
  </si>
  <si>
    <t>STD</t>
  </si>
  <si>
    <t>pF&lt;0.05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</si>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</sst>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workbookViewId="0">
      <pane ySplit="1" topLeftCell="A35" activePane="bottomLeft" state="frozen"/>
      <selection pane="bottomLeft" activeCell="D35" sqref="D35"/>
    </sheetView>
  </sheetViews>
  <sheetFormatPr defaultColWidth="11.55468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57.737341829522101</v>
      </c>
      <c r="E2">
        <v>48.630705103462603</v>
      </c>
      <c r="F2">
        <v>66.843978555581501</v>
      </c>
      <c r="G2">
        <v>3.85119822734007</v>
      </c>
      <c r="H2">
        <v>224.76144988486499</v>
      </c>
      <c r="I2">
        <v>1.4102557686625599E-6</v>
      </c>
      <c r="J2">
        <v>79.520184888695297</v>
      </c>
      <c r="K2" t="s">
        <v>24</v>
      </c>
      <c r="L2">
        <v>0.96548174856528501</v>
      </c>
      <c r="M2">
        <v>3898.5360083955602</v>
      </c>
      <c r="N2">
        <v>3.8600239394318102E-17</v>
      </c>
      <c r="O2">
        <v>7.9463267651140503</v>
      </c>
      <c r="P2">
        <v>0.241637664666667</v>
      </c>
      <c r="Q2">
        <v>1.4102557686625599E-6</v>
      </c>
      <c r="R2">
        <v>1.61177240990861E-2</v>
      </c>
    </row>
    <row r="3" spans="1:21" x14ac:dyDescent="0.3">
      <c r="A3" t="s">
        <v>21</v>
      </c>
      <c r="B3" t="s">
        <v>22</v>
      </c>
      <c r="C3" t="s">
        <v>25</v>
      </c>
      <c r="D3">
        <v>-0.33344800006780101</v>
      </c>
      <c r="E3">
        <v>-0.66693716551773097</v>
      </c>
      <c r="F3">
        <v>4.1165382129721701E-5</v>
      </c>
      <c r="G3">
        <v>0.14103262504615499</v>
      </c>
      <c r="H3">
        <v>5.5900675372247504</v>
      </c>
      <c r="I3">
        <v>5.0021472289051898E-2</v>
      </c>
      <c r="J3">
        <v>19.991514411903399</v>
      </c>
      <c r="K3" t="s">
        <v>24</v>
      </c>
      <c r="L3">
        <v>0.36457846819752199</v>
      </c>
      <c r="M3">
        <v>1.3529191488888901</v>
      </c>
      <c r="N3">
        <v>2.3439760476284201E-3</v>
      </c>
      <c r="O3">
        <v>0.29099808864748899</v>
      </c>
      <c r="P3">
        <v>-1.39551966666667E-3</v>
      </c>
      <c r="Q3">
        <v>5.0021472289051898E-2</v>
      </c>
      <c r="R3">
        <v>5.9023836356348496E-4</v>
      </c>
    </row>
    <row r="4" spans="1:21" x14ac:dyDescent="0.3">
      <c r="A4" t="s">
        <v>21</v>
      </c>
      <c r="B4" t="s">
        <v>22</v>
      </c>
      <c r="C4" t="s">
        <v>26</v>
      </c>
      <c r="D4">
        <v>-0.14575076287425401</v>
      </c>
      <c r="E4">
        <v>-0.23067109515079201</v>
      </c>
      <c r="F4">
        <v>-6.08304305977155E-2</v>
      </c>
      <c r="G4">
        <v>3.5912823028579101E-2</v>
      </c>
      <c r="H4">
        <v>16.471099182128601</v>
      </c>
      <c r="I4">
        <v>4.8189652988479903E-3</v>
      </c>
      <c r="J4">
        <v>-4.6306284880582904</v>
      </c>
      <c r="K4" t="s">
        <v>24</v>
      </c>
      <c r="L4">
        <v>0.659155289749217</v>
      </c>
      <c r="M4">
        <v>7.7292634199999997</v>
      </c>
      <c r="N4">
        <v>1.9619144972031099E-12</v>
      </c>
      <c r="O4">
        <v>7.4100321509522601E-2</v>
      </c>
      <c r="P4">
        <v>-6.0998433333333299E-4</v>
      </c>
      <c r="Q4">
        <v>4.8189652988479999E-3</v>
      </c>
      <c r="R4">
        <v>1.5029944942453199E-4</v>
      </c>
    </row>
    <row r="5" spans="1:21" x14ac:dyDescent="0.3">
      <c r="A5" t="s">
        <v>21</v>
      </c>
      <c r="B5" t="s">
        <v>22</v>
      </c>
      <c r="C5" t="s">
        <v>27</v>
      </c>
      <c r="D5">
        <v>2.3985290271762101</v>
      </c>
      <c r="E5">
        <v>-13.2048440457844</v>
      </c>
      <c r="F5">
        <v>18.001902100136899</v>
      </c>
      <c r="G5">
        <v>6.5986691384267004</v>
      </c>
      <c r="H5">
        <v>0.13212264251387101</v>
      </c>
      <c r="I5">
        <v>0.72697070397668595</v>
      </c>
      <c r="J5">
        <v>89.212890683147606</v>
      </c>
      <c r="K5" t="s">
        <v>24</v>
      </c>
      <c r="L5">
        <v>-0.121685702978914</v>
      </c>
      <c r="M5">
        <v>274.91729055222203</v>
      </c>
      <c r="N5">
        <v>1.8303924090109901E-7</v>
      </c>
      <c r="O5">
        <v>13.6152901236216</v>
      </c>
      <c r="P5">
        <v>1.0038130166666701E-2</v>
      </c>
      <c r="Q5">
        <v>0.72697070397668495</v>
      </c>
      <c r="R5">
        <v>2.76162176850017E-2</v>
      </c>
    </row>
    <row r="6" spans="1:21" x14ac:dyDescent="0.3">
      <c r="A6" t="s">
        <v>21</v>
      </c>
      <c r="B6" t="s">
        <v>28</v>
      </c>
      <c r="C6" t="s">
        <v>23</v>
      </c>
      <c r="D6">
        <v>72.750284823486197</v>
      </c>
      <c r="E6">
        <v>59.3620876887585</v>
      </c>
      <c r="F6">
        <v>86.138481958214001</v>
      </c>
      <c r="G6">
        <v>5.6618708556801902</v>
      </c>
      <c r="H6">
        <v>165.10091406504799</v>
      </c>
      <c r="I6">
        <v>4.0135026851235898E-6</v>
      </c>
      <c r="J6">
        <v>85.867154851662605</v>
      </c>
      <c r="K6" t="s">
        <v>24</v>
      </c>
      <c r="L6">
        <v>0.95351564491414498</v>
      </c>
      <c r="M6">
        <v>3860.1832763755601</v>
      </c>
      <c r="N6">
        <v>4.8815515919436999E-16</v>
      </c>
      <c r="O6">
        <v>11.305837917236</v>
      </c>
      <c r="P6">
        <v>0.29465566233333301</v>
      </c>
      <c r="Q6">
        <v>4.01350268512355E-6</v>
      </c>
      <c r="R6">
        <v>2.2931900693915298E-2</v>
      </c>
    </row>
    <row r="7" spans="1:21" x14ac:dyDescent="0.3">
      <c r="A7" t="s">
        <v>21</v>
      </c>
      <c r="B7" t="s">
        <v>28</v>
      </c>
      <c r="C7" t="s">
        <v>25</v>
      </c>
      <c r="D7">
        <v>7.9728648480982003E-2</v>
      </c>
      <c r="E7">
        <v>-0.239672330322107</v>
      </c>
      <c r="F7">
        <v>0.39912962728407098</v>
      </c>
      <c r="G7">
        <v>0.135074728506207</v>
      </c>
      <c r="H7">
        <v>0.34840196665037898</v>
      </c>
      <c r="I7">
        <v>0.57357206752262602</v>
      </c>
      <c r="J7">
        <v>18.624888091527598</v>
      </c>
      <c r="K7" t="s">
        <v>24</v>
      </c>
      <c r="L7">
        <v>-8.8672072691015097E-2</v>
      </c>
      <c r="M7">
        <v>0.53250340666666696</v>
      </c>
      <c r="N7">
        <v>8.8930389752834002E-2</v>
      </c>
      <c r="O7">
        <v>0.26972232785454098</v>
      </c>
      <c r="P7">
        <v>3.2291966666666698E-4</v>
      </c>
      <c r="Q7">
        <v>0.57357206752262602</v>
      </c>
      <c r="R7">
        <v>5.4708423051620496E-4</v>
      </c>
    </row>
    <row r="8" spans="1:21" x14ac:dyDescent="0.3">
      <c r="A8" t="s">
        <v>21</v>
      </c>
      <c r="B8" t="s">
        <v>28</v>
      </c>
      <c r="C8" t="s">
        <v>26</v>
      </c>
      <c r="D8">
        <v>-0.13388889642253099</v>
      </c>
      <c r="E8">
        <v>-0.38538921630374701</v>
      </c>
      <c r="F8">
        <v>0.117611423458685</v>
      </c>
      <c r="G8">
        <v>0.106359528247166</v>
      </c>
      <c r="H8">
        <v>1.58466081542627</v>
      </c>
      <c r="I8">
        <v>0.24844555630808801</v>
      </c>
      <c r="J8">
        <v>14.3228333922396</v>
      </c>
      <c r="K8" t="s">
        <v>24</v>
      </c>
      <c r="L8">
        <v>6.8105290121150006E-2</v>
      </c>
      <c r="M8">
        <v>7.5253793822222201</v>
      </c>
      <c r="N8">
        <v>3.70167338159295E-9</v>
      </c>
      <c r="O8">
        <v>0.21238272966077501</v>
      </c>
      <c r="P8">
        <v>-5.4228133333333395E-4</v>
      </c>
      <c r="Q8">
        <v>0.24844555630808801</v>
      </c>
      <c r="R8">
        <v>4.3078095593946199E-4</v>
      </c>
    </row>
    <row r="9" spans="1:21" x14ac:dyDescent="0.3">
      <c r="A9" t="s">
        <v>21</v>
      </c>
      <c r="B9" t="s">
        <v>28</v>
      </c>
      <c r="C9" t="s">
        <v>27</v>
      </c>
      <c r="D9">
        <v>-6.2650087061140294E-2</v>
      </c>
      <c r="E9">
        <v>-18.9137465788667</v>
      </c>
      <c r="F9">
        <v>18.788446404744398</v>
      </c>
      <c r="G9">
        <v>7.9721319271371103</v>
      </c>
      <c r="H9">
        <v>6.17581678673175E-5</v>
      </c>
      <c r="I9">
        <v>0.99394905543336698</v>
      </c>
      <c r="J9">
        <v>92.026711175651798</v>
      </c>
      <c r="K9" t="s">
        <v>24</v>
      </c>
      <c r="L9">
        <v>-0.14284705997991801</v>
      </c>
      <c r="M9">
        <v>274.26311439444402</v>
      </c>
      <c r="N9">
        <v>5.4515872792785099E-7</v>
      </c>
      <c r="O9">
        <v>15.9190546235457</v>
      </c>
      <c r="P9">
        <v>-2.53747499999914E-4</v>
      </c>
      <c r="Q9">
        <v>0.99394905543336898</v>
      </c>
      <c r="R9">
        <v>3.2288998165419497E-2</v>
      </c>
    </row>
    <row r="10" spans="1:21" x14ac:dyDescent="0.3">
      <c r="A10" t="s">
        <v>21</v>
      </c>
      <c r="B10" t="s">
        <v>29</v>
      </c>
      <c r="C10" t="s">
        <v>23</v>
      </c>
      <c r="D10">
        <v>59.025444850795203</v>
      </c>
      <c r="E10">
        <v>39.945579896973499</v>
      </c>
      <c r="F10">
        <v>78.105309804616795</v>
      </c>
      <c r="G10">
        <v>8.0688781488093309</v>
      </c>
      <c r="H10">
        <v>53.512128223966997</v>
      </c>
      <c r="I10">
        <v>1.6065002876020399E-4</v>
      </c>
      <c r="J10">
        <v>91.305066758439196</v>
      </c>
      <c r="K10" t="s">
        <v>24</v>
      </c>
      <c r="L10">
        <v>0.86779509769693697</v>
      </c>
      <c r="M10">
        <v>3862.0360827622198</v>
      </c>
      <c r="N10">
        <v>4.03137626081246E-15</v>
      </c>
      <c r="O10">
        <v>15.293462342397</v>
      </c>
      <c r="P10">
        <v>0.22691814633333399</v>
      </c>
      <c r="Q10">
        <v>1.6065002876020101E-4</v>
      </c>
      <c r="R10">
        <v>3.1020094421070499E-2</v>
      </c>
    </row>
    <row r="11" spans="1:21" x14ac:dyDescent="0.3">
      <c r="A11" t="s">
        <v>21</v>
      </c>
      <c r="B11" t="s">
        <v>29</v>
      </c>
      <c r="C11" t="s">
        <v>25</v>
      </c>
      <c r="D11">
        <v>5.4959245623421103E-2</v>
      </c>
      <c r="E11">
        <v>-1.27396516880991E-2</v>
      </c>
      <c r="F11">
        <v>0.122658142934941</v>
      </c>
      <c r="G11">
        <v>2.8629875239551902E-2</v>
      </c>
      <c r="H11">
        <v>3.6850434660169</v>
      </c>
      <c r="I11">
        <v>9.63798560928915E-2</v>
      </c>
      <c r="J11">
        <v>-10.2386747945305</v>
      </c>
      <c r="K11" t="s">
        <v>24</v>
      </c>
      <c r="L11">
        <v>0.25128989643855998</v>
      </c>
      <c r="M11">
        <v>0.38541776888888901</v>
      </c>
      <c r="N11">
        <v>1.9321450959560899E-4</v>
      </c>
      <c r="O11">
        <v>5.4264039035986797E-2</v>
      </c>
      <c r="P11">
        <v>2.1128600000000001E-4</v>
      </c>
      <c r="Q11">
        <v>9.6379856092891403E-2</v>
      </c>
      <c r="R11">
        <v>1.10065044584348E-4</v>
      </c>
    </row>
    <row r="12" spans="1:21" x14ac:dyDescent="0.3">
      <c r="A12" t="s">
        <v>21</v>
      </c>
      <c r="B12" t="s">
        <v>29</v>
      </c>
      <c r="C12" t="s">
        <v>26</v>
      </c>
      <c r="D12">
        <v>0.19820753865120799</v>
      </c>
      <c r="E12">
        <v>-4.3057098236668603E-2</v>
      </c>
      <c r="F12">
        <v>0.43947217553908402</v>
      </c>
      <c r="G12">
        <v>0.102030856160493</v>
      </c>
      <c r="H12">
        <v>3.7737860531835299</v>
      </c>
      <c r="I12">
        <v>9.3174343091231099E-2</v>
      </c>
      <c r="J12">
        <v>12.6361665204013</v>
      </c>
      <c r="K12" t="s">
        <v>24</v>
      </c>
      <c r="L12">
        <v>0.25745694591400498</v>
      </c>
      <c r="M12">
        <v>6.4631314588888902</v>
      </c>
      <c r="N12">
        <v>5.5616276454732599E-9</v>
      </c>
      <c r="O12">
        <v>0.193385626561144</v>
      </c>
      <c r="P12">
        <v>7.6199150000000001E-4</v>
      </c>
      <c r="Q12">
        <v>9.3174343091231501E-2</v>
      </c>
      <c r="R12">
        <v>3.9224867863795799E-4</v>
      </c>
    </row>
    <row r="13" spans="1:21" x14ac:dyDescent="0.3">
      <c r="A13" t="s">
        <v>21</v>
      </c>
      <c r="B13" t="s">
        <v>29</v>
      </c>
      <c r="C13" t="s">
        <v>27</v>
      </c>
      <c r="D13">
        <v>0.821391563917651</v>
      </c>
      <c r="E13">
        <v>-20.9934885217369</v>
      </c>
      <c r="F13">
        <v>22.636271649572201</v>
      </c>
      <c r="G13">
        <v>9.2255165153450207</v>
      </c>
      <c r="H13">
        <v>7.9271868494895405E-3</v>
      </c>
      <c r="I13">
        <v>0.93154810299520097</v>
      </c>
      <c r="J13">
        <v>93.716323746906696</v>
      </c>
      <c r="K13" t="s">
        <v>24</v>
      </c>
      <c r="L13">
        <v>-0.141564372274323</v>
      </c>
      <c r="M13">
        <v>289.64702995444401</v>
      </c>
      <c r="N13">
        <v>7.1355907175738003E-7</v>
      </c>
      <c r="O13">
        <v>17.485713232317199</v>
      </c>
      <c r="P13">
        <v>3.15776783333334E-3</v>
      </c>
      <c r="Q13">
        <v>0.93154810299519997</v>
      </c>
      <c r="R13">
        <v>3.5466689186696598E-2</v>
      </c>
    </row>
    <row r="14" spans="1:21" x14ac:dyDescent="0.3">
      <c r="A14" t="s">
        <v>21</v>
      </c>
      <c r="B14" t="s">
        <v>30</v>
      </c>
      <c r="C14" t="s">
        <v>23</v>
      </c>
      <c r="D14">
        <v>24.6303100495149</v>
      </c>
      <c r="E14">
        <v>3.6457914139663199</v>
      </c>
      <c r="F14">
        <v>45.614828685063401</v>
      </c>
      <c r="G14">
        <v>8.8743565162260403</v>
      </c>
      <c r="H14">
        <v>7.7031084765074302</v>
      </c>
      <c r="I14">
        <v>2.74777235339538E-2</v>
      </c>
      <c r="J14">
        <v>93.278390074396</v>
      </c>
      <c r="K14" t="s">
        <v>24</v>
      </c>
      <c r="L14">
        <v>0.455897369404411</v>
      </c>
      <c r="M14">
        <v>3917.7351147566701</v>
      </c>
      <c r="N14">
        <v>7.8554326194961792E-15</v>
      </c>
      <c r="O14">
        <v>17.065425434867699</v>
      </c>
      <c r="P14">
        <v>9.6069918833334406E-2</v>
      </c>
      <c r="Q14">
        <v>2.7477723533952999E-2</v>
      </c>
      <c r="R14">
        <v>3.4614209423185903E-2</v>
      </c>
    </row>
    <row r="15" spans="1:21" x14ac:dyDescent="0.3">
      <c r="A15" t="s">
        <v>21</v>
      </c>
      <c r="B15" t="s">
        <v>30</v>
      </c>
      <c r="C15" t="s">
        <v>25</v>
      </c>
      <c r="D15">
        <v>1.0964518109600301E-2</v>
      </c>
      <c r="E15">
        <v>-7.7411072853804594E-2</v>
      </c>
      <c r="F15">
        <v>9.9340109073005195E-2</v>
      </c>
      <c r="G15">
        <v>3.7374052517593903E-2</v>
      </c>
      <c r="H15">
        <v>8.6067406288977993E-2</v>
      </c>
      <c r="I15">
        <v>0.77774431827633905</v>
      </c>
      <c r="J15">
        <v>-5.1806095902079896</v>
      </c>
      <c r="K15" t="s">
        <v>24</v>
      </c>
      <c r="L15">
        <v>-0.12897599490796499</v>
      </c>
      <c r="M15">
        <v>0.63492226333333301</v>
      </c>
      <c r="N15">
        <v>4.8131083239815997E-5</v>
      </c>
      <c r="O15">
        <v>7.1870462412869804E-2</v>
      </c>
      <c r="P15">
        <v>4.2766833333333298E-5</v>
      </c>
      <c r="Q15">
        <v>0.77774431827633905</v>
      </c>
      <c r="R15">
        <v>1.45776573036227E-4</v>
      </c>
    </row>
    <row r="16" spans="1:21" x14ac:dyDescent="0.3">
      <c r="A16" t="s">
        <v>21</v>
      </c>
      <c r="B16" t="s">
        <v>30</v>
      </c>
      <c r="C16" t="s">
        <v>26</v>
      </c>
      <c r="D16">
        <v>3.6337835320465903E-2</v>
      </c>
      <c r="E16">
        <v>-0.12869368671722201</v>
      </c>
      <c r="F16">
        <v>0.20136935735815401</v>
      </c>
      <c r="G16">
        <v>6.9791858865747805E-2</v>
      </c>
      <c r="H16">
        <v>0.27108692636695098</v>
      </c>
      <c r="I16">
        <v>0.61866200268396498</v>
      </c>
      <c r="J16">
        <v>6.0611227778624297</v>
      </c>
      <c r="K16" t="s">
        <v>24</v>
      </c>
      <c r="L16">
        <v>-0.100248158358527</v>
      </c>
      <c r="M16">
        <v>7.6165730366666704</v>
      </c>
      <c r="N16">
        <v>1.38362854557775E-10</v>
      </c>
      <c r="O16">
        <v>0.13421004230070499</v>
      </c>
      <c r="P16">
        <v>1.4173483333332999E-4</v>
      </c>
      <c r="Q16">
        <v>0.61866200268397298</v>
      </c>
      <c r="R16">
        <v>2.7222142973356498E-4</v>
      </c>
    </row>
    <row r="17" spans="1:18" x14ac:dyDescent="0.3">
      <c r="A17" t="s">
        <v>21</v>
      </c>
      <c r="B17" t="s">
        <v>30</v>
      </c>
      <c r="C17" t="s">
        <v>27</v>
      </c>
      <c r="D17">
        <v>18.598588060542902</v>
      </c>
      <c r="E17">
        <v>-1.04544236401012</v>
      </c>
      <c r="F17">
        <v>38.242618485095903</v>
      </c>
      <c r="G17">
        <v>8.3074638227705808</v>
      </c>
      <c r="H17">
        <v>5.0121381539506897</v>
      </c>
      <c r="I17">
        <v>6.0186071606459397E-2</v>
      </c>
      <c r="J17">
        <v>92.090183775512898</v>
      </c>
      <c r="K17" t="s">
        <v>24</v>
      </c>
      <c r="L17">
        <v>0.33400699380327498</v>
      </c>
      <c r="M17">
        <v>254.421993534444</v>
      </c>
      <c r="N17">
        <v>9.3376864092817004E-7</v>
      </c>
      <c r="O17">
        <v>15.975288367233899</v>
      </c>
      <c r="P17">
        <v>7.25433355E-2</v>
      </c>
      <c r="Q17">
        <v>6.01860716064593E-2</v>
      </c>
      <c r="R17">
        <v>3.24030584089278E-2</v>
      </c>
    </row>
    <row r="18" spans="1:18" x14ac:dyDescent="0.3">
      <c r="A18" t="s">
        <v>21</v>
      </c>
      <c r="B18" t="s">
        <v>31</v>
      </c>
      <c r="C18" t="s">
        <v>23</v>
      </c>
      <c r="D18">
        <v>39.651191094921899</v>
      </c>
      <c r="E18">
        <v>25.8295541481023</v>
      </c>
      <c r="F18">
        <v>53.4728280417416</v>
      </c>
      <c r="G18">
        <v>4.9781776419580899</v>
      </c>
      <c r="H18">
        <v>63.441244765315503</v>
      </c>
      <c r="I18">
        <v>1.3461543686339201E-3</v>
      </c>
      <c r="J18">
        <v>71.775627471243894</v>
      </c>
      <c r="K18" t="s">
        <v>24</v>
      </c>
      <c r="L18">
        <v>0.92586139212882002</v>
      </c>
      <c r="M18">
        <v>3858.6590159529801</v>
      </c>
      <c r="N18">
        <v>2.6313981942598501E-9</v>
      </c>
      <c r="O18">
        <v>17.658767621292998</v>
      </c>
      <c r="P18">
        <v>0.30258845463157802</v>
      </c>
      <c r="Q18">
        <v>1.34615436863395E-3</v>
      </c>
      <c r="R18">
        <v>3.79897561199488E-2</v>
      </c>
    </row>
    <row r="19" spans="1:18" x14ac:dyDescent="0.3">
      <c r="A19" t="s">
        <v>21</v>
      </c>
      <c r="B19" t="s">
        <v>31</v>
      </c>
      <c r="C19" t="s">
        <v>25</v>
      </c>
      <c r="D19">
        <v>-6.8393638231578999E-2</v>
      </c>
      <c r="E19">
        <v>-0.17400441271269401</v>
      </c>
      <c r="F19">
        <v>3.7217136249536202E-2</v>
      </c>
      <c r="G19">
        <v>3.8038128066497999E-2</v>
      </c>
      <c r="H19">
        <v>3.2329064755967698</v>
      </c>
      <c r="I19">
        <v>0.14657426924393699</v>
      </c>
      <c r="J19">
        <v>13.284865781161001</v>
      </c>
      <c r="K19" t="s">
        <v>24</v>
      </c>
      <c r="L19">
        <v>0.308714965848157</v>
      </c>
      <c r="M19">
        <v>0.88407190526315804</v>
      </c>
      <c r="N19">
        <v>2.8056530238289201E-3</v>
      </c>
      <c r="O19">
        <v>0.134930191846482</v>
      </c>
      <c r="P19">
        <v>-5.2192947368421097E-4</v>
      </c>
      <c r="Q19">
        <v>0.14657426924393699</v>
      </c>
      <c r="R19">
        <v>2.9027875508621799E-4</v>
      </c>
    </row>
    <row r="20" spans="1:18" x14ac:dyDescent="0.3">
      <c r="A20" t="s">
        <v>21</v>
      </c>
      <c r="B20" t="s">
        <v>31</v>
      </c>
      <c r="C20" t="s">
        <v>26</v>
      </c>
      <c r="D20">
        <v>4.4143389625262701E-2</v>
      </c>
      <c r="E20">
        <v>-5.4343236087587003E-2</v>
      </c>
      <c r="F20">
        <v>0.14263001533811201</v>
      </c>
      <c r="G20">
        <v>3.5472203476478802E-2</v>
      </c>
      <c r="H20">
        <v>1.54865622411744</v>
      </c>
      <c r="I20">
        <v>0.28127056522625599</v>
      </c>
      <c r="J20">
        <v>12.4467901282291</v>
      </c>
      <c r="K20" t="s">
        <v>24</v>
      </c>
      <c r="L20">
        <v>9.88809185425263E-2</v>
      </c>
      <c r="M20">
        <v>7.1211867557894797</v>
      </c>
      <c r="N20">
        <v>5.8364801500049098E-7</v>
      </c>
      <c r="O20">
        <v>0.125828253481123</v>
      </c>
      <c r="P20">
        <v>3.3686957894736499E-4</v>
      </c>
      <c r="Q20">
        <v>0.28127056522626098</v>
      </c>
      <c r="R20">
        <v>2.7069752347740202E-4</v>
      </c>
    </row>
    <row r="21" spans="1:18" x14ac:dyDescent="0.3">
      <c r="A21" t="s">
        <v>21</v>
      </c>
      <c r="B21" t="s">
        <v>31</v>
      </c>
      <c r="C21" t="s">
        <v>27</v>
      </c>
      <c r="D21">
        <v>7.7251271030905198</v>
      </c>
      <c r="E21">
        <v>5.8414373143797604</v>
      </c>
      <c r="F21">
        <v>9.6088168918012808</v>
      </c>
      <c r="G21">
        <v>0.67845382038502999</v>
      </c>
      <c r="H21">
        <v>129.64945118957101</v>
      </c>
      <c r="I21">
        <v>3.3931400194392301E-4</v>
      </c>
      <c r="J21">
        <v>47.859594446363403</v>
      </c>
      <c r="K21" t="s">
        <v>24</v>
      </c>
      <c r="L21">
        <v>0.96258869785474899</v>
      </c>
      <c r="M21">
        <v>264.87923832491202</v>
      </c>
      <c r="N21">
        <v>4.08659667406601E-8</v>
      </c>
      <c r="O21">
        <v>2.4066353629046602</v>
      </c>
      <c r="P21">
        <v>5.8952435157894702E-2</v>
      </c>
      <c r="Q21">
        <v>3.3931400194392501E-4</v>
      </c>
      <c r="R21">
        <v>5.1774558942691597E-3</v>
      </c>
    </row>
    <row r="22" spans="1:18" x14ac:dyDescent="0.3">
      <c r="A22" t="s">
        <v>21</v>
      </c>
      <c r="B22" t="s">
        <v>32</v>
      </c>
      <c r="C22" t="s">
        <v>23</v>
      </c>
      <c r="D22">
        <v>43.089026409961001</v>
      </c>
      <c r="E22">
        <v>22.964637200572302</v>
      </c>
      <c r="F22">
        <v>63.213415619349703</v>
      </c>
      <c r="G22">
        <v>8.2244030163865602</v>
      </c>
      <c r="H22">
        <v>27.4488779017118</v>
      </c>
      <c r="I22">
        <v>1.9399459944572199E-3</v>
      </c>
      <c r="J22">
        <v>90.474582159120004</v>
      </c>
      <c r="K22" t="s">
        <v>24</v>
      </c>
      <c r="L22">
        <v>0.79072541624358095</v>
      </c>
      <c r="M22">
        <v>3888.7444206902201</v>
      </c>
      <c r="N22">
        <v>4.09809813960338E-12</v>
      </c>
      <c r="O22">
        <v>24.3818866785791</v>
      </c>
      <c r="P22">
        <v>0.27965359819548902</v>
      </c>
      <c r="Q22">
        <v>1.93994599445719E-3</v>
      </c>
      <c r="R22">
        <v>5.3377485828054003E-2</v>
      </c>
    </row>
    <row r="23" spans="1:18" x14ac:dyDescent="0.3">
      <c r="A23" t="s">
        <v>21</v>
      </c>
      <c r="B23" t="s">
        <v>32</v>
      </c>
      <c r="C23" t="s">
        <v>25</v>
      </c>
      <c r="D23">
        <v>3.8931015157894801E-2</v>
      </c>
      <c r="E23">
        <v>-3.2345592109348002E-2</v>
      </c>
      <c r="F23">
        <v>0.110207622425137</v>
      </c>
      <c r="G23">
        <v>2.91292092250445E-2</v>
      </c>
      <c r="H23">
        <v>1.78621637756554</v>
      </c>
      <c r="I23">
        <v>0.22983571109051901</v>
      </c>
      <c r="J23">
        <v>0.18466908370723401</v>
      </c>
      <c r="K23" t="s">
        <v>24</v>
      </c>
      <c r="L23">
        <v>0.100975408265158</v>
      </c>
      <c r="M23">
        <v>0.375159789473684</v>
      </c>
      <c r="N23">
        <v>4.85229647605328E-3</v>
      </c>
      <c r="O23">
        <v>8.6355821443402203E-2</v>
      </c>
      <c r="P23">
        <v>2.5266754385964898E-4</v>
      </c>
      <c r="Q23">
        <v>0.22983571109051901</v>
      </c>
      <c r="R23">
        <v>1.8905250016254199E-4</v>
      </c>
    </row>
    <row r="24" spans="1:18" x14ac:dyDescent="0.3">
      <c r="A24" t="s">
        <v>21</v>
      </c>
      <c r="B24" t="s">
        <v>32</v>
      </c>
      <c r="C24" t="s">
        <v>26</v>
      </c>
      <c r="D24">
        <v>-0.21352925020150301</v>
      </c>
      <c r="E24">
        <v>-0.45334565562673801</v>
      </c>
      <c r="F24">
        <v>2.6287155223732601E-2</v>
      </c>
      <c r="G24">
        <v>9.8007782876616295E-2</v>
      </c>
      <c r="H24">
        <v>4.7467200696909702</v>
      </c>
      <c r="I24">
        <v>7.2190914734659495E-2</v>
      </c>
      <c r="J24">
        <v>19.597556578647399</v>
      </c>
      <c r="K24" t="s">
        <v>24</v>
      </c>
      <c r="L24">
        <v>0.34863847251943098</v>
      </c>
      <c r="M24">
        <v>7.9104952496240601</v>
      </c>
      <c r="N24">
        <v>1.62267278185841E-7</v>
      </c>
      <c r="O24">
        <v>0.29055174593892202</v>
      </c>
      <c r="P24">
        <v>-1.3858336591478599E-3</v>
      </c>
      <c r="Q24">
        <v>7.2190914734660203E-2</v>
      </c>
      <c r="R24">
        <v>6.3608374141106195E-4</v>
      </c>
    </row>
    <row r="25" spans="1:18" x14ac:dyDescent="0.3">
      <c r="A25" t="s">
        <v>21</v>
      </c>
      <c r="B25" t="s">
        <v>32</v>
      </c>
      <c r="C25" t="s">
        <v>27</v>
      </c>
      <c r="D25">
        <v>11.4153886039218</v>
      </c>
      <c r="E25">
        <v>-0.47883396799657701</v>
      </c>
      <c r="F25">
        <v>23.3096111758402</v>
      </c>
      <c r="G25">
        <v>4.8609117514195797</v>
      </c>
      <c r="H25">
        <v>5.5150052153088396</v>
      </c>
      <c r="I25">
        <v>5.7182992559356202E-2</v>
      </c>
      <c r="J25">
        <v>82.060507136191205</v>
      </c>
      <c r="K25" t="s">
        <v>24</v>
      </c>
      <c r="L25">
        <v>0.39209753976544298</v>
      </c>
      <c r="M25">
        <v>253.576834380451</v>
      </c>
      <c r="N25">
        <v>2.1619505461218001E-6</v>
      </c>
      <c r="O25">
        <v>14.4105534762276</v>
      </c>
      <c r="P25">
        <v>7.4087413057644297E-2</v>
      </c>
      <c r="Q25">
        <v>5.7182992559355703E-2</v>
      </c>
      <c r="R25">
        <v>3.1547973464561098E-2</v>
      </c>
    </row>
    <row r="26" spans="1:18" x14ac:dyDescent="0.3">
      <c r="A26" t="s">
        <v>33</v>
      </c>
      <c r="B26" t="s">
        <v>22</v>
      </c>
      <c r="C26" t="s">
        <v>23</v>
      </c>
      <c r="D26">
        <v>15.647687923592599</v>
      </c>
      <c r="E26">
        <v>5.5823230294132804</v>
      </c>
      <c r="F26">
        <v>25.713052817771899</v>
      </c>
      <c r="G26">
        <v>3.9155979220897801</v>
      </c>
      <c r="H26">
        <v>15.9699726822755</v>
      </c>
      <c r="I26">
        <v>1.03619791937176E-2</v>
      </c>
      <c r="J26">
        <v>61.272946285512099</v>
      </c>
      <c r="K26" t="s">
        <v>24</v>
      </c>
      <c r="L26">
        <v>0.71387659436145201</v>
      </c>
      <c r="M26">
        <v>2272.99780503695</v>
      </c>
      <c r="N26">
        <v>2.2240976217419E-12</v>
      </c>
      <c r="O26">
        <v>5.8935268915143402</v>
      </c>
      <c r="P26">
        <v>4.3650337438423302E-2</v>
      </c>
      <c r="Q26">
        <v>1.0361979193717501E-2</v>
      </c>
      <c r="R26">
        <v>1.09228386587842E-2</v>
      </c>
    </row>
    <row r="27" spans="1:18" x14ac:dyDescent="0.3">
      <c r="A27" t="s">
        <v>33</v>
      </c>
      <c r="B27" t="s">
        <v>22</v>
      </c>
      <c r="C27" t="s">
        <v>25</v>
      </c>
      <c r="D27">
        <v>1.5670057483793001</v>
      </c>
      <c r="E27">
        <v>-1.33479481661258</v>
      </c>
      <c r="F27">
        <v>4.4688063133711902</v>
      </c>
      <c r="G27">
        <v>1.1288497120627901</v>
      </c>
      <c r="H27">
        <v>1.9269432573076699</v>
      </c>
      <c r="I27">
        <v>0.22376510871164701</v>
      </c>
      <c r="J27">
        <v>43.860181917916698</v>
      </c>
      <c r="K27" t="s">
        <v>24</v>
      </c>
      <c r="L27">
        <v>0.133817070946811</v>
      </c>
      <c r="M27">
        <v>0.36180823645320198</v>
      </c>
      <c r="N27">
        <v>0.83978056572347703</v>
      </c>
      <c r="O27">
        <v>1.6990779612452001</v>
      </c>
      <c r="P27">
        <v>4.3712738916256103E-3</v>
      </c>
      <c r="Q27">
        <v>0.22376510871164701</v>
      </c>
      <c r="R27">
        <v>3.14900649152867E-3</v>
      </c>
    </row>
    <row r="28" spans="1:18" x14ac:dyDescent="0.3">
      <c r="A28" t="s">
        <v>33</v>
      </c>
      <c r="B28" t="s">
        <v>22</v>
      </c>
      <c r="C28" t="s">
        <v>26</v>
      </c>
      <c r="D28">
        <v>1.1226495996806001</v>
      </c>
      <c r="E28">
        <v>0.99471600081057299</v>
      </c>
      <c r="F28">
        <v>1.2505831985506399</v>
      </c>
      <c r="G28">
        <v>4.9768343141802097E-2</v>
      </c>
      <c r="H28">
        <v>508.84098687865298</v>
      </c>
      <c r="I28">
        <v>3.1823449547881898E-6</v>
      </c>
      <c r="J28">
        <v>0.158127195777201</v>
      </c>
      <c r="K28" t="s">
        <v>24</v>
      </c>
      <c r="L28">
        <v>0.98832323587799598</v>
      </c>
      <c r="M28">
        <v>0.76619699753694503</v>
      </c>
      <c r="N28">
        <v>1.53382242876218E-4</v>
      </c>
      <c r="O28">
        <v>7.4908372741137194E-2</v>
      </c>
      <c r="P28">
        <v>3.13171083743842E-3</v>
      </c>
      <c r="Q28">
        <v>3.1823449547881898E-6</v>
      </c>
      <c r="R28">
        <v>1.3883232989427699E-4</v>
      </c>
    </row>
    <row r="29" spans="1:18" x14ac:dyDescent="0.3">
      <c r="A29" t="s">
        <v>33</v>
      </c>
      <c r="B29" t="s">
        <v>22</v>
      </c>
      <c r="C29" t="s">
        <v>27</v>
      </c>
      <c r="D29">
        <v>0.57807914571066299</v>
      </c>
      <c r="E29">
        <v>0.20848369533691199</v>
      </c>
      <c r="F29">
        <v>0.94767459608441496</v>
      </c>
      <c r="G29">
        <v>0.14377890843621499</v>
      </c>
      <c r="H29">
        <v>16.165317560688599</v>
      </c>
      <c r="I29">
        <v>1.0114665253400301E-2</v>
      </c>
      <c r="J29">
        <v>15.0106944302768</v>
      </c>
      <c r="K29" t="s">
        <v>24</v>
      </c>
      <c r="L29">
        <v>0.71651736465584204</v>
      </c>
      <c r="M29">
        <v>2.0471107142857499E-2</v>
      </c>
      <c r="N29">
        <v>0.92831033357613202</v>
      </c>
      <c r="O29">
        <v>0.21640752706528299</v>
      </c>
      <c r="P29">
        <v>1.6125928571428601E-3</v>
      </c>
      <c r="Q29">
        <v>1.0114665253400301E-2</v>
      </c>
      <c r="R29">
        <v>4.0108148247936399E-4</v>
      </c>
    </row>
    <row r="30" spans="1:18" x14ac:dyDescent="0.3">
      <c r="A30" t="s">
        <v>33</v>
      </c>
      <c r="B30" t="s">
        <v>28</v>
      </c>
      <c r="C30" t="s">
        <v>23</v>
      </c>
      <c r="D30">
        <v>9.6321927681768091</v>
      </c>
      <c r="E30">
        <v>-12.339124627878</v>
      </c>
      <c r="F30">
        <v>31.603510164231601</v>
      </c>
      <c r="G30">
        <v>6.90390827948191</v>
      </c>
      <c r="H30">
        <v>1.94652643004341</v>
      </c>
      <c r="I30">
        <v>0.25730714994653597</v>
      </c>
      <c r="J30">
        <v>66.701075266684597</v>
      </c>
      <c r="K30" t="s">
        <v>24</v>
      </c>
      <c r="L30">
        <v>0.19135173811961301</v>
      </c>
      <c r="M30">
        <v>2273.7455455930999</v>
      </c>
      <c r="N30">
        <v>1.84255961388903E-7</v>
      </c>
      <c r="O30">
        <v>9.9403594462075304</v>
      </c>
      <c r="P30">
        <v>3.7312710344826701E-2</v>
      </c>
      <c r="Q30">
        <v>0.25730714994653697</v>
      </c>
      <c r="R30">
        <v>2.6744017284479501E-2</v>
      </c>
    </row>
    <row r="31" spans="1:18" x14ac:dyDescent="0.3">
      <c r="A31" t="s">
        <v>33</v>
      </c>
      <c r="B31" t="s">
        <v>28</v>
      </c>
      <c r="C31" t="s">
        <v>25</v>
      </c>
      <c r="D31">
        <v>0.70347971965105205</v>
      </c>
      <c r="E31">
        <v>-1.2744198408293601</v>
      </c>
      <c r="F31">
        <v>2.6813792801314702</v>
      </c>
      <c r="G31">
        <v>0.62150288512223295</v>
      </c>
      <c r="H31">
        <v>1.2811998099788799</v>
      </c>
      <c r="I31">
        <v>0.33997249043341599</v>
      </c>
      <c r="J31">
        <v>42.6240513225246</v>
      </c>
      <c r="K31" t="s">
        <v>24</v>
      </c>
      <c r="L31">
        <v>6.5682477450232798E-2</v>
      </c>
      <c r="M31">
        <v>0.70373370344827602</v>
      </c>
      <c r="N31">
        <v>0.48901709343303501</v>
      </c>
      <c r="O31">
        <v>0.89484996394442695</v>
      </c>
      <c r="P31">
        <v>2.72510482758621E-3</v>
      </c>
      <c r="Q31">
        <v>0.33997249043341599</v>
      </c>
      <c r="R31">
        <v>2.4075470341141602E-3</v>
      </c>
    </row>
    <row r="32" spans="1:18" x14ac:dyDescent="0.3">
      <c r="A32" t="s">
        <v>33</v>
      </c>
      <c r="B32" t="s">
        <v>28</v>
      </c>
      <c r="C32" t="s">
        <v>26</v>
      </c>
      <c r="D32">
        <v>2.2181960890338899</v>
      </c>
      <c r="E32">
        <v>1.9906520079980199</v>
      </c>
      <c r="F32">
        <v>2.4457401700697599</v>
      </c>
      <c r="G32">
        <v>7.1499739259727704E-2</v>
      </c>
      <c r="H32">
        <v>962.47831701708003</v>
      </c>
      <c r="I32">
        <v>7.3580423951290696E-5</v>
      </c>
      <c r="J32">
        <v>20.9995838209684</v>
      </c>
      <c r="K32" t="s">
        <v>24</v>
      </c>
      <c r="L32">
        <v>0.99585697583312005</v>
      </c>
      <c r="M32">
        <v>0.59467664137931198</v>
      </c>
      <c r="N32">
        <v>1.0315395917249E-2</v>
      </c>
      <c r="O32">
        <v>0.10294648766758301</v>
      </c>
      <c r="P32">
        <v>8.59273793103448E-3</v>
      </c>
      <c r="Q32">
        <v>7.3580423951290696E-5</v>
      </c>
      <c r="R32">
        <v>2.7697214174772202E-4</v>
      </c>
    </row>
    <row r="33" spans="1:18" x14ac:dyDescent="0.3">
      <c r="A33" t="s">
        <v>33</v>
      </c>
      <c r="B33" t="s">
        <v>28</v>
      </c>
      <c r="C33" t="s">
        <v>27</v>
      </c>
      <c r="D33">
        <v>0.67184540240736002</v>
      </c>
      <c r="E33">
        <v>5.4068085346544899E-2</v>
      </c>
      <c r="F33">
        <v>1.28962271946818</v>
      </c>
      <c r="G33">
        <v>0.194120264035607</v>
      </c>
      <c r="H33">
        <v>11.978348720365499</v>
      </c>
      <c r="I33">
        <v>4.0611391633811202E-2</v>
      </c>
      <c r="J33">
        <v>30.9874246382366</v>
      </c>
      <c r="K33" t="s">
        <v>24</v>
      </c>
      <c r="L33">
        <v>0.73294786530364697</v>
      </c>
      <c r="M33">
        <v>-0.33276402758620599</v>
      </c>
      <c r="N33">
        <v>0.31943978240629101</v>
      </c>
      <c r="O33">
        <v>0.27949751389968502</v>
      </c>
      <c r="P33">
        <v>2.6025613793103398E-3</v>
      </c>
      <c r="Q33">
        <v>4.0611391633811202E-2</v>
      </c>
      <c r="R33">
        <v>7.5197344554316602E-4</v>
      </c>
    </row>
    <row r="34" spans="1:18" x14ac:dyDescent="0.3">
      <c r="A34" t="s">
        <v>33</v>
      </c>
      <c r="B34" t="s">
        <v>30</v>
      </c>
      <c r="C34" t="s">
        <v>23</v>
      </c>
      <c r="D34">
        <v>11.9919320719388</v>
      </c>
      <c r="E34">
        <v>2.1564848330498498</v>
      </c>
      <c r="F34">
        <v>21.827379310827698</v>
      </c>
      <c r="G34">
        <v>4.1594123177345699</v>
      </c>
      <c r="H34">
        <v>8.3121691495811607</v>
      </c>
      <c r="I34">
        <v>2.35476531135284E-2</v>
      </c>
      <c r="J34">
        <v>82.280015848555394</v>
      </c>
      <c r="K34" t="s">
        <v>24</v>
      </c>
      <c r="L34">
        <v>0.47753973184009502</v>
      </c>
      <c r="M34">
        <v>2278.2913977394601</v>
      </c>
      <c r="N34">
        <v>4.4970022745090397E-15</v>
      </c>
      <c r="O34">
        <v>9.1639103031753208</v>
      </c>
      <c r="P34">
        <v>3.7357744137931602E-2</v>
      </c>
      <c r="Q34">
        <v>2.3547653113527401E-2</v>
      </c>
      <c r="R34">
        <v>1.2957566820587201E-2</v>
      </c>
    </row>
    <row r="35" spans="1:18" x14ac:dyDescent="0.3">
      <c r="A35" t="s">
        <v>33</v>
      </c>
      <c r="B35" t="s">
        <v>30</v>
      </c>
      <c r="C35" t="s">
        <v>25</v>
      </c>
      <c r="D35">
        <v>3.7341085770736603E-2</v>
      </c>
      <c r="E35">
        <v>-4.6573134561268097E-2</v>
      </c>
      <c r="F35">
        <v>0.121255306102741</v>
      </c>
      <c r="G35">
        <v>3.5487338115339502E-2</v>
      </c>
      <c r="H35">
        <v>1.1072024417136599</v>
      </c>
      <c r="I35">
        <v>0.32765241767618303</v>
      </c>
      <c r="J35">
        <v>-3.4711401935318098</v>
      </c>
      <c r="K35" t="s">
        <v>24</v>
      </c>
      <c r="L35">
        <v>1.32231114844344E-2</v>
      </c>
      <c r="M35">
        <v>0.15383269348659001</v>
      </c>
      <c r="N35">
        <v>8.9814550312535393E-2</v>
      </c>
      <c r="O35">
        <v>7.8184791154474506E-2</v>
      </c>
      <c r="P35">
        <v>1.1632643678160901E-4</v>
      </c>
      <c r="Q35">
        <v>0.32765241767618303</v>
      </c>
      <c r="R35">
        <v>1.10551568295766E-4</v>
      </c>
    </row>
    <row r="36" spans="1:18" x14ac:dyDescent="0.3">
      <c r="A36" t="s">
        <v>33</v>
      </c>
      <c r="B36" t="s">
        <v>30</v>
      </c>
      <c r="C36" t="s">
        <v>26</v>
      </c>
      <c r="D36">
        <v>1.3760638403216301</v>
      </c>
      <c r="E36">
        <v>1.25391311902994</v>
      </c>
      <c r="F36">
        <v>1.49821456161331</v>
      </c>
      <c r="G36">
        <v>5.1657560903981499E-2</v>
      </c>
      <c r="H36">
        <v>709.59308193200104</v>
      </c>
      <c r="I36">
        <v>2.6913964298954998E-8</v>
      </c>
      <c r="J36">
        <v>3.2871508242625098</v>
      </c>
      <c r="K36" t="s">
        <v>24</v>
      </c>
      <c r="L36">
        <v>0.98883606302975802</v>
      </c>
      <c r="M36">
        <v>0.74081857854405997</v>
      </c>
      <c r="N36">
        <v>3.3124945059962699E-4</v>
      </c>
      <c r="O36">
        <v>0.11381061035630401</v>
      </c>
      <c r="P36">
        <v>4.2867688505747103E-3</v>
      </c>
      <c r="Q36">
        <v>2.6913964298954998E-8</v>
      </c>
      <c r="R36">
        <v>1.6092568999422001E-4</v>
      </c>
    </row>
    <row r="37" spans="1:18" x14ac:dyDescent="0.3">
      <c r="A37" t="s">
        <v>33</v>
      </c>
      <c r="B37" t="s">
        <v>30</v>
      </c>
      <c r="C37" t="s">
        <v>27</v>
      </c>
      <c r="D37">
        <v>0.49789255703471702</v>
      </c>
      <c r="E37">
        <v>-0.13929322300378699</v>
      </c>
      <c r="F37">
        <v>1.13507833707322</v>
      </c>
      <c r="G37">
        <v>0.26946597524291799</v>
      </c>
      <c r="H37">
        <v>3.4139990555114501</v>
      </c>
      <c r="I37">
        <v>0.10712786368778</v>
      </c>
      <c r="J37">
        <v>33.019650882843997</v>
      </c>
      <c r="K37" t="s">
        <v>24</v>
      </c>
      <c r="L37">
        <v>0.23180327198453901</v>
      </c>
      <c r="M37">
        <v>1.8972505747126001E-2</v>
      </c>
      <c r="N37">
        <v>0.97539810787236503</v>
      </c>
      <c r="O37">
        <v>0.59368051019012802</v>
      </c>
      <c r="P37">
        <v>1.55105471264368E-3</v>
      </c>
      <c r="Q37">
        <v>0.10712786368778</v>
      </c>
      <c r="R37">
        <v>8.3945113236249798E-4</v>
      </c>
    </row>
    <row r="38" spans="1:18" x14ac:dyDescent="0.3">
      <c r="A38" t="s">
        <v>33</v>
      </c>
      <c r="B38" t="s">
        <v>31</v>
      </c>
      <c r="C38" t="s">
        <v>23</v>
      </c>
      <c r="D38">
        <v>2.3422322345692801</v>
      </c>
      <c r="E38">
        <v>-13.3787559366578</v>
      </c>
      <c r="F38">
        <v>18.063220405796301</v>
      </c>
      <c r="G38">
        <v>4.9399068085221201</v>
      </c>
      <c r="H38">
        <v>0.22481350422256899</v>
      </c>
      <c r="I38">
        <v>0.66777014097967102</v>
      </c>
      <c r="J38">
        <v>65.664877457122401</v>
      </c>
      <c r="K38" t="s">
        <v>24</v>
      </c>
      <c r="L38">
        <v>-0.24038180650211299</v>
      </c>
      <c r="M38">
        <v>2294.6394380605502</v>
      </c>
      <c r="N38">
        <v>9.7791704321388101E-8</v>
      </c>
      <c r="O38">
        <v>8.1220328016439893</v>
      </c>
      <c r="P38">
        <v>6.31247136248945E-3</v>
      </c>
      <c r="Q38">
        <v>0.66777014097967602</v>
      </c>
      <c r="R38">
        <v>1.33133767872924E-2</v>
      </c>
    </row>
    <row r="39" spans="1:18" x14ac:dyDescent="0.3">
      <c r="A39" t="s">
        <v>33</v>
      </c>
      <c r="B39" t="s">
        <v>31</v>
      </c>
      <c r="C39" t="s">
        <v>25</v>
      </c>
      <c r="D39">
        <v>1.3745272902880199</v>
      </c>
      <c r="E39">
        <v>-2.6000944188191202</v>
      </c>
      <c r="F39">
        <v>5.34914899939516</v>
      </c>
      <c r="G39">
        <v>1.24892027322133</v>
      </c>
      <c r="H39">
        <v>1.21125979759764</v>
      </c>
      <c r="I39">
        <v>0.35146956457141798</v>
      </c>
      <c r="J39">
        <v>51.914206759791199</v>
      </c>
      <c r="K39" t="s">
        <v>24</v>
      </c>
      <c r="L39">
        <v>5.0165463008993001E-2</v>
      </c>
      <c r="M39">
        <v>0.28814176871320402</v>
      </c>
      <c r="N39">
        <v>0.89729732809759299</v>
      </c>
      <c r="O39">
        <v>2.0534337628074701</v>
      </c>
      <c r="P39">
        <v>3.7044422960471001E-3</v>
      </c>
      <c r="Q39">
        <v>0.35146956457141798</v>
      </c>
      <c r="R39">
        <v>3.36592304656414E-3</v>
      </c>
    </row>
    <row r="40" spans="1:18" x14ac:dyDescent="0.3">
      <c r="A40" t="s">
        <v>33</v>
      </c>
      <c r="B40" t="s">
        <v>31</v>
      </c>
      <c r="C40" t="s">
        <v>26</v>
      </c>
      <c r="D40">
        <v>1.5829202776576099</v>
      </c>
      <c r="E40">
        <v>1.4749282490822999</v>
      </c>
      <c r="F40">
        <v>1.6909123062329301</v>
      </c>
      <c r="G40">
        <v>3.3933652987646799E-2</v>
      </c>
      <c r="H40">
        <v>2175.98980588719</v>
      </c>
      <c r="I40">
        <v>2.1690393086889899E-5</v>
      </c>
      <c r="J40">
        <v>15.857932358519699</v>
      </c>
      <c r="K40" t="s">
        <v>24</v>
      </c>
      <c r="L40">
        <v>0.998164286960319</v>
      </c>
      <c r="M40">
        <v>0.99858078805718997</v>
      </c>
      <c r="N40">
        <v>3.8035727980778399E-4</v>
      </c>
      <c r="O40">
        <v>5.5792599603255798E-2</v>
      </c>
      <c r="P40">
        <v>4.2660752312867999E-3</v>
      </c>
      <c r="Q40">
        <v>2.1690393086889899E-5</v>
      </c>
      <c r="R40">
        <v>9.1453447505202701E-5</v>
      </c>
    </row>
    <row r="41" spans="1:18" x14ac:dyDescent="0.3">
      <c r="A41" t="s">
        <v>33</v>
      </c>
      <c r="B41" t="s">
        <v>31</v>
      </c>
      <c r="C41" t="s">
        <v>27</v>
      </c>
      <c r="D41">
        <v>0.14850432558131599</v>
      </c>
      <c r="E41">
        <v>2.3842844784580201E-2</v>
      </c>
      <c r="F41">
        <v>0.27316580637805099</v>
      </c>
      <c r="G41">
        <v>3.9171589663512703E-2</v>
      </c>
      <c r="H41">
        <v>14.372615742230201</v>
      </c>
      <c r="I41">
        <v>3.2198424583736097E-2</v>
      </c>
      <c r="J41">
        <v>17.293377309336702</v>
      </c>
      <c r="K41" t="s">
        <v>24</v>
      </c>
      <c r="L41">
        <v>0.76975257731185498</v>
      </c>
      <c r="M41">
        <v>0.37610795626576998</v>
      </c>
      <c r="N41">
        <v>1.0005499412476899E-2</v>
      </c>
      <c r="O41">
        <v>6.4404643340786202E-2</v>
      </c>
      <c r="P41">
        <v>4.0022901597981501E-4</v>
      </c>
      <c r="Q41">
        <v>3.2198424583736097E-2</v>
      </c>
      <c r="R41">
        <v>1.0557003456985699E-4</v>
      </c>
    </row>
    <row r="42" spans="1:18" x14ac:dyDescent="0.3">
      <c r="A42" t="s">
        <v>33</v>
      </c>
      <c r="B42" t="s">
        <v>32</v>
      </c>
      <c r="C42" t="s">
        <v>23</v>
      </c>
      <c r="D42">
        <v>15.208725038012201</v>
      </c>
      <c r="E42">
        <v>-17.501358451464199</v>
      </c>
      <c r="F42">
        <v>47.918808527488601</v>
      </c>
      <c r="G42">
        <v>10.2782829156203</v>
      </c>
      <c r="H42">
        <v>2.1894976383015998</v>
      </c>
      <c r="I42">
        <v>0.23551468709330001</v>
      </c>
      <c r="J42">
        <v>68.350550303569804</v>
      </c>
      <c r="K42" t="s">
        <v>24</v>
      </c>
      <c r="L42">
        <v>0.22921248282731499</v>
      </c>
      <c r="M42">
        <v>2274.0591187172399</v>
      </c>
      <c r="N42">
        <v>3.02090859471327E-7</v>
      </c>
      <c r="O42">
        <v>11.7229760992164</v>
      </c>
      <c r="P42">
        <v>4.6669664137931999E-2</v>
      </c>
      <c r="Q42">
        <v>0.23551468709328999</v>
      </c>
      <c r="R42">
        <v>3.1540054172045001E-2</v>
      </c>
    </row>
    <row r="43" spans="1:18" x14ac:dyDescent="0.3">
      <c r="A43" t="s">
        <v>33</v>
      </c>
      <c r="B43" t="s">
        <v>32</v>
      </c>
      <c r="C43" t="s">
        <v>25</v>
      </c>
      <c r="D43">
        <v>2.92471742952802E-2</v>
      </c>
      <c r="E43">
        <v>-7.4850658974927403E-2</v>
      </c>
      <c r="F43">
        <v>0.13334500756548801</v>
      </c>
      <c r="G43">
        <v>3.2710004595325803E-2</v>
      </c>
      <c r="H43">
        <v>0.79947818200444898</v>
      </c>
      <c r="I43">
        <v>0.43713131102047498</v>
      </c>
      <c r="J43">
        <v>10.849475188907601</v>
      </c>
      <c r="K43" t="s">
        <v>24</v>
      </c>
      <c r="L43">
        <v>-5.27761467206962E-2</v>
      </c>
      <c r="M43">
        <v>9.9778475862068894E-2</v>
      </c>
      <c r="N43">
        <v>7.5402337709462003E-2</v>
      </c>
      <c r="O43">
        <v>3.7307651990539099E-2</v>
      </c>
      <c r="P43">
        <v>8.9748206896551698E-5</v>
      </c>
      <c r="Q43">
        <v>0.43713131102047498</v>
      </c>
      <c r="R43">
        <v>1.00374286772798E-4</v>
      </c>
    </row>
    <row r="44" spans="1:18" x14ac:dyDescent="0.3">
      <c r="A44" t="s">
        <v>33</v>
      </c>
      <c r="B44" t="s">
        <v>32</v>
      </c>
      <c r="C44" t="s">
        <v>26</v>
      </c>
      <c r="D44">
        <v>1.0226812130818801</v>
      </c>
      <c r="E44">
        <v>0.91155867142622504</v>
      </c>
      <c r="F44">
        <v>1.1338037547375299</v>
      </c>
      <c r="G44">
        <v>3.4917334338417497E-2</v>
      </c>
      <c r="H44">
        <v>857.82439594838002</v>
      </c>
      <c r="I44">
        <v>8.7408479734791606E-5</v>
      </c>
      <c r="J44">
        <v>11.502499286689</v>
      </c>
      <c r="K44" t="s">
        <v>24</v>
      </c>
      <c r="L44">
        <v>0.99535329154374896</v>
      </c>
      <c r="M44">
        <v>0.83364137931034499</v>
      </c>
      <c r="N44">
        <v>2.38479710121095E-4</v>
      </c>
      <c r="O44">
        <v>3.9825239221187102E-2</v>
      </c>
      <c r="P44">
        <v>3.1382110344827601E-3</v>
      </c>
      <c r="Q44">
        <v>8.7408479734791796E-5</v>
      </c>
      <c r="R44">
        <v>1.07147723566104E-4</v>
      </c>
    </row>
    <row r="45" spans="1:18" x14ac:dyDescent="0.3">
      <c r="A45" t="s">
        <v>33</v>
      </c>
      <c r="B45" t="s">
        <v>32</v>
      </c>
      <c r="C45" t="s">
        <v>27</v>
      </c>
      <c r="D45">
        <v>0.23490082681383201</v>
      </c>
      <c r="E45">
        <v>-0.43700711870175202</v>
      </c>
      <c r="F45">
        <v>0.90680877232941604</v>
      </c>
      <c r="G45">
        <v>0.21112938948884599</v>
      </c>
      <c r="H45">
        <v>1.23786050636093</v>
      </c>
      <c r="I45">
        <v>0.34701384535865198</v>
      </c>
      <c r="J45">
        <v>29.4973770271319</v>
      </c>
      <c r="K45" t="s">
        <v>24</v>
      </c>
      <c r="L45">
        <v>5.6127497826769797E-2</v>
      </c>
      <c r="M45">
        <v>0.30839061379310301</v>
      </c>
      <c r="N45">
        <v>0.29034610501996999</v>
      </c>
      <c r="O45">
        <v>0.240805279163746</v>
      </c>
      <c r="P45">
        <v>7.20819310344828E-4</v>
      </c>
      <c r="Q45">
        <v>0.34701384535865198</v>
      </c>
      <c r="R45">
        <v>6.4787401129706495E-4</v>
      </c>
    </row>
    <row r="46" spans="1:18" x14ac:dyDescent="0.3">
      <c r="A46" t="s">
        <v>34</v>
      </c>
      <c r="B46" t="s">
        <v>28</v>
      </c>
      <c r="C46" t="s">
        <v>23</v>
      </c>
      <c r="D46">
        <v>14.664611657545301</v>
      </c>
      <c r="E46">
        <v>13.0031776265002</v>
      </c>
      <c r="F46">
        <v>16.326045688590501</v>
      </c>
      <c r="G46">
        <v>0.67899218775197201</v>
      </c>
      <c r="H46">
        <v>466.45696086758602</v>
      </c>
      <c r="I46">
        <v>6.4312618040189895E-7</v>
      </c>
      <c r="J46">
        <v>64.393539550828194</v>
      </c>
      <c r="K46" t="s">
        <v>24</v>
      </c>
      <c r="L46">
        <v>0.985183835608759</v>
      </c>
      <c r="M46">
        <v>2091.66884167836</v>
      </c>
      <c r="N46">
        <v>7.5210585299974104E-15</v>
      </c>
      <c r="O46">
        <v>4.5883965598492598</v>
      </c>
      <c r="P46">
        <v>4.67144866766862E-2</v>
      </c>
      <c r="Q46">
        <v>6.4312618040189302E-7</v>
      </c>
      <c r="R46">
        <v>2.16294657158503E-3</v>
      </c>
    </row>
    <row r="47" spans="1:18" x14ac:dyDescent="0.3">
      <c r="A47" t="s">
        <v>34</v>
      </c>
      <c r="B47" t="s">
        <v>28</v>
      </c>
      <c r="C47" t="s">
        <v>25</v>
      </c>
      <c r="D47">
        <v>4.7544453788763999E-2</v>
      </c>
      <c r="E47">
        <v>7.8036087275494201E-3</v>
      </c>
      <c r="F47">
        <v>8.7285298849978696E-2</v>
      </c>
      <c r="G47">
        <v>1.6806410166201099E-2</v>
      </c>
      <c r="H47">
        <v>8.0029445519839602</v>
      </c>
      <c r="I47">
        <v>2.5444562190532701E-2</v>
      </c>
      <c r="J47">
        <v>3.66110636632204</v>
      </c>
      <c r="K47" t="s">
        <v>24</v>
      </c>
      <c r="L47">
        <v>0.46677134130032499</v>
      </c>
      <c r="M47">
        <v>0.254080496878901</v>
      </c>
      <c r="N47">
        <v>6.1657200304142297E-2</v>
      </c>
      <c r="O47">
        <v>0.114326347955788</v>
      </c>
      <c r="P47">
        <v>1.5145404494381999E-4</v>
      </c>
      <c r="Q47">
        <v>2.5444562190532701E-2</v>
      </c>
      <c r="R47">
        <v>5.3537239316389797E-5</v>
      </c>
    </row>
    <row r="48" spans="1:18" x14ac:dyDescent="0.3">
      <c r="A48" t="s">
        <v>34</v>
      </c>
      <c r="B48" t="s">
        <v>28</v>
      </c>
      <c r="C48" t="s">
        <v>26</v>
      </c>
      <c r="D48">
        <v>0.142776565321348</v>
      </c>
      <c r="E48">
        <v>5.6593844954854297E-2</v>
      </c>
      <c r="F48">
        <v>0.22895928568784199</v>
      </c>
      <c r="G48">
        <v>3.6446687167503398E-2</v>
      </c>
      <c r="H48">
        <v>15.3460900468885</v>
      </c>
      <c r="I48">
        <v>5.76821828449377E-3</v>
      </c>
      <c r="J48">
        <v>17.594729896853199</v>
      </c>
      <c r="K48" t="s">
        <v>24</v>
      </c>
      <c r="L48">
        <v>0.64199553554050304</v>
      </c>
      <c r="M48">
        <v>0.26657136704119899</v>
      </c>
      <c r="N48">
        <v>0.31794763458458197</v>
      </c>
      <c r="O48">
        <v>0.247930200306995</v>
      </c>
      <c r="P48">
        <v>4.54818314606741E-4</v>
      </c>
      <c r="Q48">
        <v>5.76821828449377E-3</v>
      </c>
      <c r="R48">
        <v>1.16101832210447E-4</v>
      </c>
    </row>
    <row r="49" spans="1:18" x14ac:dyDescent="0.3">
      <c r="A49" t="s">
        <v>34</v>
      </c>
      <c r="B49" t="s">
        <v>28</v>
      </c>
      <c r="C49" t="s">
        <v>27</v>
      </c>
      <c r="D49">
        <v>0.66086351395955101</v>
      </c>
      <c r="E49">
        <v>0.231953947753373</v>
      </c>
      <c r="F49">
        <v>1.0897730801657299</v>
      </c>
      <c r="G49">
        <v>0.181385928828764</v>
      </c>
      <c r="H49">
        <v>13.274444744138499</v>
      </c>
      <c r="I49">
        <v>8.2496806578741793E-3</v>
      </c>
      <c r="J49">
        <v>46.480705052440598</v>
      </c>
      <c r="K49" t="s">
        <v>24</v>
      </c>
      <c r="L49">
        <v>0.60541459453222002</v>
      </c>
      <c r="M49">
        <v>0.51914098876404502</v>
      </c>
      <c r="N49">
        <v>0.686563361181461</v>
      </c>
      <c r="O49">
        <v>1.2338857976502999</v>
      </c>
      <c r="P49">
        <v>2.1051972284644202E-3</v>
      </c>
      <c r="Q49">
        <v>8.2496806578741897E-3</v>
      </c>
      <c r="R49">
        <v>5.7780940630977303E-4</v>
      </c>
    </row>
    <row r="50" spans="1:18" x14ac:dyDescent="0.3">
      <c r="A50" t="s">
        <v>34</v>
      </c>
      <c r="B50" t="s">
        <v>29</v>
      </c>
      <c r="C50" t="s">
        <v>23</v>
      </c>
      <c r="D50">
        <v>16.9042929019685</v>
      </c>
      <c r="E50">
        <v>14.876970249960999</v>
      </c>
      <c r="F50">
        <v>18.931615553975998</v>
      </c>
      <c r="G50">
        <v>0.85735509590664805</v>
      </c>
      <c r="H50">
        <v>388.75192383530703</v>
      </c>
      <c r="I50">
        <v>2.1567723256292301E-7</v>
      </c>
      <c r="J50">
        <v>74.941117118903804</v>
      </c>
      <c r="K50" t="s">
        <v>24</v>
      </c>
      <c r="L50">
        <v>0.97978531620902698</v>
      </c>
      <c r="M50">
        <v>2088.1206134406998</v>
      </c>
      <c r="N50">
        <v>4.2567416227571E-16</v>
      </c>
      <c r="O50">
        <v>5.9972580818418102</v>
      </c>
      <c r="P50">
        <v>5.5373076853932598E-2</v>
      </c>
      <c r="Q50">
        <v>2.1567723256292499E-7</v>
      </c>
      <c r="R50">
        <v>2.80842209088918E-3</v>
      </c>
    </row>
    <row r="51" spans="1:18" x14ac:dyDescent="0.3">
      <c r="A51" t="s">
        <v>34</v>
      </c>
      <c r="B51" t="s">
        <v>29</v>
      </c>
      <c r="C51" t="s">
        <v>25</v>
      </c>
      <c r="D51">
        <v>-2.2584248521348299E-2</v>
      </c>
      <c r="E51">
        <v>-8.4265338789977898E-2</v>
      </c>
      <c r="F51">
        <v>3.90968417472813E-2</v>
      </c>
      <c r="G51">
        <v>2.60849436129575E-2</v>
      </c>
      <c r="H51">
        <v>0.74960328988693503</v>
      </c>
      <c r="I51">
        <v>0.41528734963497599</v>
      </c>
      <c r="J51">
        <v>12.0762268183089</v>
      </c>
      <c r="K51" t="s">
        <v>24</v>
      </c>
      <c r="L51">
        <v>-3.2310906861494001E-2</v>
      </c>
      <c r="M51">
        <v>0.81671462047440702</v>
      </c>
      <c r="N51">
        <v>2.8801466033901999E-3</v>
      </c>
      <c r="O51">
        <v>0.18246598130004099</v>
      </c>
      <c r="P51">
        <v>-7.3978801498127296E-5</v>
      </c>
      <c r="Q51">
        <v>0.41528734963497599</v>
      </c>
      <c r="R51">
        <v>8.54459630927591E-5</v>
      </c>
    </row>
    <row r="52" spans="1:18" x14ac:dyDescent="0.3">
      <c r="A52" t="s">
        <v>34</v>
      </c>
      <c r="B52" t="s">
        <v>29</v>
      </c>
      <c r="C52" t="s">
        <v>26</v>
      </c>
      <c r="D52">
        <v>0.212570522966292</v>
      </c>
      <c r="E52">
        <v>0.18779171019025601</v>
      </c>
      <c r="F52">
        <v>0.237349335742328</v>
      </c>
      <c r="G52">
        <v>1.0478964156501999E-2</v>
      </c>
      <c r="H52">
        <v>411.49955726854603</v>
      </c>
      <c r="I52">
        <v>1.7729139526125E-7</v>
      </c>
      <c r="J52">
        <v>-4.3395651165795401</v>
      </c>
      <c r="K52" t="s">
        <v>24</v>
      </c>
      <c r="L52">
        <v>0.98088408969363305</v>
      </c>
      <c r="M52">
        <v>7.9915511860175606E-2</v>
      </c>
      <c r="N52">
        <v>0.31170995038146798</v>
      </c>
      <c r="O52">
        <v>7.3301077671269907E-2</v>
      </c>
      <c r="P52">
        <v>6.9631329588014997E-4</v>
      </c>
      <c r="Q52">
        <v>1.7729139526125101E-7</v>
      </c>
      <c r="R52">
        <v>3.4325747367996599E-5</v>
      </c>
    </row>
    <row r="53" spans="1:18" x14ac:dyDescent="0.3">
      <c r="A53" t="s">
        <v>34</v>
      </c>
      <c r="B53" t="s">
        <v>29</v>
      </c>
      <c r="C53" t="s">
        <v>27</v>
      </c>
      <c r="D53">
        <v>0.87105047320449502</v>
      </c>
      <c r="E53">
        <v>0.59087410332967105</v>
      </c>
      <c r="F53">
        <v>1.15122684307932</v>
      </c>
      <c r="G53">
        <v>0.118486634688831</v>
      </c>
      <c r="H53">
        <v>54.044053197323599</v>
      </c>
      <c r="I53">
        <v>1.5573599608976801E-4</v>
      </c>
      <c r="J53">
        <v>39.318180873797303</v>
      </c>
      <c r="K53" t="s">
        <v>24</v>
      </c>
      <c r="L53">
        <v>0.86894710326425795</v>
      </c>
      <c r="M53">
        <v>0.51782530212234701</v>
      </c>
      <c r="N53">
        <v>0.55193300039617299</v>
      </c>
      <c r="O53">
        <v>0.82882218916116401</v>
      </c>
      <c r="P53">
        <v>2.8532837827715402E-3</v>
      </c>
      <c r="Q53">
        <v>1.5573599608976801E-4</v>
      </c>
      <c r="R53">
        <v>3.8812445849328701E-4</v>
      </c>
    </row>
    <row r="54" spans="1:18" x14ac:dyDescent="0.3">
      <c r="A54" t="s">
        <v>34</v>
      </c>
      <c r="B54" t="s">
        <v>32</v>
      </c>
      <c r="C54" t="s">
        <v>23</v>
      </c>
      <c r="D54">
        <v>14.89991592</v>
      </c>
      <c r="E54">
        <v>14.1493404689715</v>
      </c>
      <c r="F54">
        <v>15.6504913710284</v>
      </c>
      <c r="G54">
        <v>0.306743968188815</v>
      </c>
      <c r="H54">
        <v>2359.4760445420902</v>
      </c>
      <c r="I54">
        <v>5.1045990620534704E-9</v>
      </c>
      <c r="J54">
        <v>47.465384667971001</v>
      </c>
      <c r="K54" t="s">
        <v>24</v>
      </c>
      <c r="L54">
        <v>0.99704076478975501</v>
      </c>
      <c r="M54">
        <v>2114.6367715738102</v>
      </c>
      <c r="N54">
        <v>1.6692055271287601E-17</v>
      </c>
      <c r="O54">
        <v>1.6753446727318599</v>
      </c>
      <c r="P54">
        <v>5.9126650476190298E-2</v>
      </c>
      <c r="Q54">
        <v>5.1045990620535804E-9</v>
      </c>
      <c r="R54">
        <v>1.21723796900323E-3</v>
      </c>
    </row>
    <row r="55" spans="1:18" x14ac:dyDescent="0.3">
      <c r="A55" t="s">
        <v>34</v>
      </c>
      <c r="B55" t="s">
        <v>32</v>
      </c>
      <c r="C55" t="s">
        <v>25</v>
      </c>
      <c r="D55">
        <v>-0.142269553846154</v>
      </c>
      <c r="E55">
        <v>-0.415140160600172</v>
      </c>
      <c r="F55">
        <v>0.130601052907865</v>
      </c>
      <c r="G55">
        <v>0.111516320715164</v>
      </c>
      <c r="H55">
        <v>1.6275977272344799</v>
      </c>
      <c r="I55">
        <v>0.2491978418113</v>
      </c>
      <c r="J55">
        <v>31.275905220355199</v>
      </c>
      <c r="K55" t="s">
        <v>24</v>
      </c>
      <c r="L55">
        <v>8.2279867092837494E-2</v>
      </c>
      <c r="M55">
        <v>1.5619958177655699</v>
      </c>
      <c r="N55">
        <v>4.2645925426893098E-2</v>
      </c>
      <c r="O55">
        <v>0.60906910390429103</v>
      </c>
      <c r="P55">
        <v>-5.6456172161172197E-4</v>
      </c>
      <c r="Q55">
        <v>0.2491978418113</v>
      </c>
      <c r="R55">
        <v>4.4252508220303202E-4</v>
      </c>
    </row>
    <row r="56" spans="1:18" x14ac:dyDescent="0.3">
      <c r="A56" t="s">
        <v>34</v>
      </c>
      <c r="B56" t="s">
        <v>32</v>
      </c>
      <c r="C56" t="s">
        <v>26</v>
      </c>
      <c r="D56">
        <v>0.25914519692307703</v>
      </c>
      <c r="E56">
        <v>0.145127603402183</v>
      </c>
      <c r="F56">
        <v>0.37316279044397099</v>
      </c>
      <c r="G56">
        <v>4.6596526747599197E-2</v>
      </c>
      <c r="H56">
        <v>30.929951261184499</v>
      </c>
      <c r="I56">
        <v>1.4308298507209999E-3</v>
      </c>
      <c r="J56">
        <v>17.313586031954799</v>
      </c>
      <c r="K56" t="s">
        <v>24</v>
      </c>
      <c r="L56">
        <v>0.81045195671954795</v>
      </c>
      <c r="M56">
        <v>0.78990217087912096</v>
      </c>
      <c r="N56">
        <v>2.10147401538807E-2</v>
      </c>
      <c r="O56">
        <v>0.25449642356567997</v>
      </c>
      <c r="P56">
        <v>1.02835395604396E-3</v>
      </c>
      <c r="Q56">
        <v>1.4308298507209999E-3</v>
      </c>
      <c r="R56">
        <v>1.8490685217301299E-4</v>
      </c>
    </row>
    <row r="57" spans="1:18" x14ac:dyDescent="0.3">
      <c r="A57" t="s">
        <v>34</v>
      </c>
      <c r="B57" t="s">
        <v>32</v>
      </c>
      <c r="C57" t="s">
        <v>27</v>
      </c>
      <c r="D57">
        <v>1.09831857230769</v>
      </c>
      <c r="E57">
        <v>0.87442309450090805</v>
      </c>
      <c r="F57">
        <v>1.3222140501144799</v>
      </c>
      <c r="G57">
        <v>9.1501243782859495E-2</v>
      </c>
      <c r="H57">
        <v>144.07965502185701</v>
      </c>
      <c r="I57">
        <v>2.0274921855275701E-5</v>
      </c>
      <c r="J57">
        <v>28.110810998416401</v>
      </c>
      <c r="K57" t="s">
        <v>24</v>
      </c>
      <c r="L57">
        <v>0.95335810174283397</v>
      </c>
      <c r="M57">
        <v>0.68198935934065996</v>
      </c>
      <c r="N57">
        <v>0.221322647402104</v>
      </c>
      <c r="O57">
        <v>0.49975268372870602</v>
      </c>
      <c r="P57">
        <v>4.3584070329670301E-3</v>
      </c>
      <c r="Q57">
        <v>2.0274921855275701E-5</v>
      </c>
      <c r="R57">
        <v>3.6310017374150598E-4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9"/>
  <sheetViews>
    <sheetView topLeftCell="A232" workbookViewId="0">
      <selection activeCell="G14" sqref="G14"/>
    </sheetView>
  </sheetViews>
  <sheetFormatPr defaultColWidth="11.5546875" defaultRowHeight="14.4" x14ac:dyDescent="0.3"/>
  <sheetData>
    <row r="1" spans="1:16" x14ac:dyDescent="0.3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2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</row>
    <row r="2" spans="1:16" x14ac:dyDescent="0.3">
      <c r="A2" t="s">
        <v>21</v>
      </c>
      <c r="B2" t="s">
        <v>22</v>
      </c>
      <c r="C2">
        <v>16.5931815</v>
      </c>
      <c r="D2">
        <v>2</v>
      </c>
      <c r="E2">
        <v>20</v>
      </c>
      <c r="F2" t="s">
        <v>23</v>
      </c>
      <c r="G2">
        <v>3895.6286570000002</v>
      </c>
      <c r="H2" t="b">
        <v>0</v>
      </c>
      <c r="I2">
        <v>3903.3687616888901</v>
      </c>
      <c r="J2">
        <v>-7.7401046888885503</v>
      </c>
      <c r="K2">
        <v>-0.785949665581541</v>
      </c>
      <c r="L2">
        <v>-0.27439148786003698</v>
      </c>
      <c r="M2">
        <v>0.88653802263723602</v>
      </c>
      <c r="N2">
        <v>-0.76204799668099898</v>
      </c>
      <c r="O2">
        <v>0.37777777777777799</v>
      </c>
      <c r="P2">
        <v>0.18752119475127699</v>
      </c>
    </row>
    <row r="3" spans="1:16" x14ac:dyDescent="0.3">
      <c r="A3" t="s">
        <v>21</v>
      </c>
      <c r="B3" t="s">
        <v>22</v>
      </c>
      <c r="C3">
        <v>16.5931815</v>
      </c>
      <c r="D3">
        <v>3</v>
      </c>
      <c r="E3">
        <v>120</v>
      </c>
      <c r="F3" t="s">
        <v>23</v>
      </c>
      <c r="G3">
        <v>3914.671636</v>
      </c>
      <c r="H3" t="b">
        <v>0</v>
      </c>
      <c r="I3">
        <v>3927.5325281555602</v>
      </c>
      <c r="J3">
        <v>-12.860892155555501</v>
      </c>
      <c r="K3">
        <v>-1.19840106431011</v>
      </c>
      <c r="L3">
        <v>-1.4941549086209001</v>
      </c>
      <c r="M3">
        <v>1.09471506078527</v>
      </c>
      <c r="N3">
        <v>-1.24448794620398</v>
      </c>
      <c r="O3">
        <v>0.26111111111111102</v>
      </c>
      <c r="P3">
        <v>0.25375849704571701</v>
      </c>
    </row>
    <row r="4" spans="1:16" x14ac:dyDescent="0.3">
      <c r="A4" t="s">
        <v>21</v>
      </c>
      <c r="B4" t="s">
        <v>22</v>
      </c>
      <c r="C4">
        <v>16.5931815</v>
      </c>
      <c r="D4">
        <v>4</v>
      </c>
      <c r="E4">
        <v>220</v>
      </c>
      <c r="F4" t="s">
        <v>23</v>
      </c>
      <c r="G4">
        <v>3970.0553319999999</v>
      </c>
      <c r="H4" t="b">
        <v>0</v>
      </c>
      <c r="I4">
        <v>3951.6962946222202</v>
      </c>
      <c r="J4">
        <v>18.3590373777776</v>
      </c>
      <c r="K4">
        <v>1.6217203199077601</v>
      </c>
      <c r="L4">
        <v>1.4941549086209001</v>
      </c>
      <c r="M4">
        <v>1.27346783230192</v>
      </c>
      <c r="N4">
        <v>1.9002454970825999</v>
      </c>
      <c r="O4">
        <v>0.17777777777777801</v>
      </c>
      <c r="P4">
        <v>0.28432181578396998</v>
      </c>
    </row>
    <row r="5" spans="1:16" x14ac:dyDescent="0.3">
      <c r="A5" t="s">
        <v>21</v>
      </c>
      <c r="B5" t="s">
        <v>22</v>
      </c>
      <c r="C5">
        <v>16.5931815</v>
      </c>
      <c r="D5">
        <v>5</v>
      </c>
      <c r="E5">
        <v>320</v>
      </c>
      <c r="F5" t="s">
        <v>23</v>
      </c>
      <c r="G5">
        <v>3985.1467349999998</v>
      </c>
      <c r="H5" t="b">
        <v>0</v>
      </c>
      <c r="I5">
        <v>3975.8600610888898</v>
      </c>
      <c r="J5">
        <v>9.2866739111108192</v>
      </c>
      <c r="K5">
        <v>0.79646607131162195</v>
      </c>
      <c r="L5">
        <v>0.57163752516508604</v>
      </c>
      <c r="M5">
        <v>0.89244947829645904</v>
      </c>
      <c r="N5">
        <v>0.77325334406757495</v>
      </c>
      <c r="O5">
        <v>0.12777777777777799</v>
      </c>
      <c r="P5">
        <v>4.6465728226952503E-2</v>
      </c>
    </row>
    <row r="6" spans="1:16" x14ac:dyDescent="0.3">
      <c r="A6" t="s">
        <v>21</v>
      </c>
      <c r="B6" t="s">
        <v>22</v>
      </c>
      <c r="C6">
        <v>16.5931815</v>
      </c>
      <c r="D6">
        <v>6</v>
      </c>
      <c r="E6">
        <v>420</v>
      </c>
      <c r="F6" t="s">
        <v>23</v>
      </c>
      <c r="G6">
        <v>4011.1163929999998</v>
      </c>
      <c r="H6" t="b">
        <v>0</v>
      </c>
      <c r="I6">
        <v>4000.0238275555598</v>
      </c>
      <c r="J6">
        <v>11.0925654444441</v>
      </c>
      <c r="K6">
        <v>0.94238620123619699</v>
      </c>
      <c r="L6">
        <v>0.93197131234318997</v>
      </c>
      <c r="M6">
        <v>0.97076578083294496</v>
      </c>
      <c r="N6">
        <v>0.93371885887607797</v>
      </c>
      <c r="O6">
        <v>0.11111111111111099</v>
      </c>
      <c r="P6">
        <v>5.5505734517524302E-2</v>
      </c>
    </row>
    <row r="7" spans="1:16" x14ac:dyDescent="0.3">
      <c r="A7" t="s">
        <v>21</v>
      </c>
      <c r="B7" t="s">
        <v>22</v>
      </c>
      <c r="C7">
        <v>16.5931815</v>
      </c>
      <c r="D7">
        <v>7</v>
      </c>
      <c r="E7">
        <v>520</v>
      </c>
      <c r="F7" t="s">
        <v>23</v>
      </c>
      <c r="G7">
        <v>4015.8046559999998</v>
      </c>
      <c r="H7" t="b">
        <v>0</v>
      </c>
      <c r="I7">
        <v>4024.1875940222199</v>
      </c>
      <c r="J7">
        <v>-8.3829380222221399</v>
      </c>
      <c r="K7">
        <v>-0.718957699658203</v>
      </c>
      <c r="L7">
        <v>-0.57163752516508604</v>
      </c>
      <c r="M7">
        <v>0.84791373361810995</v>
      </c>
      <c r="N7">
        <v>-0.69165195667603097</v>
      </c>
      <c r="O7">
        <v>0.12777777777777799</v>
      </c>
      <c r="P7">
        <v>3.7862114648566099E-2</v>
      </c>
    </row>
    <row r="8" spans="1:16" x14ac:dyDescent="0.3">
      <c r="A8" t="s">
        <v>21</v>
      </c>
      <c r="B8" t="s">
        <v>22</v>
      </c>
      <c r="C8">
        <v>16.5931815</v>
      </c>
      <c r="D8">
        <v>8</v>
      </c>
      <c r="E8">
        <v>620</v>
      </c>
      <c r="F8" t="s">
        <v>23</v>
      </c>
      <c r="G8">
        <v>4042.4794099999999</v>
      </c>
      <c r="H8" t="b">
        <v>0</v>
      </c>
      <c r="I8">
        <v>4048.3513604888899</v>
      </c>
      <c r="J8">
        <v>-5.8719504888887402</v>
      </c>
      <c r="K8">
        <v>-0.51869067148638703</v>
      </c>
      <c r="L8">
        <v>0</v>
      </c>
      <c r="M8">
        <v>0.72020182691130896</v>
      </c>
      <c r="N8">
        <v>-0.48971742601755203</v>
      </c>
      <c r="O8">
        <v>0.17777777777777801</v>
      </c>
      <c r="P8">
        <v>2.90854067769729E-2</v>
      </c>
    </row>
    <row r="9" spans="1:16" x14ac:dyDescent="0.3">
      <c r="A9" t="s">
        <v>21</v>
      </c>
      <c r="B9" t="s">
        <v>22</v>
      </c>
      <c r="C9">
        <v>16.5931815</v>
      </c>
      <c r="D9">
        <v>9</v>
      </c>
      <c r="E9">
        <v>720</v>
      </c>
      <c r="F9" t="s">
        <v>23</v>
      </c>
      <c r="G9">
        <v>4060.3970690000001</v>
      </c>
      <c r="H9" t="b">
        <v>0</v>
      </c>
      <c r="I9">
        <v>4072.5151269555599</v>
      </c>
      <c r="J9">
        <v>-12.1180579555552</v>
      </c>
      <c r="K9">
        <v>-1.1291824373969099</v>
      </c>
      <c r="L9">
        <v>-0.93197131234318997</v>
      </c>
      <c r="M9">
        <v>1.06262996259136</v>
      </c>
      <c r="N9">
        <v>-1.15598980482939</v>
      </c>
      <c r="O9">
        <v>0.26111111111111102</v>
      </c>
      <c r="P9">
        <v>0.22529131547181999</v>
      </c>
    </row>
    <row r="10" spans="1:16" x14ac:dyDescent="0.3">
      <c r="A10" t="s">
        <v>21</v>
      </c>
      <c r="B10" t="s">
        <v>22</v>
      </c>
      <c r="C10">
        <v>16.5931815</v>
      </c>
      <c r="D10">
        <v>10</v>
      </c>
      <c r="E10">
        <v>820</v>
      </c>
      <c r="F10" t="s">
        <v>23</v>
      </c>
      <c r="G10">
        <v>4104.9145600000002</v>
      </c>
      <c r="H10" t="b">
        <v>0</v>
      </c>
      <c r="I10">
        <v>4096.6788934222204</v>
      </c>
      <c r="J10">
        <v>8.2356665777776605</v>
      </c>
      <c r="K10">
        <v>0.83627026413965599</v>
      </c>
      <c r="L10">
        <v>0.27439148786003698</v>
      </c>
      <c r="M10">
        <v>0.91447813759523899</v>
      </c>
      <c r="N10">
        <v>0.81607398134610698</v>
      </c>
      <c r="O10">
        <v>0.37777777777777799</v>
      </c>
      <c r="P10">
        <v>0.21230205767199201</v>
      </c>
    </row>
    <row r="11" spans="1:16" x14ac:dyDescent="0.3">
      <c r="A11" t="s">
        <v>21</v>
      </c>
      <c r="B11" t="s">
        <v>22</v>
      </c>
      <c r="C11">
        <v>16.5931815</v>
      </c>
      <c r="D11">
        <v>2</v>
      </c>
      <c r="E11">
        <v>20</v>
      </c>
      <c r="F11" t="s">
        <v>25</v>
      </c>
      <c r="G11">
        <v>2.22864</v>
      </c>
      <c r="H11" t="b">
        <v>0</v>
      </c>
      <c r="I11">
        <v>1.3250087555555601</v>
      </c>
      <c r="J11">
        <v>0.90363124444444498</v>
      </c>
      <c r="K11">
        <v>2.5056212356753398</v>
      </c>
      <c r="L11">
        <v>1.4941549086209001</v>
      </c>
      <c r="M11">
        <v>1.58291542278018</v>
      </c>
      <c r="N11">
        <v>7.2237696513866503</v>
      </c>
      <c r="O11">
        <v>0.37777777777777799</v>
      </c>
      <c r="P11">
        <v>1.90586325363113</v>
      </c>
    </row>
    <row r="12" spans="1:16" x14ac:dyDescent="0.3">
      <c r="A12" t="s">
        <v>21</v>
      </c>
      <c r="B12" t="s">
        <v>22</v>
      </c>
      <c r="C12">
        <v>16.5931815</v>
      </c>
      <c r="D12">
        <v>3</v>
      </c>
      <c r="E12">
        <v>120</v>
      </c>
      <c r="F12" t="s">
        <v>25</v>
      </c>
      <c r="G12">
        <v>0.493807</v>
      </c>
      <c r="H12" t="b">
        <v>0</v>
      </c>
      <c r="I12">
        <v>1.1854567888888901</v>
      </c>
      <c r="J12">
        <v>-0.69164978888888895</v>
      </c>
      <c r="K12">
        <v>-1.7599228167315899</v>
      </c>
      <c r="L12">
        <v>-1.4941549086209001</v>
      </c>
      <c r="M12">
        <v>1.3266208262844299</v>
      </c>
      <c r="N12">
        <v>-2.1821682799171498</v>
      </c>
      <c r="O12">
        <v>0.26111111111111102</v>
      </c>
      <c r="P12">
        <v>0.54727229729347504</v>
      </c>
    </row>
    <row r="13" spans="1:16" x14ac:dyDescent="0.3">
      <c r="A13" t="s">
        <v>21</v>
      </c>
      <c r="B13" t="s">
        <v>22</v>
      </c>
      <c r="C13">
        <v>16.5931815</v>
      </c>
      <c r="D13">
        <v>4</v>
      </c>
      <c r="E13">
        <v>220</v>
      </c>
      <c r="F13" t="s">
        <v>25</v>
      </c>
      <c r="G13">
        <v>0.93554000000000004</v>
      </c>
      <c r="H13" t="b">
        <v>0</v>
      </c>
      <c r="I13">
        <v>1.04590482222222</v>
      </c>
      <c r="J13">
        <v>-0.11036482222222201</v>
      </c>
      <c r="K13">
        <v>-0.26621529519766202</v>
      </c>
      <c r="L13">
        <v>-0.57163752516508604</v>
      </c>
      <c r="M13">
        <v>0.51596055585447798</v>
      </c>
      <c r="N13">
        <v>-0.24772468948214901</v>
      </c>
      <c r="O13">
        <v>0.17777777777777801</v>
      </c>
      <c r="P13">
        <v>7.6616846915868401E-3</v>
      </c>
    </row>
    <row r="14" spans="1:16" x14ac:dyDescent="0.3">
      <c r="A14" t="s">
        <v>21</v>
      </c>
      <c r="B14" t="s">
        <v>22</v>
      </c>
      <c r="C14">
        <v>16.5931815</v>
      </c>
      <c r="D14">
        <v>5</v>
      </c>
      <c r="E14">
        <v>320</v>
      </c>
      <c r="F14" t="s">
        <v>25</v>
      </c>
      <c r="G14">
        <v>0.56847599999999998</v>
      </c>
      <c r="H14" t="b">
        <v>0</v>
      </c>
      <c r="I14">
        <v>0.906352855555556</v>
      </c>
      <c r="J14">
        <v>-0.33787685555555602</v>
      </c>
      <c r="K14">
        <v>-0.79130117594523997</v>
      </c>
      <c r="L14">
        <v>-0.93197131234318997</v>
      </c>
      <c r="M14">
        <v>0.88955110923726</v>
      </c>
      <c r="N14">
        <v>-0.76774460660517396</v>
      </c>
      <c r="O14">
        <v>0.12777777777777799</v>
      </c>
      <c r="P14">
        <v>4.5865043548418298E-2</v>
      </c>
    </row>
    <row r="15" spans="1:16" x14ac:dyDescent="0.3">
      <c r="A15" t="s">
        <v>21</v>
      </c>
      <c r="B15" t="s">
        <v>22</v>
      </c>
      <c r="C15">
        <v>16.5931815</v>
      </c>
      <c r="D15">
        <v>6</v>
      </c>
      <c r="E15">
        <v>420</v>
      </c>
      <c r="F15" t="s">
        <v>25</v>
      </c>
      <c r="G15">
        <v>0.75655099999999997</v>
      </c>
      <c r="H15" t="b">
        <v>0</v>
      </c>
      <c r="I15">
        <v>0.76680088888888898</v>
      </c>
      <c r="J15">
        <v>-1.0249888888888999E-2</v>
      </c>
      <c r="K15">
        <v>-2.3778932813142199E-2</v>
      </c>
      <c r="L15">
        <v>0</v>
      </c>
      <c r="M15">
        <v>0.15420419194413101</v>
      </c>
      <c r="N15">
        <v>-2.2015903154680199E-2</v>
      </c>
      <c r="O15">
        <v>0.11111111111111099</v>
      </c>
      <c r="P15">
        <v>3.5339852858245799E-5</v>
      </c>
    </row>
    <row r="16" spans="1:16" x14ac:dyDescent="0.3">
      <c r="A16" t="s">
        <v>21</v>
      </c>
      <c r="B16" t="s">
        <v>22</v>
      </c>
      <c r="C16">
        <v>16.5931815</v>
      </c>
      <c r="D16">
        <v>7</v>
      </c>
      <c r="E16">
        <v>520</v>
      </c>
      <c r="F16" t="s">
        <v>25</v>
      </c>
      <c r="G16">
        <v>0.57626100000000002</v>
      </c>
      <c r="H16" t="b">
        <v>0</v>
      </c>
      <c r="I16">
        <v>0.62724892222222195</v>
      </c>
      <c r="J16">
        <v>-5.0987922222222197E-2</v>
      </c>
      <c r="K16">
        <v>-0.11941274505798399</v>
      </c>
      <c r="L16">
        <v>-0.27439148786003698</v>
      </c>
      <c r="M16">
        <v>0.34556149244090301</v>
      </c>
      <c r="N16">
        <v>-0.110667495040258</v>
      </c>
      <c r="O16">
        <v>0.12777777777777799</v>
      </c>
      <c r="P16">
        <v>1.04447861367042E-3</v>
      </c>
    </row>
    <row r="17" spans="1:16" x14ac:dyDescent="0.3">
      <c r="A17" t="s">
        <v>21</v>
      </c>
      <c r="B17" t="s">
        <v>22</v>
      </c>
      <c r="C17">
        <v>16.5931815</v>
      </c>
      <c r="D17">
        <v>8</v>
      </c>
      <c r="E17">
        <v>620</v>
      </c>
      <c r="F17" t="s">
        <v>25</v>
      </c>
      <c r="G17">
        <v>0.51724099999999995</v>
      </c>
      <c r="H17" t="b">
        <v>0</v>
      </c>
      <c r="I17">
        <v>0.48769695555555498</v>
      </c>
      <c r="J17">
        <v>2.95440444444444E-2</v>
      </c>
      <c r="K17">
        <v>7.1264342702189107E-2</v>
      </c>
      <c r="L17">
        <v>0.27439148786003698</v>
      </c>
      <c r="M17">
        <v>0.266953821291603</v>
      </c>
      <c r="N17">
        <v>6.6001907909411697E-2</v>
      </c>
      <c r="O17">
        <v>0.17777777777777801</v>
      </c>
      <c r="P17">
        <v>5.4903854494865398E-4</v>
      </c>
    </row>
    <row r="18" spans="1:16" x14ac:dyDescent="0.3">
      <c r="A18" t="s">
        <v>21</v>
      </c>
      <c r="B18" t="s">
        <v>22</v>
      </c>
      <c r="C18">
        <v>16.5931815</v>
      </c>
      <c r="D18">
        <v>9</v>
      </c>
      <c r="E18">
        <v>720</v>
      </c>
      <c r="F18" t="s">
        <v>25</v>
      </c>
      <c r="G18">
        <v>0.44709199999999999</v>
      </c>
      <c r="H18" t="b">
        <v>0</v>
      </c>
      <c r="I18">
        <v>0.34814498888888901</v>
      </c>
      <c r="J18">
        <v>9.8947011111111094E-2</v>
      </c>
      <c r="K18">
        <v>0.25177352078945398</v>
      </c>
      <c r="L18">
        <v>0.57163752516508604</v>
      </c>
      <c r="M18">
        <v>0.50177038652102002</v>
      </c>
      <c r="N18">
        <v>0.234159637180858</v>
      </c>
      <c r="O18">
        <v>0.26111111111111102</v>
      </c>
      <c r="P18">
        <v>1.12004720722696E-2</v>
      </c>
    </row>
    <row r="19" spans="1:16" x14ac:dyDescent="0.3">
      <c r="A19" t="s">
        <v>21</v>
      </c>
      <c r="B19" t="s">
        <v>22</v>
      </c>
      <c r="C19">
        <v>16.5931815</v>
      </c>
      <c r="D19">
        <v>10</v>
      </c>
      <c r="E19">
        <v>820</v>
      </c>
      <c r="F19" t="s">
        <v>25</v>
      </c>
      <c r="G19">
        <v>0.37759999999999999</v>
      </c>
      <c r="H19" t="b">
        <v>0</v>
      </c>
      <c r="I19">
        <v>0.20859302222222201</v>
      </c>
      <c r="J19">
        <v>0.16900697777777801</v>
      </c>
      <c r="K19">
        <v>0.46862863042950698</v>
      </c>
      <c r="L19">
        <v>0.93197131234318997</v>
      </c>
      <c r="M19">
        <v>0.68456455534120897</v>
      </c>
      <c r="N19">
        <v>0.44083614424006801</v>
      </c>
      <c r="O19">
        <v>0.37777777777777799</v>
      </c>
      <c r="P19">
        <v>6.6668169381964307E-2</v>
      </c>
    </row>
    <row r="20" spans="1:16" x14ac:dyDescent="0.3">
      <c r="A20" t="s">
        <v>21</v>
      </c>
      <c r="B20" t="s">
        <v>22</v>
      </c>
      <c r="C20">
        <v>16.5931815</v>
      </c>
      <c r="D20">
        <v>2</v>
      </c>
      <c r="E20">
        <v>20</v>
      </c>
      <c r="F20" t="s">
        <v>26</v>
      </c>
      <c r="G20">
        <v>7.6916539999999998</v>
      </c>
      <c r="H20" t="b">
        <v>0</v>
      </c>
      <c r="I20">
        <v>7.7170637333333296</v>
      </c>
      <c r="J20">
        <v>-2.5409733333333399E-2</v>
      </c>
      <c r="K20">
        <v>-0.276690554457588</v>
      </c>
      <c r="L20">
        <v>-0.27439148786003698</v>
      </c>
      <c r="M20">
        <v>0.52601383485378805</v>
      </c>
      <c r="N20">
        <v>-0.257578090362793</v>
      </c>
      <c r="O20">
        <v>0.37777777777777799</v>
      </c>
      <c r="P20">
        <v>2.32407191025501E-2</v>
      </c>
    </row>
    <row r="21" spans="1:16" x14ac:dyDescent="0.3">
      <c r="A21" t="s">
        <v>21</v>
      </c>
      <c r="B21" t="s">
        <v>22</v>
      </c>
      <c r="C21">
        <v>16.5931815</v>
      </c>
      <c r="D21">
        <v>3</v>
      </c>
      <c r="E21">
        <v>120</v>
      </c>
      <c r="F21" t="s">
        <v>26</v>
      </c>
      <c r="G21">
        <v>7.8003920000000004</v>
      </c>
      <c r="H21" t="b">
        <v>0</v>
      </c>
      <c r="I21">
        <v>7.6560652999999999</v>
      </c>
      <c r="J21">
        <v>0.1443267</v>
      </c>
      <c r="K21">
        <v>1.44219537629971</v>
      </c>
      <c r="L21">
        <v>0.93197131234318997</v>
      </c>
      <c r="M21">
        <v>1.20091439174477</v>
      </c>
      <c r="N21">
        <v>1.5926266293337199</v>
      </c>
      <c r="O21">
        <v>0.26111111111111102</v>
      </c>
      <c r="P21">
        <v>0.36750598744643698</v>
      </c>
    </row>
    <row r="22" spans="1:16" x14ac:dyDescent="0.3">
      <c r="A22" t="s">
        <v>21</v>
      </c>
      <c r="B22" t="s">
        <v>22</v>
      </c>
      <c r="C22">
        <v>16.5931815</v>
      </c>
      <c r="D22">
        <v>4</v>
      </c>
      <c r="E22">
        <v>220</v>
      </c>
      <c r="F22" t="s">
        <v>26</v>
      </c>
      <c r="G22">
        <v>7.3919620000000004</v>
      </c>
      <c r="H22" t="b">
        <v>0</v>
      </c>
      <c r="I22">
        <v>7.5950668666666701</v>
      </c>
      <c r="J22">
        <v>-0.203104866666666</v>
      </c>
      <c r="K22">
        <v>-1.9239452530700301</v>
      </c>
      <c r="L22">
        <v>-1.4941549086209001</v>
      </c>
      <c r="M22">
        <v>1.38706353606099</v>
      </c>
      <c r="N22">
        <v>-2.5948627524339298</v>
      </c>
      <c r="O22">
        <v>0.17777777777777801</v>
      </c>
      <c r="P22">
        <v>0.40016922560115697</v>
      </c>
    </row>
    <row r="23" spans="1:16" x14ac:dyDescent="0.3">
      <c r="A23" t="s">
        <v>21</v>
      </c>
      <c r="B23" t="s">
        <v>22</v>
      </c>
      <c r="C23">
        <v>16.5931815</v>
      </c>
      <c r="D23">
        <v>5</v>
      </c>
      <c r="E23">
        <v>320</v>
      </c>
      <c r="F23" t="s">
        <v>26</v>
      </c>
      <c r="G23">
        <v>7.5952539999999997</v>
      </c>
      <c r="H23" t="b">
        <v>0</v>
      </c>
      <c r="I23">
        <v>7.5340684333333297</v>
      </c>
      <c r="J23">
        <v>6.1185566666666497E-2</v>
      </c>
      <c r="K23">
        <v>0.56273301826077504</v>
      </c>
      <c r="L23">
        <v>0.57163752516508604</v>
      </c>
      <c r="M23">
        <v>0.75015532942236396</v>
      </c>
      <c r="N23">
        <v>0.53318941616845095</v>
      </c>
      <c r="O23">
        <v>0.12777777777777799</v>
      </c>
      <c r="P23">
        <v>2.3195459701720701E-2</v>
      </c>
    </row>
    <row r="24" spans="1:16" x14ac:dyDescent="0.3">
      <c r="A24" t="s">
        <v>21</v>
      </c>
      <c r="B24" t="s">
        <v>22</v>
      </c>
      <c r="C24">
        <v>16.5931815</v>
      </c>
      <c r="D24">
        <v>6</v>
      </c>
      <c r="E24">
        <v>420</v>
      </c>
      <c r="F24" t="s">
        <v>26</v>
      </c>
      <c r="G24">
        <v>7.4072959999999997</v>
      </c>
      <c r="H24" t="b">
        <v>0</v>
      </c>
      <c r="I24">
        <v>7.4730699999999999</v>
      </c>
      <c r="J24">
        <v>-6.5774000000000193E-2</v>
      </c>
      <c r="K24">
        <v>-0.599235453544262</v>
      </c>
      <c r="L24">
        <v>-0.93197131234318997</v>
      </c>
      <c r="M24">
        <v>0.774102999312276</v>
      </c>
      <c r="N24">
        <v>-0.56958573432741</v>
      </c>
      <c r="O24">
        <v>0.11111111111111099</v>
      </c>
      <c r="P24">
        <v>2.2442695549024901E-2</v>
      </c>
    </row>
    <row r="25" spans="1:16" x14ac:dyDescent="0.3">
      <c r="A25" t="s">
        <v>21</v>
      </c>
      <c r="B25" t="s">
        <v>22</v>
      </c>
      <c r="C25">
        <v>16.5931815</v>
      </c>
      <c r="D25">
        <v>7</v>
      </c>
      <c r="E25">
        <v>520</v>
      </c>
      <c r="F25" t="s">
        <v>26</v>
      </c>
      <c r="G25">
        <v>7.5596670000000001</v>
      </c>
      <c r="H25" t="b">
        <v>0</v>
      </c>
      <c r="I25">
        <v>7.4120715666666701</v>
      </c>
      <c r="J25">
        <v>0.147595433333334</v>
      </c>
      <c r="K25">
        <v>1.3574577830366401</v>
      </c>
      <c r="L25">
        <v>1.4941549086209001</v>
      </c>
      <c r="M25">
        <v>1.1650999025991899</v>
      </c>
      <c r="N25">
        <v>1.4641663019726401</v>
      </c>
      <c r="O25">
        <v>0.12777777777777799</v>
      </c>
      <c r="P25">
        <v>0.13497422787489</v>
      </c>
    </row>
    <row r="26" spans="1:16" x14ac:dyDescent="0.3">
      <c r="A26" t="s">
        <v>21</v>
      </c>
      <c r="B26" t="s">
        <v>22</v>
      </c>
      <c r="C26">
        <v>16.5931815</v>
      </c>
      <c r="D26">
        <v>8</v>
      </c>
      <c r="E26">
        <v>620</v>
      </c>
      <c r="F26" t="s">
        <v>26</v>
      </c>
      <c r="G26">
        <v>7.310791</v>
      </c>
      <c r="H26" t="b">
        <v>0</v>
      </c>
      <c r="I26">
        <v>7.3510731333333297</v>
      </c>
      <c r="J26">
        <v>-4.0282133333333199E-2</v>
      </c>
      <c r="K26">
        <v>-0.38157933131850402</v>
      </c>
      <c r="L26">
        <v>-0.57163752516508604</v>
      </c>
      <c r="M26">
        <v>0.61772107890090999</v>
      </c>
      <c r="N26">
        <v>-0.35700626185214002</v>
      </c>
      <c r="O26">
        <v>0.17777777777777801</v>
      </c>
      <c r="P26">
        <v>1.5740841739402898E-2</v>
      </c>
    </row>
    <row r="27" spans="1:16" x14ac:dyDescent="0.3">
      <c r="A27" t="s">
        <v>21</v>
      </c>
      <c r="B27" t="s">
        <v>22</v>
      </c>
      <c r="C27">
        <v>16.5931815</v>
      </c>
      <c r="D27">
        <v>9</v>
      </c>
      <c r="E27">
        <v>720</v>
      </c>
      <c r="F27" t="s">
        <v>26</v>
      </c>
      <c r="G27">
        <v>7.2966410000000002</v>
      </c>
      <c r="H27" t="b">
        <v>0</v>
      </c>
      <c r="I27">
        <v>7.2900746999999999</v>
      </c>
      <c r="J27">
        <v>6.5663000000002504E-3</v>
      </c>
      <c r="K27">
        <v>6.5614245315642694E-2</v>
      </c>
      <c r="L27">
        <v>0.27439148786003698</v>
      </c>
      <c r="M27">
        <v>0.25615277729441599</v>
      </c>
      <c r="N27">
        <v>6.0765676458987498E-2</v>
      </c>
      <c r="O27">
        <v>0.26111111111111102</v>
      </c>
      <c r="P27">
        <v>7.6069839042121302E-4</v>
      </c>
    </row>
    <row r="28" spans="1:16" x14ac:dyDescent="0.3">
      <c r="A28" t="s">
        <v>21</v>
      </c>
      <c r="B28" t="s">
        <v>22</v>
      </c>
      <c r="C28">
        <v>16.5931815</v>
      </c>
      <c r="D28">
        <v>10</v>
      </c>
      <c r="E28">
        <v>820</v>
      </c>
      <c r="F28" t="s">
        <v>26</v>
      </c>
      <c r="G28">
        <v>7.2039730000000004</v>
      </c>
      <c r="H28" t="b">
        <v>0</v>
      </c>
      <c r="I28">
        <v>7.2290762666666701</v>
      </c>
      <c r="J28">
        <v>-2.5103266666667099E-2</v>
      </c>
      <c r="K28">
        <v>-0.27335339106392698</v>
      </c>
      <c r="L28">
        <v>0</v>
      </c>
      <c r="M28">
        <v>0.52283208687295302</v>
      </c>
      <c r="N28">
        <v>-0.25443771547567301</v>
      </c>
      <c r="O28">
        <v>0.37777777777777799</v>
      </c>
      <c r="P28">
        <v>2.26834874804379E-2</v>
      </c>
    </row>
    <row r="29" spans="1:16" x14ac:dyDescent="0.3">
      <c r="A29" t="s">
        <v>21</v>
      </c>
      <c r="B29" t="s">
        <v>22</v>
      </c>
      <c r="C29">
        <v>16.5931815</v>
      </c>
      <c r="D29">
        <v>2</v>
      </c>
      <c r="E29">
        <v>20</v>
      </c>
      <c r="F29" t="s">
        <v>27</v>
      </c>
      <c r="G29">
        <v>309.01</v>
      </c>
      <c r="H29" t="b">
        <v>0</v>
      </c>
      <c r="I29">
        <v>275.11805315555603</v>
      </c>
      <c r="J29">
        <v>33.891946844444398</v>
      </c>
      <c r="K29">
        <v>2.0085559563434598</v>
      </c>
      <c r="L29">
        <v>1.4941549086209001</v>
      </c>
      <c r="M29">
        <v>1.41723532144223</v>
      </c>
      <c r="N29">
        <v>2.8569045739652998</v>
      </c>
      <c r="O29">
        <v>0.37777777777777799</v>
      </c>
      <c r="P29">
        <v>1.2246973126065701</v>
      </c>
    </row>
    <row r="30" spans="1:16" x14ac:dyDescent="0.3">
      <c r="A30" t="s">
        <v>21</v>
      </c>
      <c r="B30" t="s">
        <v>22</v>
      </c>
      <c r="C30">
        <v>16.5931815</v>
      </c>
      <c r="D30">
        <v>3</v>
      </c>
      <c r="E30">
        <v>120</v>
      </c>
      <c r="F30" t="s">
        <v>27</v>
      </c>
      <c r="G30">
        <v>258.65413699999999</v>
      </c>
      <c r="H30" t="b">
        <v>0</v>
      </c>
      <c r="I30">
        <v>276.12186617222198</v>
      </c>
      <c r="J30">
        <v>-17.467729172222199</v>
      </c>
      <c r="K30">
        <v>-0.94996380706335504</v>
      </c>
      <c r="L30">
        <v>-1.4941549086209001</v>
      </c>
      <c r="M30">
        <v>0.97466086771930804</v>
      </c>
      <c r="N30">
        <v>-0.94233285019790303</v>
      </c>
      <c r="O30">
        <v>0.26111111111111102</v>
      </c>
      <c r="P30">
        <v>0.159452135459865</v>
      </c>
    </row>
    <row r="31" spans="1:16" x14ac:dyDescent="0.3">
      <c r="A31" t="s">
        <v>21</v>
      </c>
      <c r="B31" t="s">
        <v>22</v>
      </c>
      <c r="C31">
        <v>16.5931815</v>
      </c>
      <c r="D31">
        <v>4</v>
      </c>
      <c r="E31">
        <v>220</v>
      </c>
      <c r="F31" t="s">
        <v>27</v>
      </c>
      <c r="G31">
        <v>262.82101999999998</v>
      </c>
      <c r="H31" t="b">
        <v>0</v>
      </c>
      <c r="I31">
        <v>277.12567918888902</v>
      </c>
      <c r="J31">
        <v>-14.3046591888889</v>
      </c>
      <c r="K31">
        <v>-0.73746784229374096</v>
      </c>
      <c r="L31">
        <v>-0.27439148786003698</v>
      </c>
      <c r="M31">
        <v>0.85875947872133596</v>
      </c>
      <c r="N31">
        <v>-0.71093877764594804</v>
      </c>
      <c r="O31">
        <v>0.17777777777777801</v>
      </c>
      <c r="P31">
        <v>5.8795547937014699E-2</v>
      </c>
    </row>
    <row r="32" spans="1:16" x14ac:dyDescent="0.3">
      <c r="A32" t="s">
        <v>21</v>
      </c>
      <c r="B32" t="s">
        <v>22</v>
      </c>
      <c r="C32">
        <v>16.5931815</v>
      </c>
      <c r="D32">
        <v>5</v>
      </c>
      <c r="E32">
        <v>320</v>
      </c>
      <c r="F32" t="s">
        <v>27</v>
      </c>
      <c r="G32">
        <v>261.77767999999998</v>
      </c>
      <c r="H32" t="b">
        <v>0</v>
      </c>
      <c r="I32">
        <v>278.12949220555601</v>
      </c>
      <c r="J32">
        <v>-16.3518122055555</v>
      </c>
      <c r="K32">
        <v>-0.81848833551539901</v>
      </c>
      <c r="L32">
        <v>-0.57163752516508604</v>
      </c>
      <c r="M32">
        <v>0.90470345169862099</v>
      </c>
      <c r="N32">
        <v>-0.79686293859913304</v>
      </c>
      <c r="O32">
        <v>0.12777777777777799</v>
      </c>
      <c r="P32">
        <v>4.90708043745849E-2</v>
      </c>
    </row>
    <row r="33" spans="1:16" x14ac:dyDescent="0.3">
      <c r="A33" t="s">
        <v>21</v>
      </c>
      <c r="B33" t="s">
        <v>22</v>
      </c>
      <c r="C33">
        <v>16.5931815</v>
      </c>
      <c r="D33">
        <v>6</v>
      </c>
      <c r="E33">
        <v>420</v>
      </c>
      <c r="F33" t="s">
        <v>27</v>
      </c>
      <c r="G33">
        <v>270.44665500000002</v>
      </c>
      <c r="H33" t="b">
        <v>0</v>
      </c>
      <c r="I33">
        <v>279.13330522222202</v>
      </c>
      <c r="J33">
        <v>-8.6866502222222604</v>
      </c>
      <c r="K33">
        <v>-0.43071378656357201</v>
      </c>
      <c r="L33">
        <v>0</v>
      </c>
      <c r="M33">
        <v>0.65628788390733905</v>
      </c>
      <c r="N33">
        <v>-0.404154908948265</v>
      </c>
      <c r="O33">
        <v>0.11111111111111099</v>
      </c>
      <c r="P33">
        <v>1.1594647870995701E-2</v>
      </c>
    </row>
    <row r="34" spans="1:16" x14ac:dyDescent="0.3">
      <c r="A34" t="s">
        <v>21</v>
      </c>
      <c r="B34" t="s">
        <v>22</v>
      </c>
      <c r="C34">
        <v>16.5931815</v>
      </c>
      <c r="D34">
        <v>7</v>
      </c>
      <c r="E34">
        <v>520</v>
      </c>
      <c r="F34" t="s">
        <v>27</v>
      </c>
      <c r="G34">
        <v>278.20581700000002</v>
      </c>
      <c r="H34" t="b">
        <v>0</v>
      </c>
      <c r="I34">
        <v>280.137118238889</v>
      </c>
      <c r="J34">
        <v>-1.93130123888886</v>
      </c>
      <c r="K34">
        <v>-9.6671091651842497E-2</v>
      </c>
      <c r="L34">
        <v>0.27439148786003698</v>
      </c>
      <c r="M34">
        <v>0.31091975114463599</v>
      </c>
      <c r="N34">
        <v>-8.9559842798774505E-2</v>
      </c>
      <c r="O34">
        <v>0.12777777777777799</v>
      </c>
      <c r="P34">
        <v>6.8452834110399705E-4</v>
      </c>
    </row>
    <row r="35" spans="1:16" x14ac:dyDescent="0.3">
      <c r="A35" t="s">
        <v>21</v>
      </c>
      <c r="B35" t="s">
        <v>22</v>
      </c>
      <c r="C35">
        <v>16.5931815</v>
      </c>
      <c r="D35">
        <v>8</v>
      </c>
      <c r="E35">
        <v>620</v>
      </c>
      <c r="F35" t="s">
        <v>27</v>
      </c>
      <c r="G35">
        <v>298.46621699999997</v>
      </c>
      <c r="H35" t="b">
        <v>0</v>
      </c>
      <c r="I35">
        <v>281.14093125555598</v>
      </c>
      <c r="J35">
        <v>17.3252857444444</v>
      </c>
      <c r="K35">
        <v>0.89319437299158699</v>
      </c>
      <c r="L35">
        <v>0.57163752516508604</v>
      </c>
      <c r="M35">
        <v>0.94508961109070899</v>
      </c>
      <c r="N35">
        <v>0.87851379772202298</v>
      </c>
      <c r="O35">
        <v>0.17777777777777801</v>
      </c>
      <c r="P35">
        <v>8.6248236534468697E-2</v>
      </c>
    </row>
    <row r="36" spans="1:16" x14ac:dyDescent="0.3">
      <c r="A36" t="s">
        <v>21</v>
      </c>
      <c r="B36" t="s">
        <v>22</v>
      </c>
      <c r="C36">
        <v>16.5931815</v>
      </c>
      <c r="D36">
        <v>9</v>
      </c>
      <c r="E36">
        <v>720</v>
      </c>
      <c r="F36" t="s">
        <v>27</v>
      </c>
      <c r="G36">
        <v>306.760223</v>
      </c>
      <c r="H36" t="b">
        <v>0</v>
      </c>
      <c r="I36">
        <v>282.144744272222</v>
      </c>
      <c r="J36">
        <v>24.615478727777798</v>
      </c>
      <c r="K36">
        <v>1.3386865375788199</v>
      </c>
      <c r="L36">
        <v>0.93197131234318997</v>
      </c>
      <c r="M36">
        <v>1.15701622183046</v>
      </c>
      <c r="N36">
        <v>1.4368864111528199</v>
      </c>
      <c r="O36">
        <v>0.26111111111111102</v>
      </c>
      <c r="P36">
        <v>0.31664600510170998</v>
      </c>
    </row>
    <row r="37" spans="1:16" x14ac:dyDescent="0.3">
      <c r="A37" t="s">
        <v>21</v>
      </c>
      <c r="B37" t="s">
        <v>22</v>
      </c>
      <c r="C37">
        <v>16.5931815</v>
      </c>
      <c r="D37">
        <v>10</v>
      </c>
      <c r="E37">
        <v>820</v>
      </c>
      <c r="F37" t="s">
        <v>27</v>
      </c>
      <c r="G37">
        <v>266.057998</v>
      </c>
      <c r="H37" t="b">
        <v>0</v>
      </c>
      <c r="I37">
        <v>283.14855728888898</v>
      </c>
      <c r="J37">
        <v>-17.090559288888901</v>
      </c>
      <c r="K37">
        <v>-1.0128466450892599</v>
      </c>
      <c r="L37">
        <v>-0.93197131234318997</v>
      </c>
      <c r="M37">
        <v>1.0064028244640699</v>
      </c>
      <c r="N37">
        <v>-1.0150362684035099</v>
      </c>
      <c r="O37">
        <v>0.37777777777777799</v>
      </c>
      <c r="P37">
        <v>0.31142127767795602</v>
      </c>
    </row>
    <row r="38" spans="1:16" x14ac:dyDescent="0.3">
      <c r="A38" t="s">
        <v>21</v>
      </c>
      <c r="B38" t="s">
        <v>28</v>
      </c>
      <c r="C38">
        <v>17.145786619999999</v>
      </c>
      <c r="D38">
        <v>2</v>
      </c>
      <c r="E38">
        <v>20</v>
      </c>
      <c r="F38" t="s">
        <v>23</v>
      </c>
      <c r="G38">
        <v>3860.3479090000001</v>
      </c>
      <c r="H38" t="b">
        <v>0</v>
      </c>
      <c r="I38">
        <v>3866.0763896222202</v>
      </c>
      <c r="J38">
        <v>-5.7284806222222304</v>
      </c>
      <c r="K38">
        <v>-0.40883777112208203</v>
      </c>
      <c r="L38">
        <v>-0.27439148786003698</v>
      </c>
      <c r="M38">
        <v>0.63940423139206803</v>
      </c>
      <c r="N38">
        <v>-0.38311189861906803</v>
      </c>
      <c r="O38">
        <v>0.37777777777777799</v>
      </c>
      <c r="P38">
        <v>5.0741455225593098E-2</v>
      </c>
    </row>
    <row r="39" spans="1:16" x14ac:dyDescent="0.3">
      <c r="A39" t="s">
        <v>21</v>
      </c>
      <c r="B39" t="s">
        <v>28</v>
      </c>
      <c r="C39">
        <v>17.145786619999999</v>
      </c>
      <c r="D39">
        <v>3</v>
      </c>
      <c r="E39">
        <v>120</v>
      </c>
      <c r="F39" t="s">
        <v>23</v>
      </c>
      <c r="G39">
        <v>3872.9526099999998</v>
      </c>
      <c r="H39" t="b">
        <v>0</v>
      </c>
      <c r="I39">
        <v>3895.54195585556</v>
      </c>
      <c r="J39">
        <v>-22.589345855555599</v>
      </c>
      <c r="K39">
        <v>-1.4794435856464201</v>
      </c>
      <c r="L39">
        <v>-1.4941549086209001</v>
      </c>
      <c r="M39">
        <v>1.21632379967113</v>
      </c>
      <c r="N39">
        <v>-1.6521338231987599</v>
      </c>
      <c r="O39">
        <v>0.26111111111111102</v>
      </c>
      <c r="P39">
        <v>0.38673460972250301</v>
      </c>
    </row>
    <row r="40" spans="1:16" x14ac:dyDescent="0.3">
      <c r="A40" t="s">
        <v>21</v>
      </c>
      <c r="B40" t="s">
        <v>28</v>
      </c>
      <c r="C40">
        <v>17.145786619999999</v>
      </c>
      <c r="D40">
        <v>4</v>
      </c>
      <c r="E40">
        <v>220</v>
      </c>
      <c r="F40" t="s">
        <v>23</v>
      </c>
      <c r="G40">
        <v>3945.421699</v>
      </c>
      <c r="H40" t="b">
        <v>0</v>
      </c>
      <c r="I40">
        <v>3925.0075220888898</v>
      </c>
      <c r="J40">
        <v>20.414176911111198</v>
      </c>
      <c r="K40">
        <v>1.26742302135221</v>
      </c>
      <c r="L40">
        <v>0.93197131234318997</v>
      </c>
      <c r="M40">
        <v>1.1257988369829699</v>
      </c>
      <c r="N40">
        <v>1.3367687470865799</v>
      </c>
      <c r="O40">
        <v>0.17777777777777801</v>
      </c>
      <c r="P40">
        <v>0.173660661086871</v>
      </c>
    </row>
    <row r="41" spans="1:16" x14ac:dyDescent="0.3">
      <c r="A41" t="s">
        <v>21</v>
      </c>
      <c r="B41" t="s">
        <v>28</v>
      </c>
      <c r="C41">
        <v>17.145786619999999</v>
      </c>
      <c r="D41">
        <v>5</v>
      </c>
      <c r="E41">
        <v>320</v>
      </c>
      <c r="F41" t="s">
        <v>23</v>
      </c>
      <c r="G41">
        <v>3974.8892249999999</v>
      </c>
      <c r="H41" t="b">
        <v>0</v>
      </c>
      <c r="I41">
        <v>3954.4730883222201</v>
      </c>
      <c r="J41">
        <v>20.4161366777778</v>
      </c>
      <c r="K41">
        <v>1.23067764904223</v>
      </c>
      <c r="L41">
        <v>1.4941549086209001</v>
      </c>
      <c r="M41">
        <v>1.1093591163560299</v>
      </c>
      <c r="N41">
        <v>1.2871065482414601</v>
      </c>
      <c r="O41">
        <v>0.12777777777777799</v>
      </c>
      <c r="P41">
        <v>0.110939655874517</v>
      </c>
    </row>
    <row r="42" spans="1:16" x14ac:dyDescent="0.3">
      <c r="A42" t="s">
        <v>21</v>
      </c>
      <c r="B42" t="s">
        <v>28</v>
      </c>
      <c r="C42">
        <v>17.145786619999999</v>
      </c>
      <c r="D42">
        <v>6</v>
      </c>
      <c r="E42">
        <v>420</v>
      </c>
      <c r="F42" t="s">
        <v>23</v>
      </c>
      <c r="G42">
        <v>3981.6596300000001</v>
      </c>
      <c r="H42" t="b">
        <v>0</v>
      </c>
      <c r="I42">
        <v>3983.9386545555599</v>
      </c>
      <c r="J42">
        <v>-2.2790245555557198</v>
      </c>
      <c r="K42">
        <v>-0.13608479022818901</v>
      </c>
      <c r="L42">
        <v>0</v>
      </c>
      <c r="M42">
        <v>0.36889672027301801</v>
      </c>
      <c r="N42">
        <v>-0.12615702392703099</v>
      </c>
      <c r="O42">
        <v>0.11111111111111099</v>
      </c>
      <c r="P42">
        <v>1.1574418832156401E-3</v>
      </c>
    </row>
    <row r="43" spans="1:16" x14ac:dyDescent="0.3">
      <c r="A43" t="s">
        <v>21</v>
      </c>
      <c r="B43" t="s">
        <v>28</v>
      </c>
      <c r="C43">
        <v>17.145786619999999</v>
      </c>
      <c r="D43">
        <v>7</v>
      </c>
      <c r="E43">
        <v>520</v>
      </c>
      <c r="F43" t="s">
        <v>23</v>
      </c>
      <c r="G43">
        <v>4004.8230020000001</v>
      </c>
      <c r="H43" t="b">
        <v>0</v>
      </c>
      <c r="I43">
        <v>4013.4042207888901</v>
      </c>
      <c r="J43">
        <v>-8.5812187888885791</v>
      </c>
      <c r="K43">
        <v>-0.51727289700804702</v>
      </c>
      <c r="L43">
        <v>-0.57163752516508604</v>
      </c>
      <c r="M43">
        <v>0.71921686368441495</v>
      </c>
      <c r="N43">
        <v>-0.48832557034006402</v>
      </c>
      <c r="O43">
        <v>0.12777777777777799</v>
      </c>
      <c r="P43">
        <v>1.95991679920995E-2</v>
      </c>
    </row>
    <row r="44" spans="1:16" x14ac:dyDescent="0.3">
      <c r="A44" t="s">
        <v>21</v>
      </c>
      <c r="B44" t="s">
        <v>28</v>
      </c>
      <c r="C44">
        <v>17.145786619999999</v>
      </c>
      <c r="D44">
        <v>8</v>
      </c>
      <c r="E44">
        <v>620</v>
      </c>
      <c r="F44" t="s">
        <v>23</v>
      </c>
      <c r="G44">
        <v>4060.4821299999999</v>
      </c>
      <c r="H44" t="b">
        <v>0</v>
      </c>
      <c r="I44">
        <v>4042.86978702222</v>
      </c>
      <c r="J44">
        <v>17.612342977777399</v>
      </c>
      <c r="K44">
        <v>1.09346994724221</v>
      </c>
      <c r="L44">
        <v>0.57163752516508604</v>
      </c>
      <c r="M44">
        <v>1.0456911337685799</v>
      </c>
      <c r="N44">
        <v>1.1117488089009999</v>
      </c>
      <c r="O44">
        <v>0.17777777777777801</v>
      </c>
      <c r="P44">
        <v>0.12926232708344801</v>
      </c>
    </row>
    <row r="45" spans="1:16" x14ac:dyDescent="0.3">
      <c r="A45" t="s">
        <v>21</v>
      </c>
      <c r="B45" t="s">
        <v>28</v>
      </c>
      <c r="C45">
        <v>17.145786619999999</v>
      </c>
      <c r="D45">
        <v>9</v>
      </c>
      <c r="E45">
        <v>720</v>
      </c>
      <c r="F45" t="s">
        <v>23</v>
      </c>
      <c r="G45">
        <v>4051.357943</v>
      </c>
      <c r="H45" t="b">
        <v>0</v>
      </c>
      <c r="I45">
        <v>4072.3353532555602</v>
      </c>
      <c r="J45">
        <v>-20.977410255555299</v>
      </c>
      <c r="K45">
        <v>-1.3738731189695801</v>
      </c>
      <c r="L45">
        <v>-0.93197131234318997</v>
      </c>
      <c r="M45">
        <v>1.1721233377804501</v>
      </c>
      <c r="N45">
        <v>-1.48835575980706</v>
      </c>
      <c r="O45">
        <v>0.26111111111111102</v>
      </c>
      <c r="P45">
        <v>0.33351047109127002</v>
      </c>
    </row>
    <row r="46" spans="1:16" x14ac:dyDescent="0.3">
      <c r="A46" t="s">
        <v>21</v>
      </c>
      <c r="B46" t="s">
        <v>28</v>
      </c>
      <c r="C46">
        <v>17.145786619999999</v>
      </c>
      <c r="D46">
        <v>10</v>
      </c>
      <c r="E46">
        <v>820</v>
      </c>
      <c r="F46" t="s">
        <v>23</v>
      </c>
      <c r="G46">
        <v>4103.5137430000004</v>
      </c>
      <c r="H46" t="b">
        <v>0</v>
      </c>
      <c r="I46">
        <v>4101.80091948889</v>
      </c>
      <c r="J46">
        <v>1.71282351111097</v>
      </c>
      <c r="K46">
        <v>0.122243050607799</v>
      </c>
      <c r="L46">
        <v>0.27439148786003698</v>
      </c>
      <c r="M46">
        <v>0.34963273675071999</v>
      </c>
      <c r="N46">
        <v>0.11329606822737701</v>
      </c>
      <c r="O46">
        <v>0.37777777777777799</v>
      </c>
      <c r="P46">
        <v>4.5363781816484504E-3</v>
      </c>
    </row>
    <row r="47" spans="1:16" x14ac:dyDescent="0.3">
      <c r="A47" t="s">
        <v>21</v>
      </c>
      <c r="B47" t="s">
        <v>28</v>
      </c>
      <c r="C47">
        <v>17.145786619999999</v>
      </c>
      <c r="D47">
        <v>2</v>
      </c>
      <c r="E47">
        <v>20</v>
      </c>
      <c r="F47" t="s">
        <v>25</v>
      </c>
      <c r="G47">
        <v>0.51187899999999997</v>
      </c>
      <c r="H47" t="b">
        <v>0</v>
      </c>
      <c r="I47">
        <v>0.53896180000000005</v>
      </c>
      <c r="J47">
        <v>-2.7082800000000198E-2</v>
      </c>
      <c r="K47">
        <v>-8.1019765531904403E-2</v>
      </c>
      <c r="L47">
        <v>0.27439148786003698</v>
      </c>
      <c r="M47">
        <v>0.284639711797044</v>
      </c>
      <c r="N47">
        <v>-7.50449220938567E-2</v>
      </c>
      <c r="O47">
        <v>0.37777777777777799</v>
      </c>
      <c r="P47">
        <v>1.9927043020778702E-3</v>
      </c>
    </row>
    <row r="48" spans="1:16" x14ac:dyDescent="0.3">
      <c r="A48" t="s">
        <v>21</v>
      </c>
      <c r="B48" t="s">
        <v>28</v>
      </c>
      <c r="C48">
        <v>17.145786619999999</v>
      </c>
      <c r="D48">
        <v>3</v>
      </c>
      <c r="E48">
        <v>120</v>
      </c>
      <c r="F48" t="s">
        <v>25</v>
      </c>
      <c r="G48">
        <v>0.36250500000000002</v>
      </c>
      <c r="H48" t="b">
        <v>0</v>
      </c>
      <c r="I48">
        <v>0.57125376666666705</v>
      </c>
      <c r="J48">
        <v>-0.208748766666667</v>
      </c>
      <c r="K48">
        <v>-0.57306584957920803</v>
      </c>
      <c r="L48">
        <v>-0.27439148786003698</v>
      </c>
      <c r="M48">
        <v>0.75701112909864698</v>
      </c>
      <c r="N48">
        <v>-0.54345714026620595</v>
      </c>
      <c r="O48">
        <v>0.26111111111111102</v>
      </c>
      <c r="P48">
        <v>5.8026353360282598E-2</v>
      </c>
    </row>
    <row r="49" spans="1:16" x14ac:dyDescent="0.3">
      <c r="A49" t="s">
        <v>21</v>
      </c>
      <c r="B49" t="s">
        <v>28</v>
      </c>
      <c r="C49">
        <v>17.145786619999999</v>
      </c>
      <c r="D49">
        <v>4</v>
      </c>
      <c r="E49">
        <v>220</v>
      </c>
      <c r="F49" t="s">
        <v>25</v>
      </c>
      <c r="G49">
        <v>0.49546200000000001</v>
      </c>
      <c r="H49" t="b">
        <v>0</v>
      </c>
      <c r="I49">
        <v>0.60354573333333295</v>
      </c>
      <c r="J49">
        <v>-0.108083733333333</v>
      </c>
      <c r="K49">
        <v>-0.281278093888713</v>
      </c>
      <c r="L49">
        <v>0</v>
      </c>
      <c r="M49">
        <v>0.53035657240078904</v>
      </c>
      <c r="N49">
        <v>-0.26189716262714002</v>
      </c>
      <c r="O49">
        <v>0.17777777777777801</v>
      </c>
      <c r="P49">
        <v>8.5532287677478492E-3</v>
      </c>
    </row>
    <row r="50" spans="1:16" x14ac:dyDescent="0.3">
      <c r="A50" t="s">
        <v>21</v>
      </c>
      <c r="B50" t="s">
        <v>28</v>
      </c>
      <c r="C50">
        <v>17.145786619999999</v>
      </c>
      <c r="D50">
        <v>5</v>
      </c>
      <c r="E50">
        <v>320</v>
      </c>
      <c r="F50" t="s">
        <v>25</v>
      </c>
      <c r="G50">
        <v>0.72135099999999996</v>
      </c>
      <c r="H50" t="b">
        <v>0</v>
      </c>
      <c r="I50">
        <v>0.63583769999999995</v>
      </c>
      <c r="J50">
        <v>8.55133E-2</v>
      </c>
      <c r="K50">
        <v>0.21606790994198399</v>
      </c>
      <c r="L50">
        <v>0.93197131234318997</v>
      </c>
      <c r="M50">
        <v>0.46483105526845397</v>
      </c>
      <c r="N50">
        <v>0.20071043614876799</v>
      </c>
      <c r="O50">
        <v>0.12777777777777799</v>
      </c>
      <c r="P50">
        <v>3.41962694029949E-3</v>
      </c>
    </row>
    <row r="51" spans="1:16" x14ac:dyDescent="0.3">
      <c r="A51" t="s">
        <v>21</v>
      </c>
      <c r="B51" t="s">
        <v>28</v>
      </c>
      <c r="C51">
        <v>17.145786619999999</v>
      </c>
      <c r="D51">
        <v>6</v>
      </c>
      <c r="E51">
        <v>420</v>
      </c>
      <c r="F51" t="s">
        <v>25</v>
      </c>
      <c r="G51">
        <v>0.446301</v>
      </c>
      <c r="H51" t="b">
        <v>0</v>
      </c>
      <c r="I51">
        <v>0.66812966666666695</v>
      </c>
      <c r="J51">
        <v>-0.22182866666666701</v>
      </c>
      <c r="K51">
        <v>-0.55521872984707099</v>
      </c>
      <c r="L51">
        <v>-0.57163752516508604</v>
      </c>
      <c r="M51">
        <v>0.745130008687793</v>
      </c>
      <c r="N51">
        <v>-0.52573931929295403</v>
      </c>
      <c r="O51">
        <v>0.11111111111111099</v>
      </c>
      <c r="P51">
        <v>1.9266739873312101E-2</v>
      </c>
    </row>
    <row r="52" spans="1:16" x14ac:dyDescent="0.3">
      <c r="A52" t="s">
        <v>21</v>
      </c>
      <c r="B52" t="s">
        <v>28</v>
      </c>
      <c r="C52">
        <v>17.145786619999999</v>
      </c>
      <c r="D52">
        <v>7</v>
      </c>
      <c r="E52">
        <v>520</v>
      </c>
      <c r="F52" t="s">
        <v>25</v>
      </c>
      <c r="G52">
        <v>1.7025950000000001</v>
      </c>
      <c r="H52" t="b">
        <v>0</v>
      </c>
      <c r="I52">
        <v>0.70042163333333396</v>
      </c>
      <c r="J52">
        <v>1.0021733666666699</v>
      </c>
      <c r="K52">
        <v>2.5322084954643098</v>
      </c>
      <c r="L52">
        <v>1.4941549086209001</v>
      </c>
      <c r="M52">
        <v>1.5912914552225501</v>
      </c>
      <c r="N52">
        <v>8.0893927126517102</v>
      </c>
      <c r="O52">
        <v>0.12777777777777799</v>
      </c>
      <c r="P52">
        <v>0.46967463975648999</v>
      </c>
    </row>
    <row r="53" spans="1:16" x14ac:dyDescent="0.3">
      <c r="A53" t="s">
        <v>21</v>
      </c>
      <c r="B53" t="s">
        <v>28</v>
      </c>
      <c r="C53">
        <v>17.145786619999999</v>
      </c>
      <c r="D53">
        <v>8</v>
      </c>
      <c r="E53">
        <v>620</v>
      </c>
      <c r="F53" t="s">
        <v>25</v>
      </c>
      <c r="G53">
        <v>0.73507800000000001</v>
      </c>
      <c r="H53" t="b">
        <v>0</v>
      </c>
      <c r="I53">
        <v>0.73271359999999996</v>
      </c>
      <c r="J53">
        <v>2.36440000000001E-3</v>
      </c>
      <c r="K53">
        <v>6.1531361351058302E-3</v>
      </c>
      <c r="L53">
        <v>0.57163752516508604</v>
      </c>
      <c r="M53">
        <v>7.8441928425465393E-2</v>
      </c>
      <c r="N53">
        <v>5.6967125165180901E-3</v>
      </c>
      <c r="O53">
        <v>0.17777777777777801</v>
      </c>
      <c r="P53">
        <v>4.0930901942859596E-6</v>
      </c>
    </row>
    <row r="54" spans="1:16" x14ac:dyDescent="0.3">
      <c r="A54" t="s">
        <v>21</v>
      </c>
      <c r="B54" t="s">
        <v>28</v>
      </c>
      <c r="C54">
        <v>17.145786619999999</v>
      </c>
      <c r="D54">
        <v>9</v>
      </c>
      <c r="E54">
        <v>720</v>
      </c>
      <c r="F54" t="s">
        <v>25</v>
      </c>
      <c r="G54">
        <v>0.53991100000000003</v>
      </c>
      <c r="H54" t="b">
        <v>0</v>
      </c>
      <c r="I54">
        <v>0.76500556666666697</v>
      </c>
      <c r="J54">
        <v>-0.225094566666667</v>
      </c>
      <c r="K54">
        <v>-0.61793902374751197</v>
      </c>
      <c r="L54">
        <v>-0.93197131234318997</v>
      </c>
      <c r="M54">
        <v>0.78609097676255801</v>
      </c>
      <c r="N54">
        <v>-0.58837322316194496</v>
      </c>
      <c r="O54">
        <v>0.26111111111111102</v>
      </c>
      <c r="P54">
        <v>6.7469496023651598E-2</v>
      </c>
    </row>
    <row r="55" spans="1:16" x14ac:dyDescent="0.3">
      <c r="A55" t="s">
        <v>21</v>
      </c>
      <c r="B55" t="s">
        <v>28</v>
      </c>
      <c r="C55">
        <v>17.145786619999999</v>
      </c>
      <c r="D55">
        <v>10</v>
      </c>
      <c r="E55">
        <v>820</v>
      </c>
      <c r="F55" t="s">
        <v>25</v>
      </c>
      <c r="G55">
        <v>0.498085</v>
      </c>
      <c r="H55" t="b">
        <v>0</v>
      </c>
      <c r="I55">
        <v>0.79729753333333298</v>
      </c>
      <c r="J55">
        <v>-0.29921253333333298</v>
      </c>
      <c r="K55">
        <v>-0.89511163154746398</v>
      </c>
      <c r="L55">
        <v>-1.4941549086209001</v>
      </c>
      <c r="M55">
        <v>0.94610339368774299</v>
      </c>
      <c r="N55">
        <v>-0.88064299225606302</v>
      </c>
      <c r="O55">
        <v>0.37777777777777799</v>
      </c>
      <c r="P55">
        <v>0.243228967139939</v>
      </c>
    </row>
    <row r="56" spans="1:16" x14ac:dyDescent="0.3">
      <c r="A56" t="s">
        <v>21</v>
      </c>
      <c r="B56" t="s">
        <v>28</v>
      </c>
      <c r="C56">
        <v>17.145786619999999</v>
      </c>
      <c r="D56">
        <v>2</v>
      </c>
      <c r="E56">
        <v>20</v>
      </c>
      <c r="F56" t="s">
        <v>26</v>
      </c>
      <c r="G56">
        <v>7.6512380000000002</v>
      </c>
      <c r="H56" t="b">
        <v>0</v>
      </c>
      <c r="I56">
        <v>7.5145337555555596</v>
      </c>
      <c r="J56">
        <v>0.13670424444444401</v>
      </c>
      <c r="K56">
        <v>0.51937030985819899</v>
      </c>
      <c r="L56">
        <v>0.27439148786003698</v>
      </c>
      <c r="M56">
        <v>0.72067351127830304</v>
      </c>
      <c r="N56">
        <v>0.49038480139169499</v>
      </c>
      <c r="O56">
        <v>0.37777777777777799</v>
      </c>
      <c r="P56">
        <v>8.1887032481382502E-2</v>
      </c>
    </row>
    <row r="57" spans="1:16" x14ac:dyDescent="0.3">
      <c r="A57" t="s">
        <v>21</v>
      </c>
      <c r="B57" t="s">
        <v>28</v>
      </c>
      <c r="C57">
        <v>17.145786619999999</v>
      </c>
      <c r="D57">
        <v>3</v>
      </c>
      <c r="E57">
        <v>120</v>
      </c>
      <c r="F57" t="s">
        <v>26</v>
      </c>
      <c r="G57">
        <v>7.2336179999999999</v>
      </c>
      <c r="H57" t="b">
        <v>0</v>
      </c>
      <c r="I57">
        <v>7.4603056222222204</v>
      </c>
      <c r="J57">
        <v>-0.226687622222222</v>
      </c>
      <c r="K57">
        <v>-0.79032572481097996</v>
      </c>
      <c r="L57">
        <v>-0.57163752516508604</v>
      </c>
      <c r="M57">
        <v>0.88900265737003303</v>
      </c>
      <c r="N57">
        <v>-0.76670540849524504</v>
      </c>
      <c r="O57">
        <v>0.26111111111111102</v>
      </c>
      <c r="P57">
        <v>0.110364260567692</v>
      </c>
    </row>
    <row r="58" spans="1:16" x14ac:dyDescent="0.3">
      <c r="A58" t="s">
        <v>21</v>
      </c>
      <c r="B58" t="s">
        <v>28</v>
      </c>
      <c r="C58">
        <v>17.145786619999999</v>
      </c>
      <c r="D58">
        <v>4</v>
      </c>
      <c r="E58">
        <v>220</v>
      </c>
      <c r="F58" t="s">
        <v>26</v>
      </c>
      <c r="G58">
        <v>7.5714110000000003</v>
      </c>
      <c r="H58" t="b">
        <v>0</v>
      </c>
      <c r="I58">
        <v>7.4060774888888901</v>
      </c>
      <c r="J58">
        <v>0.165333511111111</v>
      </c>
      <c r="K58">
        <v>0.54642953178389597</v>
      </c>
      <c r="L58">
        <v>0.57163752516508604</v>
      </c>
      <c r="M58">
        <v>0.73920872004048699</v>
      </c>
      <c r="N58">
        <v>0.51704285236847403</v>
      </c>
      <c r="O58">
        <v>0.17777777777777801</v>
      </c>
      <c r="P58">
        <v>3.2279484670872098E-2</v>
      </c>
    </row>
    <row r="59" spans="1:16" x14ac:dyDescent="0.3">
      <c r="A59" t="s">
        <v>21</v>
      </c>
      <c r="B59" t="s">
        <v>28</v>
      </c>
      <c r="C59">
        <v>17.145786619999999</v>
      </c>
      <c r="D59">
        <v>5</v>
      </c>
      <c r="E59">
        <v>320</v>
      </c>
      <c r="F59" t="s">
        <v>26</v>
      </c>
      <c r="G59">
        <v>6.8815020000000002</v>
      </c>
      <c r="H59" t="b">
        <v>0</v>
      </c>
      <c r="I59">
        <v>7.3518493555555597</v>
      </c>
      <c r="J59">
        <v>-0.47034735555555501</v>
      </c>
      <c r="K59">
        <v>-1.5092911035263099</v>
      </c>
      <c r="L59">
        <v>-1.4941549086209001</v>
      </c>
      <c r="M59">
        <v>1.2285320929981101</v>
      </c>
      <c r="N59">
        <v>-1.7013113123228301</v>
      </c>
      <c r="O59">
        <v>0.12777777777777799</v>
      </c>
      <c r="P59">
        <v>0.166856915952944</v>
      </c>
    </row>
    <row r="60" spans="1:16" x14ac:dyDescent="0.3">
      <c r="A60" t="s">
        <v>21</v>
      </c>
      <c r="B60" t="s">
        <v>28</v>
      </c>
      <c r="C60">
        <v>17.145786619999999</v>
      </c>
      <c r="D60">
        <v>6</v>
      </c>
      <c r="E60">
        <v>420</v>
      </c>
      <c r="F60" t="s">
        <v>26</v>
      </c>
      <c r="G60">
        <v>7.3119449999999997</v>
      </c>
      <c r="H60" t="b">
        <v>0</v>
      </c>
      <c r="I60">
        <v>7.2976212222222197</v>
      </c>
      <c r="J60">
        <v>1.4323777777778299E-2</v>
      </c>
      <c r="K60">
        <v>4.5530426133107399E-2</v>
      </c>
      <c r="L60">
        <v>0</v>
      </c>
      <c r="M60">
        <v>0.21337859811402701</v>
      </c>
      <c r="N60">
        <v>4.2159226763761201E-2</v>
      </c>
      <c r="O60">
        <v>0.11111111111111099</v>
      </c>
      <c r="P60">
        <v>1.2956373149139699E-4</v>
      </c>
    </row>
    <row r="61" spans="1:16" x14ac:dyDescent="0.3">
      <c r="A61" t="s">
        <v>21</v>
      </c>
      <c r="B61" t="s">
        <v>28</v>
      </c>
      <c r="C61">
        <v>17.145786619999999</v>
      </c>
      <c r="D61">
        <v>7</v>
      </c>
      <c r="E61">
        <v>520</v>
      </c>
      <c r="F61" t="s">
        <v>26</v>
      </c>
      <c r="G61">
        <v>7.5267160000000004</v>
      </c>
      <c r="H61" t="b">
        <v>0</v>
      </c>
      <c r="I61">
        <v>7.2433930888888902</v>
      </c>
      <c r="J61">
        <v>0.28332291111111202</v>
      </c>
      <c r="K61">
        <v>0.90915095857208095</v>
      </c>
      <c r="L61">
        <v>0.93197131234318997</v>
      </c>
      <c r="M61">
        <v>0.95349407893918303</v>
      </c>
      <c r="N61">
        <v>0.89628855513436201</v>
      </c>
      <c r="O61">
        <v>0.12777777777777799</v>
      </c>
      <c r="P61">
        <v>6.0543871674739701E-2</v>
      </c>
    </row>
    <row r="62" spans="1:16" x14ac:dyDescent="0.3">
      <c r="A62" t="s">
        <v>21</v>
      </c>
      <c r="B62" t="s">
        <v>28</v>
      </c>
      <c r="C62">
        <v>17.145786619999999</v>
      </c>
      <c r="D62">
        <v>8</v>
      </c>
      <c r="E62">
        <v>620</v>
      </c>
      <c r="F62" t="s">
        <v>26</v>
      </c>
      <c r="G62">
        <v>7.6994980000000002</v>
      </c>
      <c r="H62" t="b">
        <v>0</v>
      </c>
      <c r="I62">
        <v>7.1891649555555599</v>
      </c>
      <c r="J62">
        <v>0.51033304444444505</v>
      </c>
      <c r="K62">
        <v>1.6866577420122699</v>
      </c>
      <c r="L62">
        <v>1.4941549086209001</v>
      </c>
      <c r="M62">
        <v>1.29871387996443</v>
      </c>
      <c r="N62">
        <v>2.0267835581492202</v>
      </c>
      <c r="O62">
        <v>0.17777777777777801</v>
      </c>
      <c r="P62">
        <v>0.30754749607458698</v>
      </c>
    </row>
    <row r="63" spans="1:16" x14ac:dyDescent="0.3">
      <c r="A63" t="s">
        <v>21</v>
      </c>
      <c r="B63" t="s">
        <v>28</v>
      </c>
      <c r="C63">
        <v>17.145786619999999</v>
      </c>
      <c r="D63">
        <v>9</v>
      </c>
      <c r="E63">
        <v>720</v>
      </c>
      <c r="F63" t="s">
        <v>26</v>
      </c>
      <c r="G63">
        <v>7.0599220000000003</v>
      </c>
      <c r="H63" t="b">
        <v>0</v>
      </c>
      <c r="I63">
        <v>7.1349368222222198</v>
      </c>
      <c r="J63">
        <v>-7.5014822222222804E-2</v>
      </c>
      <c r="K63">
        <v>-0.26153233759815397</v>
      </c>
      <c r="L63">
        <v>-0.27439148786003698</v>
      </c>
      <c r="M63">
        <v>0.51140232459205104</v>
      </c>
      <c r="N63">
        <v>-0.243323608277563</v>
      </c>
      <c r="O63">
        <v>0.26111111111111102</v>
      </c>
      <c r="P63">
        <v>1.2085566502440101E-2</v>
      </c>
    </row>
    <row r="64" spans="1:16" x14ac:dyDescent="0.3">
      <c r="A64" t="s">
        <v>21</v>
      </c>
      <c r="B64" t="s">
        <v>28</v>
      </c>
      <c r="C64">
        <v>17.145786619999999</v>
      </c>
      <c r="D64">
        <v>10</v>
      </c>
      <c r="E64">
        <v>820</v>
      </c>
      <c r="F64" t="s">
        <v>26</v>
      </c>
      <c r="G64">
        <v>6.7427409999999997</v>
      </c>
      <c r="H64" t="b">
        <v>0</v>
      </c>
      <c r="I64">
        <v>7.0807086888888904</v>
      </c>
      <c r="J64">
        <v>-0.33796768888888901</v>
      </c>
      <c r="K64">
        <v>-1.2840156061988</v>
      </c>
      <c r="L64">
        <v>-0.93197131234318997</v>
      </c>
      <c r="M64">
        <v>1.13314412419551</v>
      </c>
      <c r="N64">
        <v>-1.3596155372663199</v>
      </c>
      <c r="O64">
        <v>0.37777777777777799</v>
      </c>
      <c r="P64">
        <v>0.500497023363487</v>
      </c>
    </row>
    <row r="65" spans="1:16" x14ac:dyDescent="0.3">
      <c r="A65" t="s">
        <v>21</v>
      </c>
      <c r="B65" t="s">
        <v>28</v>
      </c>
      <c r="C65">
        <v>17.145786619999999</v>
      </c>
      <c r="D65">
        <v>2</v>
      </c>
      <c r="E65">
        <v>20</v>
      </c>
      <c r="F65" t="s">
        <v>27</v>
      </c>
      <c r="G65">
        <v>294.72000000000003</v>
      </c>
      <c r="H65" t="b">
        <v>0</v>
      </c>
      <c r="I65">
        <v>274.25803944444402</v>
      </c>
      <c r="J65">
        <v>20.4619605555555</v>
      </c>
      <c r="K65">
        <v>1.03715648894942</v>
      </c>
      <c r="L65">
        <v>0.93197131234318997</v>
      </c>
      <c r="M65">
        <v>1.01840880247051</v>
      </c>
      <c r="N65">
        <v>1.04376122124057</v>
      </c>
      <c r="O65">
        <v>0.37777777777777799</v>
      </c>
      <c r="P65">
        <v>0.32654983756585598</v>
      </c>
    </row>
    <row r="66" spans="1:16" x14ac:dyDescent="0.3">
      <c r="A66" t="s">
        <v>21</v>
      </c>
      <c r="B66" t="s">
        <v>28</v>
      </c>
      <c r="C66">
        <v>17.145786619999999</v>
      </c>
      <c r="D66">
        <v>3</v>
      </c>
      <c r="E66">
        <v>120</v>
      </c>
      <c r="F66" t="s">
        <v>27</v>
      </c>
      <c r="G66">
        <v>250.61189300000001</v>
      </c>
      <c r="H66" t="b">
        <v>0</v>
      </c>
      <c r="I66">
        <v>274.232664694444</v>
      </c>
      <c r="J66">
        <v>-23.6207716944444</v>
      </c>
      <c r="K66">
        <v>-1.09868784166073</v>
      </c>
      <c r="L66">
        <v>-1.4941549086209001</v>
      </c>
      <c r="M66">
        <v>1.0481831145657401</v>
      </c>
      <c r="N66">
        <v>-1.1181562334711099</v>
      </c>
      <c r="O66">
        <v>0.26111111111111102</v>
      </c>
      <c r="P66">
        <v>0.21328723214442399</v>
      </c>
    </row>
    <row r="67" spans="1:16" x14ac:dyDescent="0.3">
      <c r="A67" t="s">
        <v>21</v>
      </c>
      <c r="B67" t="s">
        <v>28</v>
      </c>
      <c r="C67">
        <v>17.145786619999999</v>
      </c>
      <c r="D67">
        <v>4</v>
      </c>
      <c r="E67">
        <v>220</v>
      </c>
      <c r="F67" t="s">
        <v>27</v>
      </c>
      <c r="G67">
        <v>256.087084</v>
      </c>
      <c r="H67" t="b">
        <v>0</v>
      </c>
      <c r="I67">
        <v>274.20728994444403</v>
      </c>
      <c r="J67">
        <v>-18.1202059444444</v>
      </c>
      <c r="K67">
        <v>-0.79898445294305598</v>
      </c>
      <c r="L67">
        <v>-0.57163752516508604</v>
      </c>
      <c r="M67">
        <v>0.89385930265509705</v>
      </c>
      <c r="N67">
        <v>-0.77594325225923499</v>
      </c>
      <c r="O67">
        <v>0.17777777777777801</v>
      </c>
      <c r="P67">
        <v>6.90136384913205E-2</v>
      </c>
    </row>
    <row r="68" spans="1:16" x14ac:dyDescent="0.3">
      <c r="A68" t="s">
        <v>21</v>
      </c>
      <c r="B68" t="s">
        <v>28</v>
      </c>
      <c r="C68">
        <v>17.145786619999999</v>
      </c>
      <c r="D68">
        <v>5</v>
      </c>
      <c r="E68">
        <v>320</v>
      </c>
      <c r="F68" t="s">
        <v>27</v>
      </c>
      <c r="G68">
        <v>321.472756</v>
      </c>
      <c r="H68" t="b">
        <v>0</v>
      </c>
      <c r="I68">
        <v>274.181915194444</v>
      </c>
      <c r="J68">
        <v>47.290840805555597</v>
      </c>
      <c r="K68">
        <v>2.0245721874738898</v>
      </c>
      <c r="L68">
        <v>1.4941549086209001</v>
      </c>
      <c r="M68">
        <v>1.4228746211363399</v>
      </c>
      <c r="N68">
        <v>2.9115683106524499</v>
      </c>
      <c r="O68">
        <v>0.12777777777777799</v>
      </c>
      <c r="P68">
        <v>0.30023735182399602</v>
      </c>
    </row>
    <row r="69" spans="1:16" x14ac:dyDescent="0.3">
      <c r="A69" t="s">
        <v>21</v>
      </c>
      <c r="B69" t="s">
        <v>28</v>
      </c>
      <c r="C69">
        <v>17.145786619999999</v>
      </c>
      <c r="D69">
        <v>6</v>
      </c>
      <c r="E69">
        <v>420</v>
      </c>
      <c r="F69" t="s">
        <v>27</v>
      </c>
      <c r="G69">
        <v>254.102619</v>
      </c>
      <c r="H69" t="b">
        <v>0</v>
      </c>
      <c r="I69">
        <v>274.15654044444398</v>
      </c>
      <c r="J69">
        <v>-20.053921444444502</v>
      </c>
      <c r="K69">
        <v>-0.85044332169171399</v>
      </c>
      <c r="L69">
        <v>-0.93197131234318997</v>
      </c>
      <c r="M69">
        <v>0.92219483933261803</v>
      </c>
      <c r="N69">
        <v>-0.83148365727537599</v>
      </c>
      <c r="O69">
        <v>0.11111111111111099</v>
      </c>
      <c r="P69">
        <v>4.5203365213127199E-2</v>
      </c>
    </row>
    <row r="70" spans="1:16" x14ac:dyDescent="0.3">
      <c r="A70" t="s">
        <v>21</v>
      </c>
      <c r="B70" t="s">
        <v>28</v>
      </c>
      <c r="C70">
        <v>17.145786619999999</v>
      </c>
      <c r="D70">
        <v>7</v>
      </c>
      <c r="E70">
        <v>520</v>
      </c>
      <c r="F70" t="s">
        <v>27</v>
      </c>
      <c r="G70">
        <v>265.21018099999998</v>
      </c>
      <c r="H70" t="b">
        <v>0</v>
      </c>
      <c r="I70">
        <v>274.13116569444401</v>
      </c>
      <c r="J70">
        <v>-8.9209846944444706</v>
      </c>
      <c r="K70">
        <v>-0.38191703064688898</v>
      </c>
      <c r="L70">
        <v>-0.27439148786003698</v>
      </c>
      <c r="M70">
        <v>0.61799436133907304</v>
      </c>
      <c r="N70">
        <v>-0.357328934542609</v>
      </c>
      <c r="O70">
        <v>0.12777777777777799</v>
      </c>
      <c r="P70">
        <v>1.06840580282075E-2</v>
      </c>
    </row>
    <row r="71" spans="1:16" x14ac:dyDescent="0.3">
      <c r="A71" t="s">
        <v>21</v>
      </c>
      <c r="B71" t="s">
        <v>28</v>
      </c>
      <c r="C71">
        <v>17.145786619999999</v>
      </c>
      <c r="D71">
        <v>8</v>
      </c>
      <c r="E71">
        <v>620</v>
      </c>
      <c r="F71" t="s">
        <v>27</v>
      </c>
      <c r="G71">
        <v>268.32721800000002</v>
      </c>
      <c r="H71" t="b">
        <v>0</v>
      </c>
      <c r="I71">
        <v>274.10579094444398</v>
      </c>
      <c r="J71">
        <v>-5.7785729444444902</v>
      </c>
      <c r="K71">
        <v>-0.25479787354315803</v>
      </c>
      <c r="L71">
        <v>0.27439148786003698</v>
      </c>
      <c r="M71">
        <v>0.50477507222837203</v>
      </c>
      <c r="N71">
        <v>-0.23699858224748199</v>
      </c>
      <c r="O71">
        <v>0.17777777777777801</v>
      </c>
      <c r="P71">
        <v>7.0185898769854101E-3</v>
      </c>
    </row>
    <row r="72" spans="1:16" x14ac:dyDescent="0.3">
      <c r="A72" t="s">
        <v>21</v>
      </c>
      <c r="B72" t="s">
        <v>28</v>
      </c>
      <c r="C72">
        <v>17.145786619999999</v>
      </c>
      <c r="D72">
        <v>9</v>
      </c>
      <c r="E72">
        <v>720</v>
      </c>
      <c r="F72" t="s">
        <v>27</v>
      </c>
      <c r="G72">
        <v>266.53295100000003</v>
      </c>
      <c r="H72" t="b">
        <v>0</v>
      </c>
      <c r="I72">
        <v>274.08041619444401</v>
      </c>
      <c r="J72">
        <v>-7.5474651944444302</v>
      </c>
      <c r="K72">
        <v>-0.35106000564935003</v>
      </c>
      <c r="L72">
        <v>0</v>
      </c>
      <c r="M72">
        <v>0.59250316931586999</v>
      </c>
      <c r="N72">
        <v>-0.32791791625357802</v>
      </c>
      <c r="O72">
        <v>0.26111111111111102</v>
      </c>
      <c r="P72">
        <v>2.17760413369418E-2</v>
      </c>
    </row>
    <row r="73" spans="1:16" x14ac:dyDescent="0.3">
      <c r="A73" t="s">
        <v>21</v>
      </c>
      <c r="B73" t="s">
        <v>28</v>
      </c>
      <c r="C73">
        <v>17.145786619999999</v>
      </c>
      <c r="D73">
        <v>10</v>
      </c>
      <c r="E73">
        <v>820</v>
      </c>
      <c r="F73" t="s">
        <v>27</v>
      </c>
      <c r="G73">
        <v>290.34416199999998</v>
      </c>
      <c r="H73" t="b">
        <v>0</v>
      </c>
      <c r="I73">
        <v>274.05504144444399</v>
      </c>
      <c r="J73">
        <v>16.289120555555598</v>
      </c>
      <c r="K73">
        <v>0.82564752471321101</v>
      </c>
      <c r="L73">
        <v>0.57163752516508604</v>
      </c>
      <c r="M73">
        <v>0.90865148693721498</v>
      </c>
      <c r="N73">
        <v>0.80458137520392004</v>
      </c>
      <c r="O73">
        <v>0.37777777777777799</v>
      </c>
      <c r="P73">
        <v>0.20694277135903399</v>
      </c>
    </row>
    <row r="74" spans="1:16" x14ac:dyDescent="0.3">
      <c r="A74" t="s">
        <v>21</v>
      </c>
      <c r="B74" t="s">
        <v>29</v>
      </c>
      <c r="C74">
        <v>18.063734839999999</v>
      </c>
      <c r="D74">
        <v>2</v>
      </c>
      <c r="E74">
        <v>20</v>
      </c>
      <c r="F74" t="s">
        <v>23</v>
      </c>
      <c r="G74">
        <v>3879.9236019999998</v>
      </c>
      <c r="H74" t="b">
        <v>0</v>
      </c>
      <c r="I74">
        <v>3866.5744456888901</v>
      </c>
      <c r="J74">
        <v>13.3491563111102</v>
      </c>
      <c r="K74">
        <v>0.70430750961760402</v>
      </c>
      <c r="L74">
        <v>0.27439148786003698</v>
      </c>
      <c r="M74">
        <v>0.83923030785214403</v>
      </c>
      <c r="N74">
        <v>0.67647120692195495</v>
      </c>
      <c r="O74">
        <v>0.37777777777777799</v>
      </c>
      <c r="P74">
        <v>0.150586324245781</v>
      </c>
    </row>
    <row r="75" spans="1:16" x14ac:dyDescent="0.3">
      <c r="A75" t="s">
        <v>21</v>
      </c>
      <c r="B75" t="s">
        <v>29</v>
      </c>
      <c r="C75">
        <v>18.063734839999999</v>
      </c>
      <c r="D75">
        <v>3</v>
      </c>
      <c r="E75">
        <v>120</v>
      </c>
      <c r="F75" t="s">
        <v>23</v>
      </c>
      <c r="G75">
        <v>3906.2279039999999</v>
      </c>
      <c r="H75" t="b">
        <v>0</v>
      </c>
      <c r="I75">
        <v>3889.2662603222202</v>
      </c>
      <c r="J75">
        <v>16.961643677778302</v>
      </c>
      <c r="K75">
        <v>0.82122020674900098</v>
      </c>
      <c r="L75">
        <v>0.57163752516508604</v>
      </c>
      <c r="M75">
        <v>0.90621200982385997</v>
      </c>
      <c r="N75">
        <v>0.79980567160090499</v>
      </c>
      <c r="O75">
        <v>0.26111111111111102</v>
      </c>
      <c r="P75">
        <v>0.11916136659671001</v>
      </c>
    </row>
    <row r="76" spans="1:16" x14ac:dyDescent="0.3">
      <c r="A76" t="s">
        <v>21</v>
      </c>
      <c r="B76" t="s">
        <v>29</v>
      </c>
      <c r="C76">
        <v>18.063734839999999</v>
      </c>
      <c r="D76">
        <v>4</v>
      </c>
      <c r="E76">
        <v>220</v>
      </c>
      <c r="F76" t="s">
        <v>23</v>
      </c>
      <c r="G76">
        <v>3873.2362549999998</v>
      </c>
      <c r="H76" t="b">
        <v>0</v>
      </c>
      <c r="I76">
        <v>3911.9580749555598</v>
      </c>
      <c r="J76">
        <v>-38.721819955555098</v>
      </c>
      <c r="K76">
        <v>-1.77722500721689</v>
      </c>
      <c r="L76">
        <v>-1.4941549086209001</v>
      </c>
      <c r="M76">
        <v>1.3331260282572299</v>
      </c>
      <c r="N76">
        <v>-2.2211057978699</v>
      </c>
      <c r="O76">
        <v>0.17777777777777801</v>
      </c>
      <c r="P76">
        <v>0.34146256500292799</v>
      </c>
    </row>
    <row r="77" spans="1:16" x14ac:dyDescent="0.3">
      <c r="A77" t="s">
        <v>21</v>
      </c>
      <c r="B77" t="s">
        <v>29</v>
      </c>
      <c r="C77">
        <v>18.063734839999999</v>
      </c>
      <c r="D77">
        <v>5</v>
      </c>
      <c r="E77">
        <v>320</v>
      </c>
      <c r="F77" t="s">
        <v>23</v>
      </c>
      <c r="G77">
        <v>3921.982563</v>
      </c>
      <c r="H77" t="b">
        <v>0</v>
      </c>
      <c r="I77">
        <v>3934.6498895888899</v>
      </c>
      <c r="J77">
        <v>-12.667326588888701</v>
      </c>
      <c r="K77">
        <v>-0.56448532163811005</v>
      </c>
      <c r="L77">
        <v>-0.27439148786003698</v>
      </c>
      <c r="M77">
        <v>0.75132238196270296</v>
      </c>
      <c r="N77">
        <v>-0.53492877698448704</v>
      </c>
      <c r="O77">
        <v>0.12777777777777799</v>
      </c>
      <c r="P77">
        <v>2.33401420443703E-2</v>
      </c>
    </row>
    <row r="78" spans="1:16" x14ac:dyDescent="0.3">
      <c r="A78" t="s">
        <v>21</v>
      </c>
      <c r="B78" t="s">
        <v>29</v>
      </c>
      <c r="C78">
        <v>18.063734839999999</v>
      </c>
      <c r="D78">
        <v>6</v>
      </c>
      <c r="E78">
        <v>420</v>
      </c>
      <c r="F78" t="s">
        <v>23</v>
      </c>
      <c r="G78">
        <v>3983.1440149999999</v>
      </c>
      <c r="H78" t="b">
        <v>0</v>
      </c>
      <c r="I78">
        <v>3957.34170422222</v>
      </c>
      <c r="J78">
        <v>25.802310777778199</v>
      </c>
      <c r="K78">
        <v>1.1389800637702301</v>
      </c>
      <c r="L78">
        <v>1.4941549086209001</v>
      </c>
      <c r="M78">
        <v>1.0672300894231901</v>
      </c>
      <c r="N78">
        <v>1.1682897200235001</v>
      </c>
      <c r="O78">
        <v>0.11111111111111099</v>
      </c>
      <c r="P78">
        <v>8.1079724104127199E-2</v>
      </c>
    </row>
    <row r="79" spans="1:16" x14ac:dyDescent="0.3">
      <c r="A79" t="s">
        <v>21</v>
      </c>
      <c r="B79" t="s">
        <v>29</v>
      </c>
      <c r="C79">
        <v>18.063734839999999</v>
      </c>
      <c r="D79">
        <v>7</v>
      </c>
      <c r="E79">
        <v>520</v>
      </c>
      <c r="F79" t="s">
        <v>23</v>
      </c>
      <c r="G79">
        <v>3959.9071290000002</v>
      </c>
      <c r="H79" t="b">
        <v>0</v>
      </c>
      <c r="I79">
        <v>3980.03351885556</v>
      </c>
      <c r="J79">
        <v>-20.1263898555558</v>
      </c>
      <c r="K79">
        <v>-0.896878403766183</v>
      </c>
      <c r="L79">
        <v>-0.93197131234318997</v>
      </c>
      <c r="M79">
        <v>0.947036643306996</v>
      </c>
      <c r="N79">
        <v>-0.882606631698725</v>
      </c>
      <c r="O79">
        <v>0.12777777777777799</v>
      </c>
      <c r="P79">
        <v>5.8920350433981E-2</v>
      </c>
    </row>
    <row r="80" spans="1:16" x14ac:dyDescent="0.3">
      <c r="A80" t="s">
        <v>21</v>
      </c>
      <c r="B80" t="s">
        <v>29</v>
      </c>
      <c r="C80">
        <v>18.063734839999999</v>
      </c>
      <c r="D80">
        <v>8</v>
      </c>
      <c r="E80">
        <v>620</v>
      </c>
      <c r="F80" t="s">
        <v>23</v>
      </c>
      <c r="G80">
        <v>4024.5761280000002</v>
      </c>
      <c r="H80" t="b">
        <v>0</v>
      </c>
      <c r="I80">
        <v>4002.7253334888901</v>
      </c>
      <c r="J80">
        <v>21.850794511110699</v>
      </c>
      <c r="K80">
        <v>1.00289135369352</v>
      </c>
      <c r="L80">
        <v>0.93197131234318997</v>
      </c>
      <c r="M80">
        <v>1.0014446333639799</v>
      </c>
      <c r="N80">
        <v>1.0033756886018399</v>
      </c>
      <c r="O80">
        <v>0.17777777777777801</v>
      </c>
      <c r="P80">
        <v>0.108734169439268</v>
      </c>
    </row>
    <row r="81" spans="1:16" x14ac:dyDescent="0.3">
      <c r="A81" t="s">
        <v>21</v>
      </c>
      <c r="B81" t="s">
        <v>29</v>
      </c>
      <c r="C81">
        <v>18.063734839999999</v>
      </c>
      <c r="D81">
        <v>9</v>
      </c>
      <c r="E81">
        <v>720</v>
      </c>
      <c r="F81" t="s">
        <v>23</v>
      </c>
      <c r="G81">
        <v>4009.0282820000002</v>
      </c>
      <c r="H81" t="b">
        <v>0</v>
      </c>
      <c r="I81">
        <v>4025.4171481222202</v>
      </c>
      <c r="J81">
        <v>-16.388866122222101</v>
      </c>
      <c r="K81">
        <v>-0.79348843077664699</v>
      </c>
      <c r="L81">
        <v>-0.57163752516508604</v>
      </c>
      <c r="M81">
        <v>0.89077967577659001</v>
      </c>
      <c r="N81">
        <v>-0.77007617503113601</v>
      </c>
      <c r="O81">
        <v>0.26111111111111102</v>
      </c>
      <c r="P81">
        <v>0.111249333907858</v>
      </c>
    </row>
    <row r="82" spans="1:16" x14ac:dyDescent="0.3">
      <c r="A82" t="s">
        <v>21</v>
      </c>
      <c r="B82" t="s">
        <v>29</v>
      </c>
      <c r="C82">
        <v>18.063734839999999</v>
      </c>
      <c r="D82">
        <v>10</v>
      </c>
      <c r="E82">
        <v>820</v>
      </c>
      <c r="F82" t="s">
        <v>23</v>
      </c>
      <c r="G82">
        <v>4058.0494600000002</v>
      </c>
      <c r="H82" t="b">
        <v>0</v>
      </c>
      <c r="I82">
        <v>4048.1089627555598</v>
      </c>
      <c r="J82">
        <v>9.9404972444443995</v>
      </c>
      <c r="K82">
        <v>0.52446511939997198</v>
      </c>
      <c r="L82">
        <v>0</v>
      </c>
      <c r="M82">
        <v>0.72419964056879504</v>
      </c>
      <c r="N82">
        <v>0.495391038831485</v>
      </c>
      <c r="O82">
        <v>0.37777777777777799</v>
      </c>
      <c r="P82">
        <v>8.3501468659693906E-2</v>
      </c>
    </row>
    <row r="83" spans="1:16" x14ac:dyDescent="0.3">
      <c r="A83" t="s">
        <v>21</v>
      </c>
      <c r="B83" t="s">
        <v>29</v>
      </c>
      <c r="C83">
        <v>18.063734839999999</v>
      </c>
      <c r="D83">
        <v>2</v>
      </c>
      <c r="E83">
        <v>20</v>
      </c>
      <c r="F83" t="s">
        <v>25</v>
      </c>
      <c r="G83">
        <v>0.47223900000000002</v>
      </c>
      <c r="H83" t="b">
        <v>0</v>
      </c>
      <c r="I83">
        <v>0.389643488888889</v>
      </c>
      <c r="J83">
        <v>8.2595511111111006E-2</v>
      </c>
      <c r="K83">
        <v>1.2281704590473499</v>
      </c>
      <c r="L83">
        <v>0.93197131234318997</v>
      </c>
      <c r="M83">
        <v>1.1082285229352999</v>
      </c>
      <c r="N83">
        <v>1.2837632232218401</v>
      </c>
      <c r="O83">
        <v>0.37777777777777799</v>
      </c>
      <c r="P83">
        <v>0.457907955358963</v>
      </c>
    </row>
    <row r="84" spans="1:16" x14ac:dyDescent="0.3">
      <c r="A84" t="s">
        <v>21</v>
      </c>
      <c r="B84" t="s">
        <v>29</v>
      </c>
      <c r="C84">
        <v>18.063734839999999</v>
      </c>
      <c r="D84">
        <v>3</v>
      </c>
      <c r="E84">
        <v>120</v>
      </c>
      <c r="F84" t="s">
        <v>25</v>
      </c>
      <c r="G84">
        <v>0.359209</v>
      </c>
      <c r="H84" t="b">
        <v>0</v>
      </c>
      <c r="I84">
        <v>0.410772088888889</v>
      </c>
      <c r="J84">
        <v>-5.1563088888888803E-2</v>
      </c>
      <c r="K84">
        <v>-0.70359755063402196</v>
      </c>
      <c r="L84">
        <v>-0.27439148786003698</v>
      </c>
      <c r="M84">
        <v>0.83880721899255395</v>
      </c>
      <c r="N84">
        <v>-0.675737384500952</v>
      </c>
      <c r="O84">
        <v>0.26111111111111102</v>
      </c>
      <c r="P84">
        <v>8.7471154598252499E-2</v>
      </c>
    </row>
    <row r="85" spans="1:16" x14ac:dyDescent="0.3">
      <c r="A85" t="s">
        <v>21</v>
      </c>
      <c r="B85" t="s">
        <v>29</v>
      </c>
      <c r="C85">
        <v>18.063734839999999</v>
      </c>
      <c r="D85">
        <v>4</v>
      </c>
      <c r="E85">
        <v>220</v>
      </c>
      <c r="F85" t="s">
        <v>25</v>
      </c>
      <c r="G85">
        <v>0.47121299999999999</v>
      </c>
      <c r="H85" t="b">
        <v>0</v>
      </c>
      <c r="I85">
        <v>0.431900688888889</v>
      </c>
      <c r="J85">
        <v>3.9312311111111102E-2</v>
      </c>
      <c r="K85">
        <v>0.50852104630765604</v>
      </c>
      <c r="L85">
        <v>0.57163752516508604</v>
      </c>
      <c r="M85">
        <v>0.71310661636788697</v>
      </c>
      <c r="N85">
        <v>0.479743726581985</v>
      </c>
      <c r="O85">
        <v>0.17777777777777801</v>
      </c>
      <c r="P85">
        <v>2.7956070760846899E-2</v>
      </c>
    </row>
    <row r="86" spans="1:16" x14ac:dyDescent="0.3">
      <c r="A86" t="s">
        <v>21</v>
      </c>
      <c r="B86" t="s">
        <v>29</v>
      </c>
      <c r="C86">
        <v>18.063734839999999</v>
      </c>
      <c r="D86">
        <v>5</v>
      </c>
      <c r="E86">
        <v>320</v>
      </c>
      <c r="F86" t="s">
        <v>25</v>
      </c>
      <c r="G86">
        <v>0.35309200000000002</v>
      </c>
      <c r="H86" t="b">
        <v>0</v>
      </c>
      <c r="I86">
        <v>0.45302928888888899</v>
      </c>
      <c r="J86">
        <v>-9.9937288888888795E-2</v>
      </c>
      <c r="K86">
        <v>-1.25513069596966</v>
      </c>
      <c r="L86">
        <v>-1.4941549086209001</v>
      </c>
      <c r="M86">
        <v>1.1203261560677999</v>
      </c>
      <c r="N86">
        <v>-1.32001491238222</v>
      </c>
      <c r="O86">
        <v>0.12777777777777799</v>
      </c>
      <c r="P86">
        <v>0.11539210341147001</v>
      </c>
    </row>
    <row r="87" spans="1:16" x14ac:dyDescent="0.3">
      <c r="A87" t="s">
        <v>21</v>
      </c>
      <c r="B87" t="s">
        <v>29</v>
      </c>
      <c r="C87">
        <v>18.063734839999999</v>
      </c>
      <c r="D87">
        <v>6</v>
      </c>
      <c r="E87">
        <v>420</v>
      </c>
      <c r="F87" t="s">
        <v>25</v>
      </c>
      <c r="G87">
        <v>0.39977099999999999</v>
      </c>
      <c r="H87" t="b">
        <v>0</v>
      </c>
      <c r="I87">
        <v>0.47415788888888899</v>
      </c>
      <c r="J87">
        <v>-7.4386888888888905E-2</v>
      </c>
      <c r="K87">
        <v>-0.92543861634134295</v>
      </c>
      <c r="L87">
        <v>-0.57163752516508604</v>
      </c>
      <c r="M87">
        <v>0.96199720183654502</v>
      </c>
      <c r="N87">
        <v>-0.91456182990741797</v>
      </c>
      <c r="O87">
        <v>0.11111111111111099</v>
      </c>
      <c r="P87">
        <v>5.3527289538486199E-2</v>
      </c>
    </row>
    <row r="88" spans="1:16" x14ac:dyDescent="0.3">
      <c r="A88" t="s">
        <v>21</v>
      </c>
      <c r="B88" t="s">
        <v>29</v>
      </c>
      <c r="C88">
        <v>18.063734839999999</v>
      </c>
      <c r="D88">
        <v>7</v>
      </c>
      <c r="E88">
        <v>520</v>
      </c>
      <c r="F88" t="s">
        <v>25</v>
      </c>
      <c r="G88">
        <v>0.51932500000000004</v>
      </c>
      <c r="H88" t="b">
        <v>0</v>
      </c>
      <c r="I88">
        <v>0.49528648888888899</v>
      </c>
      <c r="J88">
        <v>2.4038511111111001E-2</v>
      </c>
      <c r="K88">
        <v>0.30190405919964702</v>
      </c>
      <c r="L88">
        <v>0.27439148786003698</v>
      </c>
      <c r="M88">
        <v>0.54945796854686402</v>
      </c>
      <c r="N88">
        <v>0.28134653563677497</v>
      </c>
      <c r="O88">
        <v>0.12777777777777799</v>
      </c>
      <c r="P88">
        <v>6.6763038283698898E-3</v>
      </c>
    </row>
    <row r="89" spans="1:16" x14ac:dyDescent="0.3">
      <c r="A89" t="s">
        <v>21</v>
      </c>
      <c r="B89" t="s">
        <v>29</v>
      </c>
      <c r="C89">
        <v>18.063734839999999</v>
      </c>
      <c r="D89">
        <v>8</v>
      </c>
      <c r="E89">
        <v>620</v>
      </c>
      <c r="F89" t="s">
        <v>25</v>
      </c>
      <c r="G89">
        <v>0.64884500000000001</v>
      </c>
      <c r="H89" t="b">
        <v>0</v>
      </c>
      <c r="I89">
        <v>0.51641508888888898</v>
      </c>
      <c r="J89">
        <v>0.13242991111111099</v>
      </c>
      <c r="K89">
        <v>1.7130358164472901</v>
      </c>
      <c r="L89">
        <v>1.4941549086209001</v>
      </c>
      <c r="M89">
        <v>1.3088299417599301</v>
      </c>
      <c r="N89">
        <v>2.08106019765677</v>
      </c>
      <c r="O89">
        <v>0.17777777777777801</v>
      </c>
      <c r="P89">
        <v>0.31724234685743102</v>
      </c>
    </row>
    <row r="90" spans="1:16" x14ac:dyDescent="0.3">
      <c r="A90" t="s">
        <v>21</v>
      </c>
      <c r="B90" t="s">
        <v>29</v>
      </c>
      <c r="C90">
        <v>18.063734839999999</v>
      </c>
      <c r="D90">
        <v>9</v>
      </c>
      <c r="E90">
        <v>720</v>
      </c>
      <c r="F90" t="s">
        <v>25</v>
      </c>
      <c r="G90">
        <v>0.46210600000000002</v>
      </c>
      <c r="H90" t="b">
        <v>0</v>
      </c>
      <c r="I90">
        <v>0.53754368888888904</v>
      </c>
      <c r="J90">
        <v>-7.5437688888888896E-2</v>
      </c>
      <c r="K90">
        <v>-1.0293753588364101</v>
      </c>
      <c r="L90">
        <v>-0.93197131234318997</v>
      </c>
      <c r="M90">
        <v>1.01458137122481</v>
      </c>
      <c r="N90">
        <v>-1.03452751656342</v>
      </c>
      <c r="O90">
        <v>0.26111111111111102</v>
      </c>
      <c r="P90">
        <v>0.18722496458962601</v>
      </c>
    </row>
    <row r="91" spans="1:16" x14ac:dyDescent="0.3">
      <c r="A91" t="s">
        <v>21</v>
      </c>
      <c r="B91" t="s">
        <v>29</v>
      </c>
      <c r="C91">
        <v>18.063734839999999</v>
      </c>
      <c r="D91">
        <v>10</v>
      </c>
      <c r="E91">
        <v>820</v>
      </c>
      <c r="F91" t="s">
        <v>25</v>
      </c>
      <c r="G91">
        <v>0.58162100000000005</v>
      </c>
      <c r="H91" t="b">
        <v>0</v>
      </c>
      <c r="I91">
        <v>0.55867228888888898</v>
      </c>
      <c r="J91">
        <v>2.29487111111111E-2</v>
      </c>
      <c r="K91">
        <v>0.341240446129849</v>
      </c>
      <c r="L91">
        <v>0</v>
      </c>
      <c r="M91">
        <v>0.58415789486221004</v>
      </c>
      <c r="N91">
        <v>0.318588235213632</v>
      </c>
      <c r="O91">
        <v>0.37777777777777799</v>
      </c>
      <c r="P91">
        <v>3.5349387772737002E-2</v>
      </c>
    </row>
    <row r="92" spans="1:16" x14ac:dyDescent="0.3">
      <c r="A92" t="s">
        <v>21</v>
      </c>
      <c r="B92" t="s">
        <v>29</v>
      </c>
      <c r="C92">
        <v>18.063734839999999</v>
      </c>
      <c r="D92">
        <v>2</v>
      </c>
      <c r="E92">
        <v>20</v>
      </c>
      <c r="F92" t="s">
        <v>26</v>
      </c>
      <c r="G92">
        <v>6.9283760000000001</v>
      </c>
      <c r="H92" t="b">
        <v>0</v>
      </c>
      <c r="I92">
        <v>6.4783712888888898</v>
      </c>
      <c r="J92">
        <v>0.45000471111111201</v>
      </c>
      <c r="K92">
        <v>1.87761777163743</v>
      </c>
      <c r="L92">
        <v>1.4941549086209001</v>
      </c>
      <c r="M92">
        <v>1.3702619354114101</v>
      </c>
      <c r="N92">
        <v>2.4673652026471702</v>
      </c>
      <c r="O92">
        <v>0.37777777777777799</v>
      </c>
      <c r="P92">
        <v>1.07022543639765</v>
      </c>
    </row>
    <row r="93" spans="1:16" x14ac:dyDescent="0.3">
      <c r="A93" t="s">
        <v>21</v>
      </c>
      <c r="B93" t="s">
        <v>29</v>
      </c>
      <c r="C93">
        <v>18.063734839999999</v>
      </c>
      <c r="D93">
        <v>3</v>
      </c>
      <c r="E93">
        <v>120</v>
      </c>
      <c r="F93" t="s">
        <v>26</v>
      </c>
      <c r="G93">
        <v>6.6110360000000004</v>
      </c>
      <c r="H93" t="b">
        <v>0</v>
      </c>
      <c r="I93">
        <v>6.5545704388888897</v>
      </c>
      <c r="J93">
        <v>5.6465561111110701E-2</v>
      </c>
      <c r="K93">
        <v>0.216200635307262</v>
      </c>
      <c r="L93">
        <v>0</v>
      </c>
      <c r="M93">
        <v>0.46497380066758798</v>
      </c>
      <c r="N93">
        <v>0.20083455634608999</v>
      </c>
      <c r="O93">
        <v>0.26111111111111102</v>
      </c>
      <c r="P93">
        <v>8.2590510948924393E-3</v>
      </c>
    </row>
    <row r="94" spans="1:16" x14ac:dyDescent="0.3">
      <c r="A94" t="s">
        <v>21</v>
      </c>
      <c r="B94" t="s">
        <v>29</v>
      </c>
      <c r="C94">
        <v>18.063734839999999</v>
      </c>
      <c r="D94">
        <v>4</v>
      </c>
      <c r="E94">
        <v>220</v>
      </c>
      <c r="F94" t="s">
        <v>26</v>
      </c>
      <c r="G94">
        <v>6.1488620000000003</v>
      </c>
      <c r="H94" t="b">
        <v>0</v>
      </c>
      <c r="I94">
        <v>6.6307695888888896</v>
      </c>
      <c r="J94">
        <v>-0.48190758888888902</v>
      </c>
      <c r="K94">
        <v>-1.74917010350166</v>
      </c>
      <c r="L94">
        <v>-1.4941549086209001</v>
      </c>
      <c r="M94">
        <v>1.3225619469430001</v>
      </c>
      <c r="N94">
        <v>-2.1584266681332802</v>
      </c>
      <c r="O94">
        <v>0.17777777777777801</v>
      </c>
      <c r="P94">
        <v>0.33076714064691998</v>
      </c>
    </row>
    <row r="95" spans="1:16" x14ac:dyDescent="0.3">
      <c r="A95" t="s">
        <v>21</v>
      </c>
      <c r="B95" t="s">
        <v>29</v>
      </c>
      <c r="C95">
        <v>18.063734839999999</v>
      </c>
      <c r="D95">
        <v>5</v>
      </c>
      <c r="E95">
        <v>320</v>
      </c>
      <c r="F95" t="s">
        <v>26</v>
      </c>
      <c r="G95">
        <v>6.686795</v>
      </c>
      <c r="H95" t="b">
        <v>0</v>
      </c>
      <c r="I95">
        <v>6.7069687388888903</v>
      </c>
      <c r="J95">
        <v>-2.0173738888888799E-2</v>
      </c>
      <c r="K95">
        <v>-7.1094451394024996E-2</v>
      </c>
      <c r="L95">
        <v>-0.27439148786003698</v>
      </c>
      <c r="M95">
        <v>0.26663542786738798</v>
      </c>
      <c r="N95">
        <v>-6.5844448201539799E-2</v>
      </c>
      <c r="O95">
        <v>0.12777777777777799</v>
      </c>
      <c r="P95">
        <v>3.7022829120190998E-4</v>
      </c>
    </row>
    <row r="96" spans="1:16" x14ac:dyDescent="0.3">
      <c r="A96" t="s">
        <v>21</v>
      </c>
      <c r="B96" t="s">
        <v>29</v>
      </c>
      <c r="C96">
        <v>18.063734839999999</v>
      </c>
      <c r="D96">
        <v>6</v>
      </c>
      <c r="E96">
        <v>420</v>
      </c>
      <c r="F96" t="s">
        <v>26</v>
      </c>
      <c r="G96">
        <v>6.5923769999999999</v>
      </c>
      <c r="H96" t="b">
        <v>0</v>
      </c>
      <c r="I96">
        <v>6.7831678888888902</v>
      </c>
      <c r="J96">
        <v>-0.19079088888888901</v>
      </c>
      <c r="K96">
        <v>-0.66603458024239304</v>
      </c>
      <c r="L96">
        <v>-0.57163752516508604</v>
      </c>
      <c r="M96">
        <v>0.81610941683232197</v>
      </c>
      <c r="N96">
        <v>-0.63714715881081296</v>
      </c>
      <c r="O96">
        <v>0.11111111111111099</v>
      </c>
      <c r="P96">
        <v>2.7725128879916301E-2</v>
      </c>
    </row>
    <row r="97" spans="1:16" x14ac:dyDescent="0.3">
      <c r="A97" t="s">
        <v>21</v>
      </c>
      <c r="B97" t="s">
        <v>29</v>
      </c>
      <c r="C97">
        <v>18.063734839999999</v>
      </c>
      <c r="D97">
        <v>7</v>
      </c>
      <c r="E97">
        <v>520</v>
      </c>
      <c r="F97" t="s">
        <v>26</v>
      </c>
      <c r="G97">
        <v>6.5696159999999999</v>
      </c>
      <c r="H97" t="b">
        <v>0</v>
      </c>
      <c r="I97">
        <v>6.8593670388888901</v>
      </c>
      <c r="J97">
        <v>-0.28975103888888898</v>
      </c>
      <c r="K97">
        <v>-1.0211141952471801</v>
      </c>
      <c r="L97">
        <v>-0.93197131234318997</v>
      </c>
      <c r="M97">
        <v>1.0105019521243801</v>
      </c>
      <c r="N97">
        <v>-1.0247649502215801</v>
      </c>
      <c r="O97">
        <v>0.12777777777777799</v>
      </c>
      <c r="P97">
        <v>7.6374224821374695E-2</v>
      </c>
    </row>
    <row r="98" spans="1:16" x14ac:dyDescent="0.3">
      <c r="A98" t="s">
        <v>21</v>
      </c>
      <c r="B98" t="s">
        <v>29</v>
      </c>
      <c r="C98">
        <v>18.063734839999999</v>
      </c>
      <c r="D98">
        <v>8</v>
      </c>
      <c r="E98">
        <v>620</v>
      </c>
      <c r="F98" t="s">
        <v>26</v>
      </c>
      <c r="G98">
        <v>7.165222</v>
      </c>
      <c r="H98" t="b">
        <v>0</v>
      </c>
      <c r="I98">
        <v>6.93556618888889</v>
      </c>
      <c r="J98">
        <v>0.229655811111111</v>
      </c>
      <c r="K98">
        <v>0.83357699308528499</v>
      </c>
      <c r="L98">
        <v>0.93197131234318997</v>
      </c>
      <c r="M98">
        <v>0.91300437736370399</v>
      </c>
      <c r="N98">
        <v>0.81315559396571602</v>
      </c>
      <c r="O98">
        <v>0.17777777777777801</v>
      </c>
      <c r="P98">
        <v>7.5118984151470905E-2</v>
      </c>
    </row>
    <row r="99" spans="1:16" x14ac:dyDescent="0.3">
      <c r="A99" t="s">
        <v>21</v>
      </c>
      <c r="B99" t="s">
        <v>29</v>
      </c>
      <c r="C99">
        <v>18.063734839999999</v>
      </c>
      <c r="D99">
        <v>9</v>
      </c>
      <c r="E99">
        <v>720</v>
      </c>
      <c r="F99" t="s">
        <v>26</v>
      </c>
      <c r="G99">
        <v>7.1818879999999998</v>
      </c>
      <c r="H99" t="b">
        <v>0</v>
      </c>
      <c r="I99">
        <v>7.0117653388888899</v>
      </c>
      <c r="J99">
        <v>0.17012266111111099</v>
      </c>
      <c r="K99">
        <v>0.65138159771420301</v>
      </c>
      <c r="L99">
        <v>0.57163752516508604</v>
      </c>
      <c r="M99">
        <v>0.80708215053624099</v>
      </c>
      <c r="N99">
        <v>0.62221438601658996</v>
      </c>
      <c r="O99">
        <v>0.26111111111111102</v>
      </c>
      <c r="P99">
        <v>7.4969944866591198E-2</v>
      </c>
    </row>
    <row r="100" spans="1:16" x14ac:dyDescent="0.3">
      <c r="A100" t="s">
        <v>21</v>
      </c>
      <c r="B100" t="s">
        <v>29</v>
      </c>
      <c r="C100">
        <v>18.063734839999999</v>
      </c>
      <c r="D100">
        <v>10</v>
      </c>
      <c r="E100">
        <v>820</v>
      </c>
      <c r="F100" t="s">
        <v>26</v>
      </c>
      <c r="G100">
        <v>7.164339</v>
      </c>
      <c r="H100" t="b">
        <v>0</v>
      </c>
      <c r="I100">
        <v>7.0879644888888897</v>
      </c>
      <c r="J100">
        <v>7.6374511111111196E-2</v>
      </c>
      <c r="K100">
        <v>0.31866808462575302</v>
      </c>
      <c r="L100">
        <v>0.27439148786003698</v>
      </c>
      <c r="M100">
        <v>0.56450693939556895</v>
      </c>
      <c r="N100">
        <v>0.29719288934239901</v>
      </c>
      <c r="O100">
        <v>0.37777777777777799</v>
      </c>
      <c r="P100">
        <v>3.08274806911389E-2</v>
      </c>
    </row>
    <row r="101" spans="1:16" x14ac:dyDescent="0.3">
      <c r="A101" t="s">
        <v>21</v>
      </c>
      <c r="B101" t="s">
        <v>29</v>
      </c>
      <c r="C101">
        <v>18.063734839999999</v>
      </c>
      <c r="D101">
        <v>2</v>
      </c>
      <c r="E101">
        <v>20</v>
      </c>
      <c r="F101" t="s">
        <v>27</v>
      </c>
      <c r="G101">
        <v>294.95999999999998</v>
      </c>
      <c r="H101" t="b">
        <v>0</v>
      </c>
      <c r="I101">
        <v>289.71018531111099</v>
      </c>
      <c r="J101">
        <v>5.24981468888884</v>
      </c>
      <c r="K101">
        <v>0.242256222347565</v>
      </c>
      <c r="L101">
        <v>0</v>
      </c>
      <c r="M101">
        <v>0.49219530914827397</v>
      </c>
      <c r="N101">
        <v>0.225231840391444</v>
      </c>
      <c r="O101">
        <v>0.37777777777777799</v>
      </c>
      <c r="P101">
        <v>1.7816023455784199E-2</v>
      </c>
    </row>
    <row r="102" spans="1:16" x14ac:dyDescent="0.3">
      <c r="A102" t="s">
        <v>21</v>
      </c>
      <c r="B102" t="s">
        <v>29</v>
      </c>
      <c r="C102">
        <v>18.063734839999999</v>
      </c>
      <c r="D102">
        <v>3</v>
      </c>
      <c r="E102">
        <v>120</v>
      </c>
      <c r="F102" t="s">
        <v>27</v>
      </c>
      <c r="G102">
        <v>284.68921799999998</v>
      </c>
      <c r="H102" t="b">
        <v>0</v>
      </c>
      <c r="I102">
        <v>290.02596209444403</v>
      </c>
      <c r="J102">
        <v>-5.3367440944444002</v>
      </c>
      <c r="K102">
        <v>-0.22599068370368999</v>
      </c>
      <c r="L102">
        <v>-0.27439148786003698</v>
      </c>
      <c r="M102">
        <v>0.47538477437091903</v>
      </c>
      <c r="N102">
        <v>-0.20999417532293799</v>
      </c>
      <c r="O102">
        <v>0.26111111111111102</v>
      </c>
      <c r="P102">
        <v>9.0239627394002805E-3</v>
      </c>
    </row>
    <row r="103" spans="1:16" x14ac:dyDescent="0.3">
      <c r="A103" t="s">
        <v>21</v>
      </c>
      <c r="B103" t="s">
        <v>29</v>
      </c>
      <c r="C103">
        <v>18.063734839999999</v>
      </c>
      <c r="D103">
        <v>4</v>
      </c>
      <c r="E103">
        <v>220</v>
      </c>
      <c r="F103" t="s">
        <v>27</v>
      </c>
      <c r="G103">
        <v>312.98240099999998</v>
      </c>
      <c r="H103" t="b">
        <v>0</v>
      </c>
      <c r="I103">
        <v>290.34173887777803</v>
      </c>
      <c r="J103">
        <v>22.640662122222299</v>
      </c>
      <c r="K103">
        <v>0.90886262470047496</v>
      </c>
      <c r="L103">
        <v>0.57163752516508604</v>
      </c>
      <c r="M103">
        <v>0.95334286838496596</v>
      </c>
      <c r="N103">
        <v>0.89596626252612599</v>
      </c>
      <c r="O103">
        <v>0.17777777777777801</v>
      </c>
      <c r="P103">
        <v>8.9300677900263303E-2</v>
      </c>
    </row>
    <row r="104" spans="1:16" x14ac:dyDescent="0.3">
      <c r="A104" t="s">
        <v>21</v>
      </c>
      <c r="B104" t="s">
        <v>29</v>
      </c>
      <c r="C104">
        <v>18.063734839999999</v>
      </c>
      <c r="D104">
        <v>5</v>
      </c>
      <c r="E104">
        <v>320</v>
      </c>
      <c r="F104" t="s">
        <v>27</v>
      </c>
      <c r="G104">
        <v>313.92051900000001</v>
      </c>
      <c r="H104" t="b">
        <v>0</v>
      </c>
      <c r="I104">
        <v>290.65751566111101</v>
      </c>
      <c r="J104">
        <v>23.2630033388889</v>
      </c>
      <c r="K104">
        <v>0.90668396503202597</v>
      </c>
      <c r="L104">
        <v>0.93197131234318997</v>
      </c>
      <c r="M104">
        <v>0.95219954055440803</v>
      </c>
      <c r="N104">
        <v>0.89353233456491798</v>
      </c>
      <c r="O104">
        <v>0.12777777777777799</v>
      </c>
      <c r="P104">
        <v>6.0215744223766E-2</v>
      </c>
    </row>
    <row r="105" spans="1:16" x14ac:dyDescent="0.3">
      <c r="A105" t="s">
        <v>21</v>
      </c>
      <c r="B105" t="s">
        <v>29</v>
      </c>
      <c r="C105">
        <v>18.063734839999999</v>
      </c>
      <c r="D105">
        <v>6</v>
      </c>
      <c r="E105">
        <v>420</v>
      </c>
      <c r="F105" t="s">
        <v>27</v>
      </c>
      <c r="G105">
        <v>255.60445000000001</v>
      </c>
      <c r="H105" t="b">
        <v>0</v>
      </c>
      <c r="I105">
        <v>290.97329244444398</v>
      </c>
      <c r="J105">
        <v>-35.368842444444503</v>
      </c>
      <c r="K105">
        <v>-1.3655287034048</v>
      </c>
      <c r="L105">
        <v>-1.4941549086209001</v>
      </c>
      <c r="M105">
        <v>1.16855838681891</v>
      </c>
      <c r="N105">
        <v>-1.4760199336125901</v>
      </c>
      <c r="O105">
        <v>0.11111111111111099</v>
      </c>
      <c r="P105">
        <v>0.1165417899889</v>
      </c>
    </row>
    <row r="106" spans="1:16" x14ac:dyDescent="0.3">
      <c r="A106" t="s">
        <v>21</v>
      </c>
      <c r="B106" t="s">
        <v>29</v>
      </c>
      <c r="C106">
        <v>18.063734839999999</v>
      </c>
      <c r="D106">
        <v>7</v>
      </c>
      <c r="E106">
        <v>520</v>
      </c>
      <c r="F106" t="s">
        <v>27</v>
      </c>
      <c r="G106">
        <v>262.14206899999999</v>
      </c>
      <c r="H106" t="b">
        <v>0</v>
      </c>
      <c r="I106">
        <v>291.28906922777799</v>
      </c>
      <c r="J106">
        <v>-29.147000227777799</v>
      </c>
      <c r="K106">
        <v>-1.13601487092308</v>
      </c>
      <c r="L106">
        <v>-0.93197131234318997</v>
      </c>
      <c r="M106">
        <v>1.06583998373258</v>
      </c>
      <c r="N106">
        <v>-1.16455964320783</v>
      </c>
      <c r="O106">
        <v>0.12777777777777799</v>
      </c>
      <c r="P106">
        <v>9.4529251910963494E-2</v>
      </c>
    </row>
    <row r="107" spans="1:16" x14ac:dyDescent="0.3">
      <c r="A107" t="s">
        <v>21</v>
      </c>
      <c r="B107" t="s">
        <v>29</v>
      </c>
      <c r="C107">
        <v>18.063734839999999</v>
      </c>
      <c r="D107">
        <v>8</v>
      </c>
      <c r="E107">
        <v>620</v>
      </c>
      <c r="F107" t="s">
        <v>27</v>
      </c>
      <c r="G107">
        <v>262.495993</v>
      </c>
      <c r="H107" t="b">
        <v>0</v>
      </c>
      <c r="I107">
        <v>291.60484601111102</v>
      </c>
      <c r="J107">
        <v>-29.108853011111101</v>
      </c>
      <c r="K107">
        <v>-1.16851479019828</v>
      </c>
      <c r="L107">
        <v>-0.57163752516508604</v>
      </c>
      <c r="M107">
        <v>1.0809786261523799</v>
      </c>
      <c r="N107">
        <v>-1.2058112373176999</v>
      </c>
      <c r="O107">
        <v>0.17777777777777801</v>
      </c>
      <c r="P107">
        <v>0.147613709720231</v>
      </c>
    </row>
    <row r="108" spans="1:16" x14ac:dyDescent="0.3">
      <c r="A108" t="s">
        <v>21</v>
      </c>
      <c r="B108" t="s">
        <v>29</v>
      </c>
      <c r="C108">
        <v>18.063734839999999</v>
      </c>
      <c r="D108">
        <v>9</v>
      </c>
      <c r="E108">
        <v>720</v>
      </c>
      <c r="F108" t="s">
        <v>27</v>
      </c>
      <c r="G108">
        <v>322.25440099999997</v>
      </c>
      <c r="H108" t="b">
        <v>0</v>
      </c>
      <c r="I108">
        <v>291.920622794444</v>
      </c>
      <c r="J108">
        <v>30.3337782055556</v>
      </c>
      <c r="K108">
        <v>1.2845193913505899</v>
      </c>
      <c r="L108">
        <v>1.4941549086209001</v>
      </c>
      <c r="M108">
        <v>1.1333663976625501</v>
      </c>
      <c r="N108">
        <v>1.3603134616447199</v>
      </c>
      <c r="O108">
        <v>0.26111111111111102</v>
      </c>
      <c r="P108">
        <v>0.29153959826134501</v>
      </c>
    </row>
    <row r="109" spans="1:16" x14ac:dyDescent="0.3">
      <c r="A109" t="s">
        <v>21</v>
      </c>
      <c r="B109" t="s">
        <v>29</v>
      </c>
      <c r="C109">
        <v>18.063734839999999</v>
      </c>
      <c r="D109">
        <v>10</v>
      </c>
      <c r="E109">
        <v>820</v>
      </c>
      <c r="F109" t="s">
        <v>27</v>
      </c>
      <c r="G109">
        <v>309.71058099999999</v>
      </c>
      <c r="H109" t="b">
        <v>0</v>
      </c>
      <c r="I109">
        <v>292.236399577778</v>
      </c>
      <c r="J109">
        <v>17.474181422222198</v>
      </c>
      <c r="K109">
        <v>0.80635782991028604</v>
      </c>
      <c r="L109">
        <v>0.27439148786003698</v>
      </c>
      <c r="M109">
        <v>0.89797429245512705</v>
      </c>
      <c r="N109">
        <v>0.78383355682216305</v>
      </c>
      <c r="O109">
        <v>0.37777777777777799</v>
      </c>
      <c r="P109">
        <v>0.197386074063922</v>
      </c>
    </row>
    <row r="110" spans="1:16" x14ac:dyDescent="0.3">
      <c r="A110" t="s">
        <v>21</v>
      </c>
      <c r="B110" t="s">
        <v>30</v>
      </c>
      <c r="C110">
        <v>17.804097460000001</v>
      </c>
      <c r="D110">
        <v>2</v>
      </c>
      <c r="E110">
        <v>20</v>
      </c>
      <c r="F110" t="s">
        <v>23</v>
      </c>
      <c r="G110">
        <v>3909.4238869999999</v>
      </c>
      <c r="H110" t="b">
        <v>0</v>
      </c>
      <c r="I110">
        <v>3919.65651313333</v>
      </c>
      <c r="J110">
        <v>-10.232626133334399</v>
      </c>
      <c r="K110">
        <v>-0.48382054442377398</v>
      </c>
      <c r="L110">
        <v>0</v>
      </c>
      <c r="M110">
        <v>0.69557209865244995</v>
      </c>
      <c r="N110">
        <v>-0.455613491962919</v>
      </c>
      <c r="O110">
        <v>0.37777777777777799</v>
      </c>
      <c r="P110">
        <v>7.1060704044835499E-2</v>
      </c>
    </row>
    <row r="111" spans="1:16" x14ac:dyDescent="0.3">
      <c r="A111" t="s">
        <v>21</v>
      </c>
      <c r="B111" t="s">
        <v>30</v>
      </c>
      <c r="C111">
        <v>17.804097460000001</v>
      </c>
      <c r="D111">
        <v>3</v>
      </c>
      <c r="E111">
        <v>120</v>
      </c>
      <c r="F111" t="s">
        <v>23</v>
      </c>
      <c r="G111">
        <v>3906.243211</v>
      </c>
      <c r="H111" t="b">
        <v>0</v>
      </c>
      <c r="I111">
        <v>3929.26350501667</v>
      </c>
      <c r="J111">
        <v>-23.020294016666298</v>
      </c>
      <c r="K111">
        <v>-0.99882925977845405</v>
      </c>
      <c r="L111">
        <v>-0.93197131234318997</v>
      </c>
      <c r="M111">
        <v>0.99941445845977905</v>
      </c>
      <c r="N111">
        <v>-0.99863453589020101</v>
      </c>
      <c r="O111">
        <v>0.26111111111111102</v>
      </c>
      <c r="P111">
        <v>0.17627825127409799</v>
      </c>
    </row>
    <row r="112" spans="1:16" x14ac:dyDescent="0.3">
      <c r="A112" t="s">
        <v>21</v>
      </c>
      <c r="B112" t="s">
        <v>30</v>
      </c>
      <c r="C112">
        <v>17.804097460000001</v>
      </c>
      <c r="D112">
        <v>4</v>
      </c>
      <c r="E112">
        <v>220</v>
      </c>
      <c r="F112" t="s">
        <v>23</v>
      </c>
      <c r="G112">
        <v>3943.0421719999999</v>
      </c>
      <c r="H112" t="b">
        <v>0</v>
      </c>
      <c r="I112">
        <v>3938.8704969</v>
      </c>
      <c r="J112">
        <v>4.1716751000006598</v>
      </c>
      <c r="K112">
        <v>0.17158757239425601</v>
      </c>
      <c r="L112">
        <v>0.27439148786003698</v>
      </c>
      <c r="M112">
        <v>0.41423130301107902</v>
      </c>
      <c r="N112">
        <v>0.159194365274966</v>
      </c>
      <c r="O112">
        <v>0.17777777777777801</v>
      </c>
      <c r="P112">
        <v>3.1829508108274702E-3</v>
      </c>
    </row>
    <row r="113" spans="1:16" x14ac:dyDescent="0.3">
      <c r="A113" t="s">
        <v>21</v>
      </c>
      <c r="B113" t="s">
        <v>30</v>
      </c>
      <c r="C113">
        <v>17.804097460000001</v>
      </c>
      <c r="D113">
        <v>5</v>
      </c>
      <c r="E113">
        <v>320</v>
      </c>
      <c r="F113" t="s">
        <v>23</v>
      </c>
      <c r="G113">
        <v>3986.6616479999998</v>
      </c>
      <c r="H113" t="b">
        <v>0</v>
      </c>
      <c r="I113">
        <v>3948.47748878333</v>
      </c>
      <c r="J113">
        <v>38.184159216667098</v>
      </c>
      <c r="K113">
        <v>1.52489386259851</v>
      </c>
      <c r="L113">
        <v>1.4941549086209001</v>
      </c>
      <c r="M113">
        <v>1.23486592899736</v>
      </c>
      <c r="N113">
        <v>1.7275810401823499</v>
      </c>
      <c r="O113">
        <v>0.12777777777777799</v>
      </c>
      <c r="P113">
        <v>0.170324616943898</v>
      </c>
    </row>
    <row r="114" spans="1:16" x14ac:dyDescent="0.3">
      <c r="A114" t="s">
        <v>21</v>
      </c>
      <c r="B114" t="s">
        <v>30</v>
      </c>
      <c r="C114">
        <v>17.804097460000001</v>
      </c>
      <c r="D114">
        <v>6</v>
      </c>
      <c r="E114">
        <v>420</v>
      </c>
      <c r="F114" t="s">
        <v>23</v>
      </c>
      <c r="G114">
        <v>3987.821383</v>
      </c>
      <c r="H114" t="b">
        <v>0</v>
      </c>
      <c r="I114">
        <v>3958.0844806666701</v>
      </c>
      <c r="J114">
        <v>29.736902333333401</v>
      </c>
      <c r="K114">
        <v>1.17636459634007</v>
      </c>
      <c r="L114">
        <v>0.93197131234318997</v>
      </c>
      <c r="M114">
        <v>1.08460342814324</v>
      </c>
      <c r="N114">
        <v>1.2158992477474799</v>
      </c>
      <c r="O114">
        <v>0.11111111111111099</v>
      </c>
      <c r="P114">
        <v>8.6489603970145795E-2</v>
      </c>
    </row>
    <row r="115" spans="1:16" x14ac:dyDescent="0.3">
      <c r="A115" t="s">
        <v>21</v>
      </c>
      <c r="B115" t="s">
        <v>30</v>
      </c>
      <c r="C115">
        <v>17.804097460000001</v>
      </c>
      <c r="D115">
        <v>7</v>
      </c>
      <c r="E115">
        <v>520</v>
      </c>
      <c r="F115" t="s">
        <v>23</v>
      </c>
      <c r="G115">
        <v>3941.8968110000001</v>
      </c>
      <c r="H115" t="b">
        <v>0</v>
      </c>
      <c r="I115">
        <v>3967.6914725500001</v>
      </c>
      <c r="J115">
        <v>-25.794661550000001</v>
      </c>
      <c r="K115">
        <v>-1.0301162024338</v>
      </c>
      <c r="L115">
        <v>-1.4941549086209001</v>
      </c>
      <c r="M115">
        <v>1.01494640372475</v>
      </c>
      <c r="N115">
        <v>-1.0354050462498601</v>
      </c>
      <c r="O115">
        <v>0.12777777777777799</v>
      </c>
      <c r="P115">
        <v>7.7726770642938606E-2</v>
      </c>
    </row>
    <row r="116" spans="1:16" x14ac:dyDescent="0.3">
      <c r="A116" t="s">
        <v>21</v>
      </c>
      <c r="B116" t="s">
        <v>30</v>
      </c>
      <c r="C116">
        <v>17.804097460000001</v>
      </c>
      <c r="D116">
        <v>8</v>
      </c>
      <c r="E116">
        <v>620</v>
      </c>
      <c r="F116" t="s">
        <v>23</v>
      </c>
      <c r="G116">
        <v>3957.4144719999999</v>
      </c>
      <c r="H116" t="b">
        <v>0</v>
      </c>
      <c r="I116">
        <v>3977.2984644333301</v>
      </c>
      <c r="J116">
        <v>-19.883992433333599</v>
      </c>
      <c r="K116">
        <v>-0.81785995058457905</v>
      </c>
      <c r="L116">
        <v>-0.57163752516508604</v>
      </c>
      <c r="M116">
        <v>0.90435609722308996</v>
      </c>
      <c r="N116">
        <v>-0.79618649274282904</v>
      </c>
      <c r="O116">
        <v>0.17777777777777801</v>
      </c>
      <c r="P116">
        <v>7.2312962029212002E-2</v>
      </c>
    </row>
    <row r="117" spans="1:16" x14ac:dyDescent="0.3">
      <c r="A117" t="s">
        <v>21</v>
      </c>
      <c r="B117" t="s">
        <v>30</v>
      </c>
      <c r="C117">
        <v>17.804097460000001</v>
      </c>
      <c r="D117">
        <v>9</v>
      </c>
      <c r="E117">
        <v>720</v>
      </c>
      <c r="F117" t="s">
        <v>23</v>
      </c>
      <c r="G117">
        <v>4012.1620370000001</v>
      </c>
      <c r="H117" t="b">
        <v>0</v>
      </c>
      <c r="I117">
        <v>3986.9054563166701</v>
      </c>
      <c r="J117">
        <v>25.256580683333599</v>
      </c>
      <c r="K117">
        <v>1.0958596693076501</v>
      </c>
      <c r="L117">
        <v>0.57163752516508604</v>
      </c>
      <c r="M117">
        <v>1.04683316211689</v>
      </c>
      <c r="N117">
        <v>1.1146809661639701</v>
      </c>
      <c r="O117">
        <v>0.26111111111111102</v>
      </c>
      <c r="P117">
        <v>0.21219058457258899</v>
      </c>
    </row>
    <row r="118" spans="1:16" x14ac:dyDescent="0.3">
      <c r="A118" t="s">
        <v>21</v>
      </c>
      <c r="B118" t="s">
        <v>30</v>
      </c>
      <c r="C118">
        <v>17.804097460000001</v>
      </c>
      <c r="D118">
        <v>10</v>
      </c>
      <c r="E118">
        <v>820</v>
      </c>
      <c r="F118" t="s">
        <v>23</v>
      </c>
      <c r="G118">
        <v>3978.094705</v>
      </c>
      <c r="H118" t="b">
        <v>0</v>
      </c>
      <c r="I118">
        <v>3996.5124482000001</v>
      </c>
      <c r="J118">
        <v>-18.417743200000402</v>
      </c>
      <c r="K118">
        <v>-0.87083046189412305</v>
      </c>
      <c r="L118">
        <v>-0.27439148786003698</v>
      </c>
      <c r="M118">
        <v>0.93318297342703505</v>
      </c>
      <c r="N118">
        <v>-0.85380635255103199</v>
      </c>
      <c r="O118">
        <v>0.37777777777777799</v>
      </c>
      <c r="P118">
        <v>0.23021208548511499</v>
      </c>
    </row>
    <row r="119" spans="1:16" x14ac:dyDescent="0.3">
      <c r="A119" t="s">
        <v>21</v>
      </c>
      <c r="B119" t="s">
        <v>30</v>
      </c>
      <c r="C119">
        <v>17.804097460000001</v>
      </c>
      <c r="D119">
        <v>2</v>
      </c>
      <c r="E119">
        <v>20</v>
      </c>
      <c r="F119" t="s">
        <v>25</v>
      </c>
      <c r="G119">
        <v>0.57190099999999999</v>
      </c>
      <c r="H119" t="b">
        <v>0</v>
      </c>
      <c r="I119">
        <v>0.63577760000000005</v>
      </c>
      <c r="J119">
        <v>-6.3876600000000103E-2</v>
      </c>
      <c r="K119">
        <v>-0.71714284729332201</v>
      </c>
      <c r="L119">
        <v>-0.93197131234318997</v>
      </c>
      <c r="M119">
        <v>0.84684287048620899</v>
      </c>
      <c r="N119">
        <v>-0.68976739685565802</v>
      </c>
      <c r="O119">
        <v>0.37777777777777799</v>
      </c>
      <c r="P119">
        <v>0.15612492282513499</v>
      </c>
    </row>
    <row r="120" spans="1:16" x14ac:dyDescent="0.3">
      <c r="A120" t="s">
        <v>21</v>
      </c>
      <c r="B120" t="s">
        <v>30</v>
      </c>
      <c r="C120">
        <v>17.804097460000001</v>
      </c>
      <c r="D120">
        <v>3</v>
      </c>
      <c r="E120">
        <v>120</v>
      </c>
      <c r="F120" t="s">
        <v>25</v>
      </c>
      <c r="G120">
        <v>0.49139899999999997</v>
      </c>
      <c r="H120" t="b">
        <v>0</v>
      </c>
      <c r="I120">
        <v>0.64005428333333303</v>
      </c>
      <c r="J120">
        <v>-0.148655283333333</v>
      </c>
      <c r="K120">
        <v>-1.53153673950181</v>
      </c>
      <c r="L120">
        <v>-1.4941549086209001</v>
      </c>
      <c r="M120">
        <v>1.2375527219079601</v>
      </c>
      <c r="N120">
        <v>-1.7388872209219499</v>
      </c>
      <c r="O120">
        <v>0.26111111111111102</v>
      </c>
      <c r="P120">
        <v>0.41444896567240802</v>
      </c>
    </row>
    <row r="121" spans="1:16" x14ac:dyDescent="0.3">
      <c r="A121" t="s">
        <v>21</v>
      </c>
      <c r="B121" t="s">
        <v>30</v>
      </c>
      <c r="C121">
        <v>17.804097460000001</v>
      </c>
      <c r="D121">
        <v>4</v>
      </c>
      <c r="E121">
        <v>220</v>
      </c>
      <c r="F121" t="s">
        <v>25</v>
      </c>
      <c r="G121">
        <v>0.71396999999999999</v>
      </c>
      <c r="H121" t="b">
        <v>0</v>
      </c>
      <c r="I121">
        <v>0.644330966666667</v>
      </c>
      <c r="J121">
        <v>6.9639033333333294E-2</v>
      </c>
      <c r="K121">
        <v>0.68013444061806005</v>
      </c>
      <c r="L121">
        <v>0.57163752516508604</v>
      </c>
      <c r="M121">
        <v>0.82470263769316299</v>
      </c>
      <c r="N121">
        <v>0.651579322277967</v>
      </c>
      <c r="O121">
        <v>0.17777777777777801</v>
      </c>
      <c r="P121">
        <v>5.0008957547550401E-2</v>
      </c>
    </row>
    <row r="122" spans="1:16" x14ac:dyDescent="0.3">
      <c r="A122" t="s">
        <v>21</v>
      </c>
      <c r="B122" t="s">
        <v>30</v>
      </c>
      <c r="C122">
        <v>17.804097460000001</v>
      </c>
      <c r="D122">
        <v>5</v>
      </c>
      <c r="E122">
        <v>320</v>
      </c>
      <c r="F122" t="s">
        <v>25</v>
      </c>
      <c r="G122">
        <v>0.83306599999999997</v>
      </c>
      <c r="H122" t="b">
        <v>0</v>
      </c>
      <c r="I122">
        <v>0.64860764999999998</v>
      </c>
      <c r="J122">
        <v>0.18445834999999999</v>
      </c>
      <c r="K122">
        <v>1.7491271629668099</v>
      </c>
      <c r="L122">
        <v>1.4941549086209001</v>
      </c>
      <c r="M122">
        <v>1.3225457129970299</v>
      </c>
      <c r="N122">
        <v>2.1583325404046301</v>
      </c>
      <c r="O122">
        <v>0.12777777777777799</v>
      </c>
      <c r="P122">
        <v>0.22409953548169301</v>
      </c>
    </row>
    <row r="123" spans="1:16" x14ac:dyDescent="0.3">
      <c r="A123" t="s">
        <v>21</v>
      </c>
      <c r="B123" t="s">
        <v>30</v>
      </c>
      <c r="C123">
        <v>17.804097460000001</v>
      </c>
      <c r="D123">
        <v>6</v>
      </c>
      <c r="E123">
        <v>420</v>
      </c>
      <c r="F123" t="s">
        <v>25</v>
      </c>
      <c r="G123">
        <v>0.66076100000000004</v>
      </c>
      <c r="H123" t="b">
        <v>0</v>
      </c>
      <c r="I123">
        <v>0.65288433333333296</v>
      </c>
      <c r="J123">
        <v>7.8766666666667002E-3</v>
      </c>
      <c r="K123">
        <v>7.3986991212405498E-2</v>
      </c>
      <c r="L123">
        <v>0.27439148786003698</v>
      </c>
      <c r="M123">
        <v>0.27200549849664002</v>
      </c>
      <c r="N123">
        <v>6.8525442640982107E-2</v>
      </c>
      <c r="O123">
        <v>0.11111111111111099</v>
      </c>
      <c r="P123">
        <v>3.4212967929153599E-4</v>
      </c>
    </row>
    <row r="124" spans="1:16" x14ac:dyDescent="0.3">
      <c r="A124" t="s">
        <v>21</v>
      </c>
      <c r="B124" t="s">
        <v>30</v>
      </c>
      <c r="C124">
        <v>17.804097460000001</v>
      </c>
      <c r="D124">
        <v>7</v>
      </c>
      <c r="E124">
        <v>520</v>
      </c>
      <c r="F124" t="s">
        <v>25</v>
      </c>
      <c r="G124">
        <v>0.77745799999999998</v>
      </c>
      <c r="H124" t="b">
        <v>0</v>
      </c>
      <c r="I124">
        <v>0.65716101666666704</v>
      </c>
      <c r="J124">
        <v>0.120296983333333</v>
      </c>
      <c r="K124">
        <v>1.1407167047265601</v>
      </c>
      <c r="L124">
        <v>0.93197131234318997</v>
      </c>
      <c r="M124">
        <v>1.06804340020739</v>
      </c>
      <c r="N124">
        <v>1.1704774124718</v>
      </c>
      <c r="O124">
        <v>0.12777777777777799</v>
      </c>
      <c r="P124">
        <v>9.5313362452774802E-2</v>
      </c>
    </row>
    <row r="125" spans="1:16" x14ac:dyDescent="0.3">
      <c r="A125" t="s">
        <v>21</v>
      </c>
      <c r="B125" t="s">
        <v>30</v>
      </c>
      <c r="C125">
        <v>17.804097460000001</v>
      </c>
      <c r="D125">
        <v>8</v>
      </c>
      <c r="E125">
        <v>620</v>
      </c>
      <c r="F125" t="s">
        <v>25</v>
      </c>
      <c r="G125">
        <v>0.59896000000000005</v>
      </c>
      <c r="H125" t="b">
        <v>0</v>
      </c>
      <c r="I125">
        <v>0.66143770000000002</v>
      </c>
      <c r="J125">
        <v>-6.2477699999999997E-2</v>
      </c>
      <c r="K125">
        <v>-0.61019278279187705</v>
      </c>
      <c r="L125">
        <v>-0.57163752516508604</v>
      </c>
      <c r="M125">
        <v>0.78114837437703</v>
      </c>
      <c r="N125">
        <v>-0.58058047334082497</v>
      </c>
      <c r="O125">
        <v>0.17777777777777801</v>
      </c>
      <c r="P125">
        <v>4.0252457532031799E-2</v>
      </c>
    </row>
    <row r="126" spans="1:16" x14ac:dyDescent="0.3">
      <c r="A126" t="s">
        <v>21</v>
      </c>
      <c r="B126" t="s">
        <v>30</v>
      </c>
      <c r="C126">
        <v>17.804097460000001</v>
      </c>
      <c r="D126">
        <v>9</v>
      </c>
      <c r="E126">
        <v>720</v>
      </c>
      <c r="F126" t="s">
        <v>25</v>
      </c>
      <c r="G126">
        <v>0.60974600000000001</v>
      </c>
      <c r="H126" t="b">
        <v>0</v>
      </c>
      <c r="I126">
        <v>0.66571438333333299</v>
      </c>
      <c r="J126">
        <v>-5.5968383333333302E-2</v>
      </c>
      <c r="K126">
        <v>-0.57662017389125797</v>
      </c>
      <c r="L126">
        <v>-0.27439148786003698</v>
      </c>
      <c r="M126">
        <v>0.75935510394759198</v>
      </c>
      <c r="N126">
        <v>-0.54699536576748098</v>
      </c>
      <c r="O126">
        <v>0.26111111111111102</v>
      </c>
      <c r="P126">
        <v>5.87483788424965E-2</v>
      </c>
    </row>
    <row r="127" spans="1:16" x14ac:dyDescent="0.3">
      <c r="A127" t="s">
        <v>21</v>
      </c>
      <c r="B127" t="s">
        <v>30</v>
      </c>
      <c r="C127">
        <v>17.804097460000001</v>
      </c>
      <c r="D127">
        <v>10</v>
      </c>
      <c r="E127">
        <v>820</v>
      </c>
      <c r="F127" t="s">
        <v>25</v>
      </c>
      <c r="G127">
        <v>0.61869799999999997</v>
      </c>
      <c r="H127" t="b">
        <v>0</v>
      </c>
      <c r="I127">
        <v>0.66999106666666697</v>
      </c>
      <c r="J127">
        <v>-5.1293066666666699E-2</v>
      </c>
      <c r="K127">
        <v>-0.57586746751924101</v>
      </c>
      <c r="L127">
        <v>0</v>
      </c>
      <c r="M127">
        <v>0.758859319979165</v>
      </c>
      <c r="N127">
        <v>-0.54624579707355303</v>
      </c>
      <c r="O127">
        <v>0.37777777777777799</v>
      </c>
      <c r="P127">
        <v>0.100671371116061</v>
      </c>
    </row>
    <row r="128" spans="1:16" x14ac:dyDescent="0.3">
      <c r="A128" t="s">
        <v>21</v>
      </c>
      <c r="B128" t="s">
        <v>30</v>
      </c>
      <c r="C128">
        <v>17.804097460000001</v>
      </c>
      <c r="D128">
        <v>2</v>
      </c>
      <c r="E128">
        <v>20</v>
      </c>
      <c r="F128" t="s">
        <v>26</v>
      </c>
      <c r="G128">
        <v>7.3908880000000003</v>
      </c>
      <c r="H128" t="b">
        <v>0</v>
      </c>
      <c r="I128">
        <v>7.6194077333333299</v>
      </c>
      <c r="J128">
        <v>-0.22851973333333001</v>
      </c>
      <c r="K128">
        <v>-1.3738933264943001</v>
      </c>
      <c r="L128">
        <v>-0.57163752516508604</v>
      </c>
      <c r="M128">
        <v>1.1721319577992499</v>
      </c>
      <c r="N128">
        <v>-1.4883857337464499</v>
      </c>
      <c r="O128">
        <v>0.37777777777777799</v>
      </c>
      <c r="P128">
        <v>0.57301622917776396</v>
      </c>
    </row>
    <row r="129" spans="1:16" x14ac:dyDescent="0.3">
      <c r="A129" t="s">
        <v>21</v>
      </c>
      <c r="B129" t="s">
        <v>30</v>
      </c>
      <c r="C129">
        <v>17.804097460000001</v>
      </c>
      <c r="D129">
        <v>3</v>
      </c>
      <c r="E129">
        <v>120</v>
      </c>
      <c r="F129" t="s">
        <v>26</v>
      </c>
      <c r="G129">
        <v>7.7655690000000002</v>
      </c>
      <c r="H129" t="b">
        <v>0</v>
      </c>
      <c r="I129">
        <v>7.6335812166666699</v>
      </c>
      <c r="J129">
        <v>0.131987783333332</v>
      </c>
      <c r="K129">
        <v>0.72819254999924699</v>
      </c>
      <c r="L129">
        <v>0.57163752516508604</v>
      </c>
      <c r="M129">
        <v>0.85334198888795298</v>
      </c>
      <c r="N129">
        <v>0.70125922914495697</v>
      </c>
      <c r="O129">
        <v>0.26111111111111102</v>
      </c>
      <c r="P129">
        <v>9.3693332045477598E-2</v>
      </c>
    </row>
    <row r="130" spans="1:16" x14ac:dyDescent="0.3">
      <c r="A130" t="s">
        <v>21</v>
      </c>
      <c r="B130" t="s">
        <v>30</v>
      </c>
      <c r="C130">
        <v>17.804097460000001</v>
      </c>
      <c r="D130">
        <v>4</v>
      </c>
      <c r="E130">
        <v>220</v>
      </c>
      <c r="F130" t="s">
        <v>26</v>
      </c>
      <c r="G130">
        <v>7.7316659999999997</v>
      </c>
      <c r="H130" t="b">
        <v>0</v>
      </c>
      <c r="I130">
        <v>7.6477547000000001</v>
      </c>
      <c r="J130">
        <v>8.3911299999998398E-2</v>
      </c>
      <c r="K130">
        <v>0.43886192982825001</v>
      </c>
      <c r="L130">
        <v>0.27439148786003698</v>
      </c>
      <c r="M130">
        <v>0.66246654996931797</v>
      </c>
      <c r="N130">
        <v>0.41201487147824201</v>
      </c>
      <c r="O130">
        <v>0.17777777777777801</v>
      </c>
      <c r="P130">
        <v>2.0821599292170399E-2</v>
      </c>
    </row>
    <row r="131" spans="1:16" x14ac:dyDescent="0.3">
      <c r="A131" t="s">
        <v>21</v>
      </c>
      <c r="B131" t="s">
        <v>30</v>
      </c>
      <c r="C131">
        <v>17.804097460000001</v>
      </c>
      <c r="D131">
        <v>5</v>
      </c>
      <c r="E131">
        <v>320</v>
      </c>
      <c r="F131" t="s">
        <v>26</v>
      </c>
      <c r="G131">
        <v>7.7151649999999998</v>
      </c>
      <c r="H131" t="b">
        <v>0</v>
      </c>
      <c r="I131">
        <v>7.6619281833333304</v>
      </c>
      <c r="J131">
        <v>5.3236816666666402E-2</v>
      </c>
      <c r="K131">
        <v>0.270333936927876</v>
      </c>
      <c r="L131">
        <v>0</v>
      </c>
      <c r="M131">
        <v>0.51993647393491804</v>
      </c>
      <c r="N131">
        <v>0.25159738453258701</v>
      </c>
      <c r="O131">
        <v>0.12777777777777799</v>
      </c>
      <c r="P131">
        <v>5.3530256734499104E-3</v>
      </c>
    </row>
    <row r="132" spans="1:16" x14ac:dyDescent="0.3">
      <c r="A132" t="s">
        <v>21</v>
      </c>
      <c r="B132" t="s">
        <v>30</v>
      </c>
      <c r="C132">
        <v>17.804097460000001</v>
      </c>
      <c r="D132">
        <v>6</v>
      </c>
      <c r="E132">
        <v>420</v>
      </c>
      <c r="F132" t="s">
        <v>26</v>
      </c>
      <c r="G132">
        <v>7.4404339999999998</v>
      </c>
      <c r="H132" t="b">
        <v>0</v>
      </c>
      <c r="I132">
        <v>7.6761016666666704</v>
      </c>
      <c r="J132">
        <v>-0.235667666666668</v>
      </c>
      <c r="K132">
        <v>-1.18543658772822</v>
      </c>
      <c r="L132">
        <v>-0.93197131234318997</v>
      </c>
      <c r="M132">
        <v>1.0887775657719201</v>
      </c>
      <c r="N132">
        <v>-1.2276201108484499</v>
      </c>
      <c r="O132">
        <v>0.11111111111111099</v>
      </c>
      <c r="P132">
        <v>8.78287439702959E-2</v>
      </c>
    </row>
    <row r="133" spans="1:16" x14ac:dyDescent="0.3">
      <c r="A133" t="s">
        <v>21</v>
      </c>
      <c r="B133" t="s">
        <v>30</v>
      </c>
      <c r="C133">
        <v>17.804097460000001</v>
      </c>
      <c r="D133">
        <v>7</v>
      </c>
      <c r="E133">
        <v>520</v>
      </c>
      <c r="F133" t="s">
        <v>26</v>
      </c>
      <c r="G133">
        <v>7.8604479999999999</v>
      </c>
      <c r="H133" t="b">
        <v>0</v>
      </c>
      <c r="I133">
        <v>7.6902751499999997</v>
      </c>
      <c r="J133">
        <v>0.17017284999999999</v>
      </c>
      <c r="K133">
        <v>0.86412936345875901</v>
      </c>
      <c r="L133">
        <v>0.93197131234318997</v>
      </c>
      <c r="M133">
        <v>0.92958558694654803</v>
      </c>
      <c r="N133">
        <v>0.846448295987693</v>
      </c>
      <c r="O133">
        <v>0.12777777777777799</v>
      </c>
      <c r="P133">
        <v>5.46960184911073E-2</v>
      </c>
    </row>
    <row r="134" spans="1:16" x14ac:dyDescent="0.3">
      <c r="A134" t="s">
        <v>21</v>
      </c>
      <c r="B134" t="s">
        <v>30</v>
      </c>
      <c r="C134">
        <v>17.804097460000001</v>
      </c>
      <c r="D134">
        <v>8</v>
      </c>
      <c r="E134">
        <v>620</v>
      </c>
      <c r="F134" t="s">
        <v>26</v>
      </c>
      <c r="G134">
        <v>7.9777800000000001</v>
      </c>
      <c r="H134" t="b">
        <v>0</v>
      </c>
      <c r="I134">
        <v>7.70444863333333</v>
      </c>
      <c r="J134">
        <v>0.27333136666666702</v>
      </c>
      <c r="K134">
        <v>1.4295420409161701</v>
      </c>
      <c r="L134">
        <v>1.4941549086209001</v>
      </c>
      <c r="M134">
        <v>1.1956345766647001</v>
      </c>
      <c r="N134">
        <v>1.57285600363625</v>
      </c>
      <c r="O134">
        <v>0.17777777777777801</v>
      </c>
      <c r="P134">
        <v>0.220928696945596</v>
      </c>
    </row>
    <row r="135" spans="1:16" x14ac:dyDescent="0.3">
      <c r="A135" t="s">
        <v>21</v>
      </c>
      <c r="B135" t="s">
        <v>30</v>
      </c>
      <c r="C135">
        <v>17.804097460000001</v>
      </c>
      <c r="D135">
        <v>9</v>
      </c>
      <c r="E135">
        <v>720</v>
      </c>
      <c r="F135" t="s">
        <v>26</v>
      </c>
      <c r="G135">
        <v>7.7387030000000001</v>
      </c>
      <c r="H135" t="b">
        <v>0</v>
      </c>
      <c r="I135">
        <v>7.71862211666667</v>
      </c>
      <c r="J135">
        <v>2.0080883333333799E-2</v>
      </c>
      <c r="K135">
        <v>0.11078865991565599</v>
      </c>
      <c r="L135">
        <v>-0.27439148786003698</v>
      </c>
      <c r="M135">
        <v>0.33284930511517602</v>
      </c>
      <c r="N135">
        <v>0.102660412448721</v>
      </c>
      <c r="O135">
        <v>0.26111111111111102</v>
      </c>
      <c r="P135">
        <v>2.1687367548782698E-3</v>
      </c>
    </row>
    <row r="136" spans="1:16" x14ac:dyDescent="0.3">
      <c r="A136" t="s">
        <v>21</v>
      </c>
      <c r="B136" t="s">
        <v>30</v>
      </c>
      <c r="C136">
        <v>17.804097460000001</v>
      </c>
      <c r="D136">
        <v>10</v>
      </c>
      <c r="E136">
        <v>820</v>
      </c>
      <c r="F136" t="s">
        <v>26</v>
      </c>
      <c r="G136">
        <v>7.4642619999999997</v>
      </c>
      <c r="H136" t="b">
        <v>0</v>
      </c>
      <c r="I136">
        <v>7.7327956000000002</v>
      </c>
      <c r="J136">
        <v>-0.26853359999999998</v>
      </c>
      <c r="K136">
        <v>-1.6144624168685699</v>
      </c>
      <c r="L136">
        <v>-1.4941549086209001</v>
      </c>
      <c r="M136">
        <v>1.27061497585562</v>
      </c>
      <c r="N136">
        <v>-1.88667763162256</v>
      </c>
      <c r="O136">
        <v>0.37777777777777799</v>
      </c>
      <c r="P136">
        <v>0.79125555755676302</v>
      </c>
    </row>
    <row r="137" spans="1:16" x14ac:dyDescent="0.3">
      <c r="A137" t="s">
        <v>21</v>
      </c>
      <c r="B137" t="s">
        <v>30</v>
      </c>
      <c r="C137">
        <v>17.804097460000001</v>
      </c>
      <c r="D137">
        <v>2</v>
      </c>
      <c r="E137">
        <v>20</v>
      </c>
      <c r="F137" t="s">
        <v>27</v>
      </c>
      <c r="G137">
        <v>265.16000000000003</v>
      </c>
      <c r="H137" t="b">
        <v>0</v>
      </c>
      <c r="I137">
        <v>255.87286024444401</v>
      </c>
      <c r="J137">
        <v>9.2871397555555699</v>
      </c>
      <c r="K137">
        <v>0.46908073110139598</v>
      </c>
      <c r="L137">
        <v>0.27439148786003698</v>
      </c>
      <c r="M137">
        <v>0.68489468613896798</v>
      </c>
      <c r="N137">
        <v>0.44127522806300101</v>
      </c>
      <c r="O137">
        <v>0.37777777777777799</v>
      </c>
      <c r="P137">
        <v>6.6796865159652496E-2</v>
      </c>
    </row>
    <row r="138" spans="1:16" x14ac:dyDescent="0.3">
      <c r="A138" t="s">
        <v>21</v>
      </c>
      <c r="B138" t="s">
        <v>30</v>
      </c>
      <c r="C138">
        <v>17.804097460000001</v>
      </c>
      <c r="D138">
        <v>3</v>
      </c>
      <c r="E138">
        <v>120</v>
      </c>
      <c r="F138" t="s">
        <v>27</v>
      </c>
      <c r="G138">
        <v>243.50923</v>
      </c>
      <c r="H138" t="b">
        <v>0</v>
      </c>
      <c r="I138">
        <v>263.127193794444</v>
      </c>
      <c r="J138">
        <v>-19.617963794444499</v>
      </c>
      <c r="K138">
        <v>-0.90929066371921696</v>
      </c>
      <c r="L138">
        <v>-0.57163752516508604</v>
      </c>
      <c r="M138">
        <v>0.953567335702737</v>
      </c>
      <c r="N138">
        <v>-0.89644472892449201</v>
      </c>
      <c r="O138">
        <v>0.26111111111111102</v>
      </c>
      <c r="P138">
        <v>0.14609040234197701</v>
      </c>
    </row>
    <row r="139" spans="1:16" x14ac:dyDescent="0.3">
      <c r="A139" t="s">
        <v>21</v>
      </c>
      <c r="B139" t="s">
        <v>30</v>
      </c>
      <c r="C139">
        <v>17.804097460000001</v>
      </c>
      <c r="D139">
        <v>4</v>
      </c>
      <c r="E139">
        <v>220</v>
      </c>
      <c r="F139" t="s">
        <v>27</v>
      </c>
      <c r="G139">
        <v>295.91716000000002</v>
      </c>
      <c r="H139" t="b">
        <v>0</v>
      </c>
      <c r="I139">
        <v>270.38152734444401</v>
      </c>
      <c r="J139">
        <v>25.535632655555599</v>
      </c>
      <c r="K139">
        <v>1.1219936219789599</v>
      </c>
      <c r="L139">
        <v>0.93197131234318997</v>
      </c>
      <c r="M139">
        <v>1.05924200350013</v>
      </c>
      <c r="N139">
        <v>1.1470102821135599</v>
      </c>
      <c r="O139">
        <v>0.17777777777777801</v>
      </c>
      <c r="P139">
        <v>0.13609402029853701</v>
      </c>
    </row>
    <row r="140" spans="1:16" x14ac:dyDescent="0.3">
      <c r="A140" t="s">
        <v>21</v>
      </c>
      <c r="B140" t="s">
        <v>30</v>
      </c>
      <c r="C140">
        <v>17.804097460000001</v>
      </c>
      <c r="D140">
        <v>5</v>
      </c>
      <c r="E140">
        <v>320</v>
      </c>
      <c r="F140" t="s">
        <v>27</v>
      </c>
      <c r="G140">
        <v>254.17011299999999</v>
      </c>
      <c r="H140" t="b">
        <v>0</v>
      </c>
      <c r="I140">
        <v>277.63586089444402</v>
      </c>
      <c r="J140">
        <v>-23.465747894444501</v>
      </c>
      <c r="K140">
        <v>-1.0010579016610099</v>
      </c>
      <c r="L140">
        <v>-0.93197131234318997</v>
      </c>
      <c r="M140">
        <v>1.0005288110099599</v>
      </c>
      <c r="N140">
        <v>-1.00123454523612</v>
      </c>
      <c r="O140">
        <v>0.12777777777777799</v>
      </c>
      <c r="P140">
        <v>7.3403468843925498E-2</v>
      </c>
    </row>
    <row r="141" spans="1:16" x14ac:dyDescent="0.3">
      <c r="A141" t="s">
        <v>21</v>
      </c>
      <c r="B141" t="s">
        <v>30</v>
      </c>
      <c r="C141">
        <v>17.804097460000001</v>
      </c>
      <c r="D141">
        <v>6</v>
      </c>
      <c r="E141">
        <v>420</v>
      </c>
      <c r="F141" t="s">
        <v>27</v>
      </c>
      <c r="G141">
        <v>312.3</v>
      </c>
      <c r="H141" t="b">
        <v>0</v>
      </c>
      <c r="I141">
        <v>284.89019444444398</v>
      </c>
      <c r="J141">
        <v>27.4098055555556</v>
      </c>
      <c r="K141">
        <v>1.1582987483885001</v>
      </c>
      <c r="L141">
        <v>1.4941549086209001</v>
      </c>
      <c r="M141">
        <v>1.0762428854066799</v>
      </c>
      <c r="N141">
        <v>1.19275580370738</v>
      </c>
      <c r="O141">
        <v>0.11111111111111099</v>
      </c>
      <c r="P141">
        <v>8.3853499407397697E-2</v>
      </c>
    </row>
    <row r="142" spans="1:16" x14ac:dyDescent="0.3">
      <c r="A142" t="s">
        <v>21</v>
      </c>
      <c r="B142" t="s">
        <v>30</v>
      </c>
      <c r="C142">
        <v>17.804097460000001</v>
      </c>
      <c r="D142">
        <v>7</v>
      </c>
      <c r="E142">
        <v>520</v>
      </c>
      <c r="F142" t="s">
        <v>27</v>
      </c>
      <c r="G142">
        <v>253.762407</v>
      </c>
      <c r="H142" t="b">
        <v>0</v>
      </c>
      <c r="I142">
        <v>292.14452799444399</v>
      </c>
      <c r="J142">
        <v>-38.382120994444399</v>
      </c>
      <c r="K142">
        <v>-1.6373961604306699</v>
      </c>
      <c r="L142">
        <v>-1.4941549086209001</v>
      </c>
      <c r="M142">
        <v>1.2796078150865899</v>
      </c>
      <c r="N142">
        <v>-1.92992805097672</v>
      </c>
      <c r="O142">
        <v>0.12777777777777799</v>
      </c>
      <c r="P142">
        <v>0.196383828924972</v>
      </c>
    </row>
    <row r="143" spans="1:16" x14ac:dyDescent="0.3">
      <c r="A143" t="s">
        <v>21</v>
      </c>
      <c r="B143" t="s">
        <v>30</v>
      </c>
      <c r="C143">
        <v>17.804097460000001</v>
      </c>
      <c r="D143">
        <v>8</v>
      </c>
      <c r="E143">
        <v>620</v>
      </c>
      <c r="F143" t="s">
        <v>27</v>
      </c>
      <c r="G143">
        <v>305.46892000000003</v>
      </c>
      <c r="H143" t="b">
        <v>0</v>
      </c>
      <c r="I143">
        <v>299.398861544444</v>
      </c>
      <c r="J143">
        <v>6.0700584555555199</v>
      </c>
      <c r="K143">
        <v>0.26670836646340301</v>
      </c>
      <c r="L143">
        <v>0</v>
      </c>
      <c r="M143">
        <v>0.51643815357059297</v>
      </c>
      <c r="N143">
        <v>0.24818821932372601</v>
      </c>
      <c r="O143">
        <v>0.17777777777777801</v>
      </c>
      <c r="P143">
        <v>7.6900921882786001E-3</v>
      </c>
    </row>
    <row r="144" spans="1:16" x14ac:dyDescent="0.3">
      <c r="A144" t="s">
        <v>21</v>
      </c>
      <c r="B144" t="s">
        <v>30</v>
      </c>
      <c r="C144">
        <v>17.804097460000001</v>
      </c>
      <c r="D144">
        <v>9</v>
      </c>
      <c r="E144">
        <v>720</v>
      </c>
      <c r="F144" t="s">
        <v>27</v>
      </c>
      <c r="G144">
        <v>327.163791</v>
      </c>
      <c r="H144" t="b">
        <v>0</v>
      </c>
      <c r="I144">
        <v>306.65319509444402</v>
      </c>
      <c r="J144">
        <v>20.510595905555601</v>
      </c>
      <c r="K144">
        <v>0.95066407297176903</v>
      </c>
      <c r="L144">
        <v>0.57163752516508604</v>
      </c>
      <c r="M144">
        <v>0.97502003721552699</v>
      </c>
      <c r="N144">
        <v>0.94313042731220798</v>
      </c>
      <c r="O144">
        <v>0.26111111111111102</v>
      </c>
      <c r="P144">
        <v>0.15968730241746501</v>
      </c>
    </row>
    <row r="145" spans="1:16" x14ac:dyDescent="0.3">
      <c r="A145" t="s">
        <v>21</v>
      </c>
      <c r="B145" t="s">
        <v>30</v>
      </c>
      <c r="C145">
        <v>17.804097460000001</v>
      </c>
      <c r="D145">
        <v>10</v>
      </c>
      <c r="E145">
        <v>820</v>
      </c>
      <c r="F145" t="s">
        <v>27</v>
      </c>
      <c r="G145">
        <v>306.56012900000002</v>
      </c>
      <c r="H145" t="b">
        <v>0</v>
      </c>
      <c r="I145">
        <v>313.90752864444403</v>
      </c>
      <c r="J145">
        <v>-7.3473996444444296</v>
      </c>
      <c r="K145">
        <v>-0.37110711022178999</v>
      </c>
      <c r="L145">
        <v>-0.27439148786003698</v>
      </c>
      <c r="M145">
        <v>0.60918561229053203</v>
      </c>
      <c r="N145">
        <v>-0.34700896794560099</v>
      </c>
      <c r="O145">
        <v>0.37777777777777799</v>
      </c>
      <c r="P145">
        <v>4.1808005060211699E-2</v>
      </c>
    </row>
    <row r="146" spans="1:16" x14ac:dyDescent="0.3">
      <c r="A146" t="s">
        <v>21</v>
      </c>
      <c r="B146" t="s">
        <v>31</v>
      </c>
      <c r="C146">
        <v>9.1</v>
      </c>
      <c r="D146">
        <v>2</v>
      </c>
      <c r="E146">
        <v>20</v>
      </c>
      <c r="F146" t="s">
        <v>23</v>
      </c>
      <c r="G146">
        <v>3832.3713339999999</v>
      </c>
      <c r="H146" t="b">
        <v>0</v>
      </c>
      <c r="I146">
        <v>3864.71078504561</v>
      </c>
      <c r="J146">
        <v>-32.339451045612698</v>
      </c>
      <c r="K146">
        <v>-1.6282453223573601</v>
      </c>
      <c r="L146">
        <v>-1.2815515655445999</v>
      </c>
      <c r="M146">
        <v>1.2760271636439999</v>
      </c>
      <c r="N146">
        <v>-2.4283088556145702</v>
      </c>
      <c r="O146">
        <v>0.42456140350877197</v>
      </c>
      <c r="P146">
        <v>0.97802781220491897</v>
      </c>
    </row>
    <row r="147" spans="1:16" x14ac:dyDescent="0.3">
      <c r="A147" t="s">
        <v>21</v>
      </c>
      <c r="B147" t="s">
        <v>31</v>
      </c>
      <c r="C147">
        <v>9.1</v>
      </c>
      <c r="D147">
        <v>3</v>
      </c>
      <c r="E147">
        <v>120</v>
      </c>
      <c r="F147" t="s">
        <v>23</v>
      </c>
      <c r="G147">
        <v>3912.908535</v>
      </c>
      <c r="H147" t="b">
        <v>0</v>
      </c>
      <c r="I147">
        <v>3894.96963050877</v>
      </c>
      <c r="J147">
        <v>17.938904491227401</v>
      </c>
      <c r="K147">
        <v>0.81788084958554197</v>
      </c>
      <c r="L147">
        <v>0.64334540539291696</v>
      </c>
      <c r="M147">
        <v>0.90436765177970801</v>
      </c>
      <c r="N147">
        <v>0.77617335072729698</v>
      </c>
      <c r="O147">
        <v>0.29824561403508798</v>
      </c>
      <c r="P147">
        <v>0.142147430375238</v>
      </c>
    </row>
    <row r="148" spans="1:16" x14ac:dyDescent="0.3">
      <c r="A148" t="s">
        <v>21</v>
      </c>
      <c r="B148" t="s">
        <v>31</v>
      </c>
      <c r="C148">
        <v>9.1</v>
      </c>
      <c r="D148">
        <v>4</v>
      </c>
      <c r="E148">
        <v>220</v>
      </c>
      <c r="F148" t="s">
        <v>23</v>
      </c>
      <c r="G148">
        <v>3925.9384709999999</v>
      </c>
      <c r="H148" t="b">
        <v>0</v>
      </c>
      <c r="I148">
        <v>3925.22847597193</v>
      </c>
      <c r="J148">
        <v>0.70999502806954795</v>
      </c>
      <c r="K148">
        <v>3.0587248957494002E-2</v>
      </c>
      <c r="L148">
        <v>0.20189347914185099</v>
      </c>
      <c r="M148">
        <v>0.17489210661860699</v>
      </c>
      <c r="N148">
        <v>2.6492433033400601E-2</v>
      </c>
      <c r="O148">
        <v>0.214035087719298</v>
      </c>
      <c r="P148">
        <v>1.27389213674221E-4</v>
      </c>
    </row>
    <row r="149" spans="1:16" x14ac:dyDescent="0.3">
      <c r="A149" t="s">
        <v>21</v>
      </c>
      <c r="B149" t="s">
        <v>31</v>
      </c>
      <c r="C149">
        <v>9.1</v>
      </c>
      <c r="D149">
        <v>6</v>
      </c>
      <c r="E149">
        <v>420</v>
      </c>
      <c r="F149" t="s">
        <v>23</v>
      </c>
      <c r="G149">
        <v>4017.6709449999998</v>
      </c>
      <c r="H149" t="b">
        <v>0</v>
      </c>
      <c r="I149">
        <v>3985.7461668982501</v>
      </c>
      <c r="J149">
        <v>31.924778101754001</v>
      </c>
      <c r="K149">
        <v>1.3399265898733701</v>
      </c>
      <c r="L149">
        <v>1.2815515655445999</v>
      </c>
      <c r="M149">
        <v>1.1575519814994799</v>
      </c>
      <c r="N149">
        <v>1.5630650521442999</v>
      </c>
      <c r="O149">
        <v>0.17192982456140399</v>
      </c>
      <c r="P149">
        <v>0.18638720348778501</v>
      </c>
    </row>
    <row r="150" spans="1:16" x14ac:dyDescent="0.3">
      <c r="A150" t="s">
        <v>21</v>
      </c>
      <c r="B150" t="s">
        <v>31</v>
      </c>
      <c r="C150">
        <v>9.1</v>
      </c>
      <c r="D150">
        <v>8</v>
      </c>
      <c r="E150">
        <v>620</v>
      </c>
      <c r="F150" t="s">
        <v>23</v>
      </c>
      <c r="G150">
        <v>4046.855955</v>
      </c>
      <c r="H150" t="b">
        <v>0</v>
      </c>
      <c r="I150">
        <v>4046.2638578245601</v>
      </c>
      <c r="J150">
        <v>0.59209717543857998</v>
      </c>
      <c r="K150">
        <v>2.6995234916475801E-2</v>
      </c>
      <c r="L150">
        <v>-0.20189347914185099</v>
      </c>
      <c r="M150">
        <v>0.164302266924336</v>
      </c>
      <c r="N150">
        <v>2.3380689129150398E-2</v>
      </c>
      <c r="O150">
        <v>0.29824561403508798</v>
      </c>
      <c r="P150">
        <v>1.5485782549159001E-4</v>
      </c>
    </row>
    <row r="151" spans="1:16" x14ac:dyDescent="0.3">
      <c r="A151" t="s">
        <v>21</v>
      </c>
      <c r="B151" t="s">
        <v>31</v>
      </c>
      <c r="C151">
        <v>9.1</v>
      </c>
      <c r="D151">
        <v>10</v>
      </c>
      <c r="E151">
        <v>820</v>
      </c>
      <c r="F151" t="s">
        <v>23</v>
      </c>
      <c r="G151">
        <v>4087.9552250000002</v>
      </c>
      <c r="H151" t="b">
        <v>0</v>
      </c>
      <c r="I151">
        <v>4106.7815487508797</v>
      </c>
      <c r="J151">
        <v>-18.8263237508767</v>
      </c>
      <c r="K151">
        <v>-1.1270563958025701</v>
      </c>
      <c r="L151">
        <v>-0.64334540539291696</v>
      </c>
      <c r="M151">
        <v>1.06162912347136</v>
      </c>
      <c r="N151">
        <v>-1.1815315547872101</v>
      </c>
      <c r="O151">
        <v>0.59298245614035106</v>
      </c>
      <c r="P151">
        <v>0.92531588002151399</v>
      </c>
    </row>
    <row r="152" spans="1:16" x14ac:dyDescent="0.3">
      <c r="A152" t="s">
        <v>21</v>
      </c>
      <c r="B152" t="s">
        <v>31</v>
      </c>
      <c r="C152">
        <v>9.1</v>
      </c>
      <c r="D152">
        <v>2</v>
      </c>
      <c r="E152">
        <v>20</v>
      </c>
      <c r="F152" t="s">
        <v>25</v>
      </c>
      <c r="G152">
        <v>1.0265660000000001</v>
      </c>
      <c r="H152" t="b">
        <v>0</v>
      </c>
      <c r="I152">
        <v>0.87363331578947301</v>
      </c>
      <c r="J152">
        <v>0.152932684210527</v>
      </c>
      <c r="K152">
        <v>1.0077174069105399</v>
      </c>
      <c r="L152">
        <v>1.2815515655445999</v>
      </c>
      <c r="M152">
        <v>1.0038512872485299</v>
      </c>
      <c r="N152">
        <v>1.0103298556012801</v>
      </c>
      <c r="O152">
        <v>0.42456140350877197</v>
      </c>
      <c r="P152">
        <v>0.37461835071661898</v>
      </c>
    </row>
    <row r="153" spans="1:16" x14ac:dyDescent="0.3">
      <c r="A153" t="s">
        <v>21</v>
      </c>
      <c r="B153" t="s">
        <v>31</v>
      </c>
      <c r="C153">
        <v>9.1</v>
      </c>
      <c r="D153">
        <v>3</v>
      </c>
      <c r="E153">
        <v>120</v>
      </c>
      <c r="F153" t="s">
        <v>25</v>
      </c>
      <c r="G153">
        <v>0.94417499999999999</v>
      </c>
      <c r="H153" t="b">
        <v>0</v>
      </c>
      <c r="I153">
        <v>0.82144036842105295</v>
      </c>
      <c r="J153">
        <v>0.122734631578947</v>
      </c>
      <c r="K153">
        <v>0.732339566772096</v>
      </c>
      <c r="L153">
        <v>0.20189347914185099</v>
      </c>
      <c r="M153">
        <v>0.85576840720611802</v>
      </c>
      <c r="N153">
        <v>0.68156035899910705</v>
      </c>
      <c r="O153">
        <v>0.29824561403508798</v>
      </c>
      <c r="P153">
        <v>0.11396826372523799</v>
      </c>
    </row>
    <row r="154" spans="1:16" x14ac:dyDescent="0.3">
      <c r="A154" t="s">
        <v>21</v>
      </c>
      <c r="B154" t="s">
        <v>31</v>
      </c>
      <c r="C154">
        <v>9.1</v>
      </c>
      <c r="D154">
        <v>4</v>
      </c>
      <c r="E154">
        <v>220</v>
      </c>
      <c r="F154" t="s">
        <v>25</v>
      </c>
      <c r="G154">
        <v>0.58393300000000004</v>
      </c>
      <c r="H154" t="b">
        <v>0</v>
      </c>
      <c r="I154">
        <v>0.769247421052632</v>
      </c>
      <c r="J154">
        <v>-0.18531442105263199</v>
      </c>
      <c r="K154">
        <v>-1.0448298734538399</v>
      </c>
      <c r="L154">
        <v>-0.64334540539291696</v>
      </c>
      <c r="M154">
        <v>1.0221692000123299</v>
      </c>
      <c r="N154">
        <v>-1.0611684446043199</v>
      </c>
      <c r="O154">
        <v>0.214035087719298</v>
      </c>
      <c r="P154">
        <v>0.148642494044991</v>
      </c>
    </row>
    <row r="155" spans="1:16" x14ac:dyDescent="0.3">
      <c r="A155" t="s">
        <v>21</v>
      </c>
      <c r="B155" t="s">
        <v>31</v>
      </c>
      <c r="C155">
        <v>9.1</v>
      </c>
      <c r="D155">
        <v>6</v>
      </c>
      <c r="E155">
        <v>420</v>
      </c>
      <c r="F155" t="s">
        <v>25</v>
      </c>
      <c r="G155">
        <v>0.40415600000000002</v>
      </c>
      <c r="H155" t="b">
        <v>0</v>
      </c>
      <c r="I155">
        <v>0.66486152631578999</v>
      </c>
      <c r="J155">
        <v>-0.26070552631579003</v>
      </c>
      <c r="K155">
        <v>-1.43203821991046</v>
      </c>
      <c r="L155">
        <v>-1.2815515655445999</v>
      </c>
      <c r="M155">
        <v>1.19667799340945</v>
      </c>
      <c r="N155">
        <v>-1.7765589497217</v>
      </c>
      <c r="O155">
        <v>0.17192982456140399</v>
      </c>
      <c r="P155">
        <v>0.212893940044348</v>
      </c>
    </row>
    <row r="156" spans="1:16" x14ac:dyDescent="0.3">
      <c r="A156" t="s">
        <v>21</v>
      </c>
      <c r="B156" t="s">
        <v>31</v>
      </c>
      <c r="C156">
        <v>9.1</v>
      </c>
      <c r="D156">
        <v>8</v>
      </c>
      <c r="E156">
        <v>620</v>
      </c>
      <c r="F156" t="s">
        <v>25</v>
      </c>
      <c r="G156">
        <v>0.59652799999999995</v>
      </c>
      <c r="H156" t="b">
        <v>0</v>
      </c>
      <c r="I156">
        <v>0.56047563157894698</v>
      </c>
      <c r="J156">
        <v>3.6052368421052701E-2</v>
      </c>
      <c r="K156">
        <v>0.21511920092087999</v>
      </c>
      <c r="L156">
        <v>-0.20189347914185099</v>
      </c>
      <c r="M156">
        <v>0.46380944462233598</v>
      </c>
      <c r="N156">
        <v>0.18738578556338001</v>
      </c>
      <c r="O156">
        <v>0.29824561403508798</v>
      </c>
      <c r="P156">
        <v>9.8337075035280705E-3</v>
      </c>
    </row>
    <row r="157" spans="1:16" x14ac:dyDescent="0.3">
      <c r="A157" t="s">
        <v>21</v>
      </c>
      <c r="B157" t="s">
        <v>31</v>
      </c>
      <c r="C157">
        <v>9.1</v>
      </c>
      <c r="D157">
        <v>10</v>
      </c>
      <c r="E157">
        <v>820</v>
      </c>
      <c r="F157" t="s">
        <v>25</v>
      </c>
      <c r="G157">
        <v>0.59038999999999997</v>
      </c>
      <c r="H157" t="b">
        <v>0</v>
      </c>
      <c r="I157">
        <v>0.45608973684210502</v>
      </c>
      <c r="J157">
        <v>0.13430026315789501</v>
      </c>
      <c r="K157">
        <v>1.0522240946144199</v>
      </c>
      <c r="L157">
        <v>0.64334540539291696</v>
      </c>
      <c r="M157">
        <v>1.02577974956343</v>
      </c>
      <c r="N157">
        <v>1.07153862324935</v>
      </c>
      <c r="O157">
        <v>0.59298245614035106</v>
      </c>
      <c r="P157">
        <v>0.80652011704105497</v>
      </c>
    </row>
    <row r="158" spans="1:16" x14ac:dyDescent="0.3">
      <c r="A158" t="s">
        <v>21</v>
      </c>
      <c r="B158" t="s">
        <v>31</v>
      </c>
      <c r="C158">
        <v>9.1</v>
      </c>
      <c r="D158">
        <v>2</v>
      </c>
      <c r="E158">
        <v>20</v>
      </c>
      <c r="F158" t="s">
        <v>26</v>
      </c>
      <c r="G158">
        <v>7.2748699999999999</v>
      </c>
      <c r="H158" t="b">
        <v>0</v>
      </c>
      <c r="I158">
        <v>7.1279241473684198</v>
      </c>
      <c r="J158">
        <v>0.146945852631582</v>
      </c>
      <c r="K158">
        <v>1.0383093186327801</v>
      </c>
      <c r="L158">
        <v>0.64334540539291696</v>
      </c>
      <c r="M158">
        <v>1.0189746408192799</v>
      </c>
      <c r="N158">
        <v>1.0520919130128501</v>
      </c>
      <c r="O158">
        <v>0.42456140350877197</v>
      </c>
      <c r="P158">
        <v>0.39770864384243798</v>
      </c>
    </row>
    <row r="159" spans="1:16" x14ac:dyDescent="0.3">
      <c r="A159" t="s">
        <v>21</v>
      </c>
      <c r="B159" t="s">
        <v>31</v>
      </c>
      <c r="C159">
        <v>9.1</v>
      </c>
      <c r="D159">
        <v>3</v>
      </c>
      <c r="E159">
        <v>120</v>
      </c>
      <c r="F159" t="s">
        <v>26</v>
      </c>
      <c r="G159">
        <v>7.1311929999999997</v>
      </c>
      <c r="H159" t="b">
        <v>0</v>
      </c>
      <c r="I159">
        <v>7.1616111052631597</v>
      </c>
      <c r="J159">
        <v>-3.0418105263160002E-2</v>
      </c>
      <c r="K159">
        <v>-0.19462942663444599</v>
      </c>
      <c r="L159">
        <v>0.20189347914185099</v>
      </c>
      <c r="M159">
        <v>0.44116825206993998</v>
      </c>
      <c r="N159">
        <v>-0.169357857864192</v>
      </c>
      <c r="O159">
        <v>0.29824561403508798</v>
      </c>
      <c r="P159">
        <v>8.0496304138113206E-3</v>
      </c>
    </row>
    <row r="160" spans="1:16" x14ac:dyDescent="0.3">
      <c r="A160" t="s">
        <v>21</v>
      </c>
      <c r="B160" t="s">
        <v>31</v>
      </c>
      <c r="C160">
        <v>9.1</v>
      </c>
      <c r="D160">
        <v>4</v>
      </c>
      <c r="E160">
        <v>220</v>
      </c>
      <c r="F160" t="s">
        <v>26</v>
      </c>
      <c r="G160">
        <v>7.1469440000000004</v>
      </c>
      <c r="H160" t="b">
        <v>0</v>
      </c>
      <c r="I160">
        <v>7.1952980631579004</v>
      </c>
      <c r="J160">
        <v>-4.8354063157896497E-2</v>
      </c>
      <c r="K160">
        <v>-0.29234812100714402</v>
      </c>
      <c r="L160">
        <v>-0.64334540539291696</v>
      </c>
      <c r="M160">
        <v>0.54069226090923905</v>
      </c>
      <c r="N160">
        <v>-0.25592987140010298</v>
      </c>
      <c r="O160">
        <v>0.214035087719298</v>
      </c>
      <c r="P160">
        <v>1.16373054804484E-2</v>
      </c>
    </row>
    <row r="161" spans="1:16" x14ac:dyDescent="0.3">
      <c r="A161" t="s">
        <v>21</v>
      </c>
      <c r="B161" t="s">
        <v>31</v>
      </c>
      <c r="C161">
        <v>9.1</v>
      </c>
      <c r="D161">
        <v>6</v>
      </c>
      <c r="E161">
        <v>420</v>
      </c>
      <c r="F161" t="s">
        <v>26</v>
      </c>
      <c r="G161">
        <v>7.219106</v>
      </c>
      <c r="H161" t="b">
        <v>0</v>
      </c>
      <c r="I161">
        <v>7.2626719789473704</v>
      </c>
      <c r="J161">
        <v>-4.3565978947369001E-2</v>
      </c>
      <c r="K161">
        <v>-0.25661546069158198</v>
      </c>
      <c r="L161">
        <v>-0.20189347914185099</v>
      </c>
      <c r="M161">
        <v>0.50657226601106198</v>
      </c>
      <c r="N161">
        <v>-0.22408772677786301</v>
      </c>
      <c r="O161">
        <v>0.17192982456140399</v>
      </c>
      <c r="P161">
        <v>6.8362780479485101E-3</v>
      </c>
    </row>
    <row r="162" spans="1:16" x14ac:dyDescent="0.3">
      <c r="A162" t="s">
        <v>21</v>
      </c>
      <c r="B162" t="s">
        <v>31</v>
      </c>
      <c r="C162">
        <v>9.1</v>
      </c>
      <c r="D162">
        <v>8</v>
      </c>
      <c r="E162">
        <v>620</v>
      </c>
      <c r="F162" t="s">
        <v>26</v>
      </c>
      <c r="G162">
        <v>7.0809199999999999</v>
      </c>
      <c r="H162" t="b">
        <v>0</v>
      </c>
      <c r="I162">
        <v>7.3300458947368403</v>
      </c>
      <c r="J162">
        <v>-0.24912589473684199</v>
      </c>
      <c r="K162">
        <v>-1.5940253225156999</v>
      </c>
      <c r="L162">
        <v>-1.2815515655445999</v>
      </c>
      <c r="M162">
        <v>1.26254715655127</v>
      </c>
      <c r="N162">
        <v>-2.28568198081775</v>
      </c>
      <c r="O162">
        <v>0.29824561403508798</v>
      </c>
      <c r="P162">
        <v>0.53994480487452001</v>
      </c>
    </row>
    <row r="163" spans="1:16" x14ac:dyDescent="0.3">
      <c r="A163" t="s">
        <v>21</v>
      </c>
      <c r="B163" t="s">
        <v>31</v>
      </c>
      <c r="C163">
        <v>9.1</v>
      </c>
      <c r="D163">
        <v>10</v>
      </c>
      <c r="E163">
        <v>820</v>
      </c>
      <c r="F163" t="s">
        <v>26</v>
      </c>
      <c r="G163">
        <v>7.6219380000000001</v>
      </c>
      <c r="H163" t="b">
        <v>0</v>
      </c>
      <c r="I163">
        <v>7.3974198105263103</v>
      </c>
      <c r="J163">
        <v>0.22451818947368499</v>
      </c>
      <c r="K163">
        <v>1.8863135281186301</v>
      </c>
      <c r="L163">
        <v>1.2815515655445999</v>
      </c>
      <c r="M163">
        <v>1.37343129719642</v>
      </c>
      <c r="N163">
        <v>4.9153131905203002</v>
      </c>
      <c r="O163">
        <v>0.59298245614035106</v>
      </c>
      <c r="P163">
        <v>2.5919491584284899</v>
      </c>
    </row>
    <row r="164" spans="1:16" x14ac:dyDescent="0.3">
      <c r="A164" t="s">
        <v>21</v>
      </c>
      <c r="B164" t="s">
        <v>31</v>
      </c>
      <c r="C164">
        <v>9.1</v>
      </c>
      <c r="D164">
        <v>2</v>
      </c>
      <c r="E164">
        <v>20</v>
      </c>
      <c r="F164" t="s">
        <v>27</v>
      </c>
      <c r="G164">
        <v>268.42</v>
      </c>
      <c r="H164" t="b">
        <v>0</v>
      </c>
      <c r="I164">
        <v>266.05828702807003</v>
      </c>
      <c r="J164">
        <v>2.3617129719298999</v>
      </c>
      <c r="K164">
        <v>0.872497936008782</v>
      </c>
      <c r="L164">
        <v>0.64334540539291696</v>
      </c>
      <c r="M164">
        <v>0.93407597978364798</v>
      </c>
      <c r="N164">
        <v>0.83972387302507601</v>
      </c>
      <c r="O164">
        <v>0.42456140350877197</v>
      </c>
      <c r="P164">
        <v>0.28082795868624899</v>
      </c>
    </row>
    <row r="165" spans="1:16" x14ac:dyDescent="0.3">
      <c r="A165" t="s">
        <v>21</v>
      </c>
      <c r="B165" t="s">
        <v>31</v>
      </c>
      <c r="C165">
        <v>9.1</v>
      </c>
      <c r="D165">
        <v>3</v>
      </c>
      <c r="E165">
        <v>120</v>
      </c>
      <c r="F165" t="s">
        <v>27</v>
      </c>
      <c r="G165">
        <v>267.10997300000002</v>
      </c>
      <c r="H165" t="b">
        <v>0</v>
      </c>
      <c r="I165">
        <v>271.95353054385998</v>
      </c>
      <c r="J165">
        <v>-4.8435575438596903</v>
      </c>
      <c r="K165">
        <v>-1.62034943931333</v>
      </c>
      <c r="L165">
        <v>-1.2815515655445999</v>
      </c>
      <c r="M165">
        <v>1.27292947146074</v>
      </c>
      <c r="N165">
        <v>-2.3938781581006898</v>
      </c>
      <c r="O165">
        <v>0.29824561403508798</v>
      </c>
      <c r="P165">
        <v>0.55792561491514103</v>
      </c>
    </row>
    <row r="166" spans="1:16" x14ac:dyDescent="0.3">
      <c r="A166" t="s">
        <v>21</v>
      </c>
      <c r="B166" t="s">
        <v>31</v>
      </c>
      <c r="C166">
        <v>9.1</v>
      </c>
      <c r="D166">
        <v>4</v>
      </c>
      <c r="E166">
        <v>220</v>
      </c>
      <c r="F166" t="s">
        <v>27</v>
      </c>
      <c r="G166">
        <v>281.48266100000001</v>
      </c>
      <c r="H166" t="b">
        <v>0</v>
      </c>
      <c r="I166">
        <v>277.84877405964897</v>
      </c>
      <c r="J166">
        <v>3.6338869403508398</v>
      </c>
      <c r="K166">
        <v>1.1486999952388099</v>
      </c>
      <c r="L166">
        <v>1.2815515655445999</v>
      </c>
      <c r="M166">
        <v>1.0717742277358699</v>
      </c>
      <c r="N166">
        <v>1.2152350498433999</v>
      </c>
      <c r="O166">
        <v>0.214035087719298</v>
      </c>
      <c r="P166">
        <v>0.17966565272937601</v>
      </c>
    </row>
    <row r="167" spans="1:16" x14ac:dyDescent="0.3">
      <c r="A167" t="s">
        <v>21</v>
      </c>
      <c r="B167" t="s">
        <v>31</v>
      </c>
      <c r="C167">
        <v>9.1</v>
      </c>
      <c r="D167">
        <v>6</v>
      </c>
      <c r="E167">
        <v>420</v>
      </c>
      <c r="F167" t="s">
        <v>27</v>
      </c>
      <c r="G167">
        <v>289.110343</v>
      </c>
      <c r="H167" t="b">
        <v>0</v>
      </c>
      <c r="I167">
        <v>289.63926109122798</v>
      </c>
      <c r="J167">
        <v>-0.52891809122810096</v>
      </c>
      <c r="K167">
        <v>-0.16288895523952199</v>
      </c>
      <c r="L167">
        <v>-0.20189347914185099</v>
      </c>
      <c r="M167">
        <v>0.40359503867059798</v>
      </c>
      <c r="N167">
        <v>-0.14153617334405899</v>
      </c>
      <c r="O167">
        <v>0.17192982456140399</v>
      </c>
      <c r="P167">
        <v>2.7544656254494099E-3</v>
      </c>
    </row>
    <row r="168" spans="1:16" x14ac:dyDescent="0.3">
      <c r="A168" t="s">
        <v>21</v>
      </c>
      <c r="B168" t="s">
        <v>31</v>
      </c>
      <c r="C168">
        <v>9.1</v>
      </c>
      <c r="D168">
        <v>8</v>
      </c>
      <c r="E168">
        <v>620</v>
      </c>
      <c r="F168" t="s">
        <v>27</v>
      </c>
      <c r="G168">
        <v>299.091523</v>
      </c>
      <c r="H168" t="b">
        <v>0</v>
      </c>
      <c r="I168">
        <v>301.42974812280698</v>
      </c>
      <c r="J168">
        <v>-2.3382251228069899</v>
      </c>
      <c r="K168">
        <v>-0.78222292858515197</v>
      </c>
      <c r="L168">
        <v>-0.64334540539291696</v>
      </c>
      <c r="M168">
        <v>0.884433676758835</v>
      </c>
      <c r="N168">
        <v>-0.73605676764709005</v>
      </c>
      <c r="O168">
        <v>0.29824561403508798</v>
      </c>
      <c r="P168">
        <v>0.130022950875921</v>
      </c>
    </row>
    <row r="169" spans="1:16" x14ac:dyDescent="0.3">
      <c r="A169" t="s">
        <v>21</v>
      </c>
      <c r="B169" t="s">
        <v>31</v>
      </c>
      <c r="C169">
        <v>9.1</v>
      </c>
      <c r="D169">
        <v>10</v>
      </c>
      <c r="E169">
        <v>820</v>
      </c>
      <c r="F169" t="s">
        <v>27</v>
      </c>
      <c r="G169">
        <v>314.93533600000001</v>
      </c>
      <c r="H169" t="b">
        <v>0</v>
      </c>
      <c r="I169">
        <v>313.22023515438599</v>
      </c>
      <c r="J169">
        <v>1.71510084561404</v>
      </c>
      <c r="K169">
        <v>0.75339005613145804</v>
      </c>
      <c r="L169">
        <v>0.20189347914185099</v>
      </c>
      <c r="M169">
        <v>0.86798044686010001</v>
      </c>
      <c r="N169">
        <v>0.70433836986057796</v>
      </c>
      <c r="O169">
        <v>0.59298245614035106</v>
      </c>
      <c r="P169">
        <v>0.41346474766612901</v>
      </c>
    </row>
    <row r="170" spans="1:16" x14ac:dyDescent="0.3">
      <c r="A170" t="s">
        <v>21</v>
      </c>
      <c r="B170" t="s">
        <v>32</v>
      </c>
      <c r="C170">
        <v>10.7</v>
      </c>
      <c r="D170">
        <v>2</v>
      </c>
      <c r="E170">
        <v>20</v>
      </c>
      <c r="F170" t="s">
        <v>23</v>
      </c>
      <c r="G170">
        <v>3841.5914360000002</v>
      </c>
      <c r="H170" t="b">
        <v>0</v>
      </c>
      <c r="I170">
        <v>3894.3374926541401</v>
      </c>
      <c r="J170">
        <v>-52.746056654136297</v>
      </c>
      <c r="K170">
        <v>-1.78929506172931</v>
      </c>
      <c r="L170">
        <v>-1.43420015968638</v>
      </c>
      <c r="M170">
        <v>1.3376453422822201</v>
      </c>
      <c r="N170">
        <v>-2.39171964414155</v>
      </c>
      <c r="O170">
        <v>0.38847117794486202</v>
      </c>
      <c r="P170">
        <v>1.0168942761864399</v>
      </c>
    </row>
    <row r="171" spans="1:16" x14ac:dyDescent="0.3">
      <c r="A171" t="s">
        <v>21</v>
      </c>
      <c r="B171" t="s">
        <v>32</v>
      </c>
      <c r="C171">
        <v>10.7</v>
      </c>
      <c r="D171">
        <v>3</v>
      </c>
      <c r="E171">
        <v>120</v>
      </c>
      <c r="F171" t="s">
        <v>23</v>
      </c>
      <c r="G171">
        <v>3912.85277</v>
      </c>
      <c r="H171" t="b">
        <v>0</v>
      </c>
      <c r="I171">
        <v>3922.3028524736801</v>
      </c>
      <c r="J171">
        <v>-9.4500824736836204</v>
      </c>
      <c r="K171">
        <v>-0.29204435301863602</v>
      </c>
      <c r="L171">
        <v>-0.15250597424624401</v>
      </c>
      <c r="M171">
        <v>0.54041128135766703</v>
      </c>
      <c r="N171">
        <v>-0.26851409249301</v>
      </c>
      <c r="O171">
        <v>0.26315789473684198</v>
      </c>
      <c r="P171">
        <v>1.5230340023227399E-2</v>
      </c>
    </row>
    <row r="172" spans="1:16" x14ac:dyDescent="0.3">
      <c r="A172" t="s">
        <v>21</v>
      </c>
      <c r="B172" t="s">
        <v>32</v>
      </c>
      <c r="C172">
        <v>10.7</v>
      </c>
      <c r="D172">
        <v>4</v>
      </c>
      <c r="E172">
        <v>220</v>
      </c>
      <c r="F172" t="s">
        <v>23</v>
      </c>
      <c r="G172">
        <v>4016.1030099999998</v>
      </c>
      <c r="H172" t="b">
        <v>0</v>
      </c>
      <c r="I172">
        <v>3950.2682122932301</v>
      </c>
      <c r="J172">
        <v>65.834797706767304</v>
      </c>
      <c r="K172">
        <v>1.9262181164099399</v>
      </c>
      <c r="L172">
        <v>1.43420015968638</v>
      </c>
      <c r="M172">
        <v>1.3878826018110999</v>
      </c>
      <c r="N172">
        <v>2.8464444494929499</v>
      </c>
      <c r="O172">
        <v>0.17794486215538799</v>
      </c>
      <c r="P172">
        <v>0.401573860474077</v>
      </c>
    </row>
    <row r="173" spans="1:16" x14ac:dyDescent="0.3">
      <c r="A173" t="s">
        <v>21</v>
      </c>
      <c r="B173" t="s">
        <v>32</v>
      </c>
      <c r="C173">
        <v>10.7</v>
      </c>
      <c r="D173">
        <v>5</v>
      </c>
      <c r="E173">
        <v>320</v>
      </c>
      <c r="F173" t="s">
        <v>23</v>
      </c>
      <c r="G173">
        <v>3989.7934300000002</v>
      </c>
      <c r="H173" t="b">
        <v>0</v>
      </c>
      <c r="I173">
        <v>3978.2335721127802</v>
      </c>
      <c r="J173">
        <v>11.5598578872183</v>
      </c>
      <c r="K173">
        <v>0.329307275050089</v>
      </c>
      <c r="L173">
        <v>0.472789120992267</v>
      </c>
      <c r="M173">
        <v>0.57385300822605201</v>
      </c>
      <c r="N173">
        <v>0.30336906698938598</v>
      </c>
      <c r="O173">
        <v>0.132832080200501</v>
      </c>
      <c r="P173">
        <v>8.3056270437117195E-3</v>
      </c>
    </row>
    <row r="174" spans="1:16" x14ac:dyDescent="0.3">
      <c r="A174" t="s">
        <v>21</v>
      </c>
      <c r="B174" t="s">
        <v>32</v>
      </c>
      <c r="C174">
        <v>10.7</v>
      </c>
      <c r="D174">
        <v>6</v>
      </c>
      <c r="E174">
        <v>420</v>
      </c>
      <c r="F174" t="s">
        <v>23</v>
      </c>
      <c r="G174">
        <v>4016.0621660000002</v>
      </c>
      <c r="H174" t="b">
        <v>0</v>
      </c>
      <c r="I174">
        <v>4006.1989319323302</v>
      </c>
      <c r="J174">
        <v>9.8632340676693495</v>
      </c>
      <c r="K174">
        <v>0.28016675323179102</v>
      </c>
      <c r="L174">
        <v>0.15250597424624401</v>
      </c>
      <c r="M174">
        <v>0.52930780575369496</v>
      </c>
      <c r="N174">
        <v>0.257445610209597</v>
      </c>
      <c r="O174">
        <v>0.12781954887218</v>
      </c>
      <c r="P174">
        <v>5.7516722563773102E-3</v>
      </c>
    </row>
    <row r="175" spans="1:16" x14ac:dyDescent="0.3">
      <c r="A175" t="s">
        <v>21</v>
      </c>
      <c r="B175" t="s">
        <v>32</v>
      </c>
      <c r="C175">
        <v>10.7</v>
      </c>
      <c r="D175">
        <v>7</v>
      </c>
      <c r="E175">
        <v>520</v>
      </c>
      <c r="F175" t="s">
        <v>23</v>
      </c>
      <c r="G175">
        <v>4049.398087</v>
      </c>
      <c r="H175" t="b">
        <v>0</v>
      </c>
      <c r="I175">
        <v>4034.1642917518798</v>
      </c>
      <c r="J175">
        <v>15.2337952481203</v>
      </c>
      <c r="K175">
        <v>0.44169426490552199</v>
      </c>
      <c r="L175">
        <v>0.85249503427469397</v>
      </c>
      <c r="M175">
        <v>0.66460083125551495</v>
      </c>
      <c r="N175">
        <v>0.40992948797740297</v>
      </c>
      <c r="O175">
        <v>0.162907268170426</v>
      </c>
      <c r="P175">
        <v>1.8983680445026799E-2</v>
      </c>
    </row>
    <row r="176" spans="1:16" x14ac:dyDescent="0.3">
      <c r="A176" t="s">
        <v>21</v>
      </c>
      <c r="B176" t="s">
        <v>32</v>
      </c>
      <c r="C176">
        <v>10.7</v>
      </c>
      <c r="D176">
        <v>8</v>
      </c>
      <c r="E176">
        <v>620</v>
      </c>
      <c r="F176" t="s">
        <v>23</v>
      </c>
      <c r="G176">
        <v>4037.2079680000002</v>
      </c>
      <c r="H176" t="b">
        <v>0</v>
      </c>
      <c r="I176">
        <v>4062.1296515714298</v>
      </c>
      <c r="J176">
        <v>-24.9216835714289</v>
      </c>
      <c r="K176">
        <v>-0.75740377487085697</v>
      </c>
      <c r="L176">
        <v>-0.85249503427469397</v>
      </c>
      <c r="M176">
        <v>0.87028947762848297</v>
      </c>
      <c r="N176">
        <v>-0.72704113876376397</v>
      </c>
      <c r="O176">
        <v>0.238095238095238</v>
      </c>
      <c r="P176">
        <v>8.96344497169725E-2</v>
      </c>
    </row>
    <row r="177" spans="1:16" x14ac:dyDescent="0.3">
      <c r="A177" t="s">
        <v>21</v>
      </c>
      <c r="B177" t="s">
        <v>32</v>
      </c>
      <c r="C177">
        <v>10.7</v>
      </c>
      <c r="D177">
        <v>10</v>
      </c>
      <c r="E177">
        <v>820</v>
      </c>
      <c r="F177" t="s">
        <v>23</v>
      </c>
      <c r="G177">
        <v>4102.6865090000001</v>
      </c>
      <c r="H177" t="b">
        <v>0</v>
      </c>
      <c r="I177">
        <v>4118.0603712105303</v>
      </c>
      <c r="J177">
        <v>-15.373862210526401</v>
      </c>
      <c r="K177">
        <v>-0.58189125211274395</v>
      </c>
      <c r="L177">
        <v>-0.472789120992267</v>
      </c>
      <c r="M177">
        <v>0.762817967874868</v>
      </c>
      <c r="N177">
        <v>-0.54684571265992998</v>
      </c>
      <c r="O177">
        <v>0.50877192982456099</v>
      </c>
      <c r="P177">
        <v>0.175345097308478</v>
      </c>
    </row>
    <row r="178" spans="1:16" x14ac:dyDescent="0.3">
      <c r="A178" t="s">
        <v>21</v>
      </c>
      <c r="B178" t="s">
        <v>32</v>
      </c>
      <c r="C178">
        <v>10.7</v>
      </c>
      <c r="D178">
        <v>2</v>
      </c>
      <c r="E178">
        <v>20</v>
      </c>
      <c r="F178" t="s">
        <v>25</v>
      </c>
      <c r="G178">
        <v>0.52116399999999996</v>
      </c>
      <c r="H178" t="b">
        <v>0</v>
      </c>
      <c r="I178">
        <v>0.380213140350877</v>
      </c>
      <c r="J178">
        <v>0.14095085964912299</v>
      </c>
      <c r="K178">
        <v>1.3500050221706701</v>
      </c>
      <c r="L178">
        <v>0.85249503427469397</v>
      </c>
      <c r="M178">
        <v>1.16189716505837</v>
      </c>
      <c r="N178">
        <v>1.4769400312705701</v>
      </c>
      <c r="O178">
        <v>0.38847117794486202</v>
      </c>
      <c r="P178">
        <v>0.57887213479986499</v>
      </c>
    </row>
    <row r="179" spans="1:16" x14ac:dyDescent="0.3">
      <c r="A179" t="s">
        <v>21</v>
      </c>
      <c r="B179" t="s">
        <v>32</v>
      </c>
      <c r="C179">
        <v>10.7</v>
      </c>
      <c r="D179">
        <v>3</v>
      </c>
      <c r="E179">
        <v>120</v>
      </c>
      <c r="F179" t="s">
        <v>25</v>
      </c>
      <c r="G179">
        <v>0.392069</v>
      </c>
      <c r="H179" t="b">
        <v>0</v>
      </c>
      <c r="I179">
        <v>0.40547989473684198</v>
      </c>
      <c r="J179">
        <v>-1.3410894736842E-2</v>
      </c>
      <c r="K179">
        <v>-0.11701637949749299</v>
      </c>
      <c r="L179">
        <v>0.15250597424624401</v>
      </c>
      <c r="M179">
        <v>0.34207656964120398</v>
      </c>
      <c r="N179">
        <v>-0.10694295011246099</v>
      </c>
      <c r="O179">
        <v>0.26315789473684198</v>
      </c>
      <c r="P179">
        <v>2.4451487626252501E-3</v>
      </c>
    </row>
    <row r="180" spans="1:16" x14ac:dyDescent="0.3">
      <c r="A180" t="s">
        <v>21</v>
      </c>
      <c r="B180" t="s">
        <v>32</v>
      </c>
      <c r="C180">
        <v>10.7</v>
      </c>
      <c r="D180">
        <v>4</v>
      </c>
      <c r="E180">
        <v>220</v>
      </c>
      <c r="F180" t="s">
        <v>25</v>
      </c>
      <c r="G180">
        <v>0.48270400000000002</v>
      </c>
      <c r="H180" t="b">
        <v>0</v>
      </c>
      <c r="I180">
        <v>0.43074664912280702</v>
      </c>
      <c r="J180">
        <v>5.1957350877192998E-2</v>
      </c>
      <c r="K180">
        <v>0.42921278149090702</v>
      </c>
      <c r="L180">
        <v>0.472789120992267</v>
      </c>
      <c r="M180">
        <v>0.65514332896772098</v>
      </c>
      <c r="N180">
        <v>0.397973173773435</v>
      </c>
      <c r="O180">
        <v>0.17794486215538799</v>
      </c>
      <c r="P180">
        <v>1.9938836032708001E-2</v>
      </c>
    </row>
    <row r="181" spans="1:16" x14ac:dyDescent="0.3">
      <c r="A181" t="s">
        <v>21</v>
      </c>
      <c r="B181" t="s">
        <v>32</v>
      </c>
      <c r="C181">
        <v>10.7</v>
      </c>
      <c r="D181">
        <v>5</v>
      </c>
      <c r="E181">
        <v>320</v>
      </c>
      <c r="F181" t="s">
        <v>25</v>
      </c>
      <c r="G181">
        <v>0.31930999999999998</v>
      </c>
      <c r="H181" t="b">
        <v>0</v>
      </c>
      <c r="I181">
        <v>0.45601340350877201</v>
      </c>
      <c r="J181">
        <v>-0.136703403508772</v>
      </c>
      <c r="K181">
        <v>-1.0995218046628501</v>
      </c>
      <c r="L181">
        <v>-1.43420015968638</v>
      </c>
      <c r="M181">
        <v>1.0485808527065801</v>
      </c>
      <c r="N181">
        <v>-1.12324220972378</v>
      </c>
      <c r="O181">
        <v>0.132832080200501</v>
      </c>
      <c r="P181">
        <v>9.2592853386184296E-2</v>
      </c>
    </row>
    <row r="182" spans="1:16" x14ac:dyDescent="0.3">
      <c r="A182" t="s">
        <v>21</v>
      </c>
      <c r="B182" t="s">
        <v>32</v>
      </c>
      <c r="C182">
        <v>10.7</v>
      </c>
      <c r="D182">
        <v>6</v>
      </c>
      <c r="E182">
        <v>420</v>
      </c>
      <c r="F182" t="s">
        <v>25</v>
      </c>
      <c r="G182">
        <v>0.45694400000000002</v>
      </c>
      <c r="H182" t="b">
        <v>0</v>
      </c>
      <c r="I182">
        <v>0.48128015789473699</v>
      </c>
      <c r="J182">
        <v>-2.43361578947369E-2</v>
      </c>
      <c r="K182">
        <v>-0.195175347296282</v>
      </c>
      <c r="L182">
        <v>-0.15250597424624401</v>
      </c>
      <c r="M182">
        <v>0.44178654042001098</v>
      </c>
      <c r="N182">
        <v>-0.17873819981335501</v>
      </c>
      <c r="O182">
        <v>0.12781954887218</v>
      </c>
      <c r="P182">
        <v>2.7913279106371301E-3</v>
      </c>
    </row>
    <row r="183" spans="1:16" x14ac:dyDescent="0.3">
      <c r="A183" t="s">
        <v>21</v>
      </c>
      <c r="B183" t="s">
        <v>32</v>
      </c>
      <c r="C183">
        <v>10.7</v>
      </c>
      <c r="D183">
        <v>7</v>
      </c>
      <c r="E183">
        <v>520</v>
      </c>
      <c r="F183" t="s">
        <v>25</v>
      </c>
      <c r="G183">
        <v>0.38057099999999999</v>
      </c>
      <c r="H183" t="b">
        <v>0</v>
      </c>
      <c r="I183">
        <v>0.50654691228070203</v>
      </c>
      <c r="J183">
        <v>-0.12597591228070201</v>
      </c>
      <c r="K183">
        <v>-1.0312805974919801</v>
      </c>
      <c r="L183">
        <v>-0.85249503427469397</v>
      </c>
      <c r="M183">
        <v>1.01551986563138</v>
      </c>
      <c r="N183">
        <v>-1.0378964429541899</v>
      </c>
      <c r="O183">
        <v>0.162907268170426</v>
      </c>
      <c r="P183">
        <v>0.1034881416162</v>
      </c>
    </row>
    <row r="184" spans="1:16" x14ac:dyDescent="0.3">
      <c r="A184" t="s">
        <v>21</v>
      </c>
      <c r="B184" t="s">
        <v>32</v>
      </c>
      <c r="C184">
        <v>10.7</v>
      </c>
      <c r="D184">
        <v>8</v>
      </c>
      <c r="E184">
        <v>620</v>
      </c>
      <c r="F184" t="s">
        <v>25</v>
      </c>
      <c r="G184">
        <v>0.438471</v>
      </c>
      <c r="H184" t="b">
        <v>0</v>
      </c>
      <c r="I184">
        <v>0.53181366666666696</v>
      </c>
      <c r="J184">
        <v>-9.3342666666666699E-2</v>
      </c>
      <c r="K184">
        <v>-0.80095105993218196</v>
      </c>
      <c r="L184">
        <v>-0.472789120992267</v>
      </c>
      <c r="M184">
        <v>0.89495869174626297</v>
      </c>
      <c r="N184">
        <v>-0.77369587418459995</v>
      </c>
      <c r="O184">
        <v>0.238095238095238</v>
      </c>
      <c r="P184">
        <v>0.10023790631351299</v>
      </c>
    </row>
    <row r="185" spans="1:16" x14ac:dyDescent="0.3">
      <c r="A185" t="s">
        <v>21</v>
      </c>
      <c r="B185" t="s">
        <v>32</v>
      </c>
      <c r="C185">
        <v>10.7</v>
      </c>
      <c r="D185">
        <v>10</v>
      </c>
      <c r="E185">
        <v>820</v>
      </c>
      <c r="F185" t="s">
        <v>25</v>
      </c>
      <c r="G185">
        <v>0.78320800000000002</v>
      </c>
      <c r="H185" t="b">
        <v>0</v>
      </c>
      <c r="I185">
        <v>0.58234717543859604</v>
      </c>
      <c r="J185">
        <v>0.200860824561404</v>
      </c>
      <c r="K185">
        <v>2.1464944696008699</v>
      </c>
      <c r="L185">
        <v>1.43420015968638</v>
      </c>
      <c r="M185">
        <v>1.46509196626043</v>
      </c>
      <c r="N185">
        <v>4.0673129102324799</v>
      </c>
      <c r="O185">
        <v>0.50877192982456099</v>
      </c>
      <c r="P185">
        <v>2.3859949416569002</v>
      </c>
    </row>
    <row r="186" spans="1:16" x14ac:dyDescent="0.3">
      <c r="A186" t="s">
        <v>21</v>
      </c>
      <c r="B186" t="s">
        <v>32</v>
      </c>
      <c r="C186">
        <v>10.7</v>
      </c>
      <c r="D186">
        <v>2</v>
      </c>
      <c r="E186">
        <v>20</v>
      </c>
      <c r="F186" t="s">
        <v>26</v>
      </c>
      <c r="G186">
        <v>7.7195660000000004</v>
      </c>
      <c r="H186" t="b">
        <v>0</v>
      </c>
      <c r="I186">
        <v>7.88277857644111</v>
      </c>
      <c r="J186">
        <v>-0.16321257644110701</v>
      </c>
      <c r="K186">
        <v>-0.46461091235683699</v>
      </c>
      <c r="L186">
        <v>-0.472789120992267</v>
      </c>
      <c r="M186">
        <v>0.68162373224297101</v>
      </c>
      <c r="N186">
        <v>-0.431971539175456</v>
      </c>
      <c r="O186">
        <v>0.38847117794486202</v>
      </c>
      <c r="P186">
        <v>6.8563138281891603E-2</v>
      </c>
    </row>
    <row r="187" spans="1:16" x14ac:dyDescent="0.3">
      <c r="A187" t="s">
        <v>21</v>
      </c>
      <c r="B187" t="s">
        <v>32</v>
      </c>
      <c r="C187">
        <v>10.7</v>
      </c>
      <c r="D187">
        <v>3</v>
      </c>
      <c r="E187">
        <v>120</v>
      </c>
      <c r="F187" t="s">
        <v>26</v>
      </c>
      <c r="G187">
        <v>7.8234729999999999</v>
      </c>
      <c r="H187" t="b">
        <v>0</v>
      </c>
      <c r="I187">
        <v>7.7441952105263097</v>
      </c>
      <c r="J187">
        <v>7.9277789473685495E-2</v>
      </c>
      <c r="K187">
        <v>0.20559311439022701</v>
      </c>
      <c r="L187">
        <v>0.15250597424624401</v>
      </c>
      <c r="M187">
        <v>0.45342376910592902</v>
      </c>
      <c r="N187">
        <v>0.18834457056515599</v>
      </c>
      <c r="O187">
        <v>0.26315789473684198</v>
      </c>
      <c r="P187">
        <v>7.5479515508344603E-3</v>
      </c>
    </row>
    <row r="188" spans="1:16" x14ac:dyDescent="0.3">
      <c r="A188" t="s">
        <v>21</v>
      </c>
      <c r="B188" t="s">
        <v>32</v>
      </c>
      <c r="C188">
        <v>10.7</v>
      </c>
      <c r="D188">
        <v>4</v>
      </c>
      <c r="E188">
        <v>220</v>
      </c>
      <c r="F188" t="s">
        <v>26</v>
      </c>
      <c r="G188">
        <v>8.4252889999999994</v>
      </c>
      <c r="H188" t="b">
        <v>0</v>
      </c>
      <c r="I188">
        <v>7.6056118446115297</v>
      </c>
      <c r="J188">
        <v>0.81967715538847397</v>
      </c>
      <c r="K188">
        <v>2.0125033318284902</v>
      </c>
      <c r="L188">
        <v>1.43420015968638</v>
      </c>
      <c r="M188">
        <v>1.41862727022587</v>
      </c>
      <c r="N188">
        <v>3.2227246308702702</v>
      </c>
      <c r="O188">
        <v>0.17794486215538799</v>
      </c>
      <c r="P188">
        <v>0.43835677729279798</v>
      </c>
    </row>
    <row r="189" spans="1:16" x14ac:dyDescent="0.3">
      <c r="A189" t="s">
        <v>21</v>
      </c>
      <c r="B189" t="s">
        <v>32</v>
      </c>
      <c r="C189">
        <v>10.7</v>
      </c>
      <c r="D189">
        <v>5</v>
      </c>
      <c r="E189">
        <v>320</v>
      </c>
      <c r="F189" t="s">
        <v>26</v>
      </c>
      <c r="G189">
        <v>6.8433760000000001</v>
      </c>
      <c r="H189" t="b">
        <v>0</v>
      </c>
      <c r="I189">
        <v>7.46702847869674</v>
      </c>
      <c r="J189">
        <v>-0.62365247869674101</v>
      </c>
      <c r="K189">
        <v>-1.49085464208295</v>
      </c>
      <c r="L189">
        <v>-1.43420015968638</v>
      </c>
      <c r="M189">
        <v>1.2210055864257801</v>
      </c>
      <c r="N189">
        <v>-1.7152465337917999</v>
      </c>
      <c r="O189">
        <v>0.132832080200501</v>
      </c>
      <c r="P189">
        <v>0.17023167757583099</v>
      </c>
    </row>
    <row r="190" spans="1:16" x14ac:dyDescent="0.3">
      <c r="A190" t="s">
        <v>21</v>
      </c>
      <c r="B190" t="s">
        <v>32</v>
      </c>
      <c r="C190">
        <v>10.7</v>
      </c>
      <c r="D190">
        <v>6</v>
      </c>
      <c r="E190">
        <v>420</v>
      </c>
      <c r="F190" t="s">
        <v>26</v>
      </c>
      <c r="G190">
        <v>7.1711869999999998</v>
      </c>
      <c r="H190" t="b">
        <v>0</v>
      </c>
      <c r="I190">
        <v>7.3284451127819503</v>
      </c>
      <c r="J190">
        <v>-0.15725811278195401</v>
      </c>
      <c r="K190">
        <v>-0.37484708341214301</v>
      </c>
      <c r="L190">
        <v>-0.15250597424624401</v>
      </c>
      <c r="M190">
        <v>0.61224756709369099</v>
      </c>
      <c r="N190">
        <v>-0.34626551514479698</v>
      </c>
      <c r="O190">
        <v>0.12781954887218</v>
      </c>
      <c r="P190">
        <v>1.0296015995793301E-2</v>
      </c>
    </row>
    <row r="191" spans="1:16" x14ac:dyDescent="0.3">
      <c r="A191" t="s">
        <v>21</v>
      </c>
      <c r="B191" t="s">
        <v>32</v>
      </c>
      <c r="C191">
        <v>10.7</v>
      </c>
      <c r="D191">
        <v>7</v>
      </c>
      <c r="E191">
        <v>520</v>
      </c>
      <c r="F191" t="s">
        <v>26</v>
      </c>
      <c r="G191">
        <v>6.9577660000000003</v>
      </c>
      <c r="H191" t="b">
        <v>0</v>
      </c>
      <c r="I191">
        <v>7.1898617468671704</v>
      </c>
      <c r="J191">
        <v>-0.232095746867168</v>
      </c>
      <c r="K191">
        <v>-0.56470891929970501</v>
      </c>
      <c r="L191">
        <v>-0.85249503427469397</v>
      </c>
      <c r="M191">
        <v>0.75147116997241203</v>
      </c>
      <c r="N191">
        <v>-0.52977722706937003</v>
      </c>
      <c r="O191">
        <v>0.162907268170426</v>
      </c>
      <c r="P191">
        <v>3.1030315314194101E-2</v>
      </c>
    </row>
    <row r="192" spans="1:16" x14ac:dyDescent="0.3">
      <c r="A192" t="s">
        <v>21</v>
      </c>
      <c r="B192" t="s">
        <v>32</v>
      </c>
      <c r="C192">
        <v>10.7</v>
      </c>
      <c r="D192">
        <v>8</v>
      </c>
      <c r="E192">
        <v>620</v>
      </c>
      <c r="F192" t="s">
        <v>26</v>
      </c>
      <c r="G192">
        <v>7.1894159999999996</v>
      </c>
      <c r="H192" t="b">
        <v>0</v>
      </c>
      <c r="I192">
        <v>7.0512783809523798</v>
      </c>
      <c r="J192">
        <v>0.13813761904761801</v>
      </c>
      <c r="K192">
        <v>0.35229450801263401</v>
      </c>
      <c r="L192">
        <v>0.472789120992267</v>
      </c>
      <c r="M192">
        <v>0.59354402365168701</v>
      </c>
      <c r="N192">
        <v>0.32497810290969098</v>
      </c>
      <c r="O192">
        <v>0.238095238095238</v>
      </c>
      <c r="P192">
        <v>1.9392409433728702E-2</v>
      </c>
    </row>
    <row r="193" spans="1:16" x14ac:dyDescent="0.3">
      <c r="A193" t="s">
        <v>21</v>
      </c>
      <c r="B193" t="s">
        <v>32</v>
      </c>
      <c r="C193">
        <v>10.7</v>
      </c>
      <c r="D193">
        <v>10</v>
      </c>
      <c r="E193">
        <v>820</v>
      </c>
      <c r="F193" t="s">
        <v>26</v>
      </c>
      <c r="G193">
        <v>6.9132379999999998</v>
      </c>
      <c r="H193" t="b">
        <v>0</v>
      </c>
      <c r="I193">
        <v>6.7741116491228102</v>
      </c>
      <c r="J193">
        <v>0.139126350877192</v>
      </c>
      <c r="K193">
        <v>0.44188784653132002</v>
      </c>
      <c r="L193">
        <v>0.85249503427469397</v>
      </c>
      <c r="M193">
        <v>0.66474645281589895</v>
      </c>
      <c r="N193">
        <v>0.41011519023155102</v>
      </c>
      <c r="O193">
        <v>0.50877192982456099</v>
      </c>
      <c r="P193">
        <v>0.101119307115188</v>
      </c>
    </row>
    <row r="194" spans="1:16" x14ac:dyDescent="0.3">
      <c r="A194" t="s">
        <v>21</v>
      </c>
      <c r="B194" t="s">
        <v>32</v>
      </c>
      <c r="C194">
        <v>10.7</v>
      </c>
      <c r="D194">
        <v>2</v>
      </c>
      <c r="E194">
        <v>20</v>
      </c>
      <c r="F194" t="s">
        <v>27</v>
      </c>
      <c r="G194">
        <v>273.02999999999997</v>
      </c>
      <c r="H194" t="b">
        <v>0</v>
      </c>
      <c r="I194">
        <v>255.058582641604</v>
      </c>
      <c r="J194">
        <v>17.971417358395801</v>
      </c>
      <c r="K194">
        <v>1.03148031350512</v>
      </c>
      <c r="L194">
        <v>0.85249503427469397</v>
      </c>
      <c r="M194">
        <v>1.0156181927797101</v>
      </c>
      <c r="N194">
        <v>1.03814075948124</v>
      </c>
      <c r="O194">
        <v>0.38847117794486202</v>
      </c>
      <c r="P194">
        <v>0.337935458520565</v>
      </c>
    </row>
    <row r="195" spans="1:16" x14ac:dyDescent="0.3">
      <c r="A195" t="s">
        <v>21</v>
      </c>
      <c r="B195" t="s">
        <v>32</v>
      </c>
      <c r="C195">
        <v>10.7</v>
      </c>
      <c r="D195">
        <v>3</v>
      </c>
      <c r="E195">
        <v>120</v>
      </c>
      <c r="F195" t="s">
        <v>27</v>
      </c>
      <c r="G195">
        <v>246.33244099999999</v>
      </c>
      <c r="H195" t="b">
        <v>0</v>
      </c>
      <c r="I195">
        <v>262.46732394736802</v>
      </c>
      <c r="J195">
        <v>-16.1348829473683</v>
      </c>
      <c r="K195">
        <v>-0.84365654588790495</v>
      </c>
      <c r="L195">
        <v>-0.85249503427469397</v>
      </c>
      <c r="M195">
        <v>0.91850778215968598</v>
      </c>
      <c r="N195">
        <v>-0.82034201497494397</v>
      </c>
      <c r="O195">
        <v>0.26315789473684198</v>
      </c>
      <c r="P195">
        <v>0.12709935132491201</v>
      </c>
    </row>
    <row r="196" spans="1:16" x14ac:dyDescent="0.3">
      <c r="A196" t="s">
        <v>21</v>
      </c>
      <c r="B196" t="s">
        <v>32</v>
      </c>
      <c r="C196">
        <v>10.7</v>
      </c>
      <c r="D196">
        <v>4</v>
      </c>
      <c r="E196">
        <v>220</v>
      </c>
      <c r="F196" t="s">
        <v>27</v>
      </c>
      <c r="G196">
        <v>257.38108</v>
      </c>
      <c r="H196" t="b">
        <v>0</v>
      </c>
      <c r="I196">
        <v>269.87606525313299</v>
      </c>
      <c r="J196">
        <v>-12.4949852531328</v>
      </c>
      <c r="K196">
        <v>-0.61854649837222098</v>
      </c>
      <c r="L196">
        <v>-0.15250597424624401</v>
      </c>
      <c r="M196">
        <v>0.786477271364037</v>
      </c>
      <c r="N196">
        <v>-0.58356558362372102</v>
      </c>
      <c r="O196">
        <v>0.17794486215538799</v>
      </c>
      <c r="P196">
        <v>4.1409426396411701E-2</v>
      </c>
    </row>
    <row r="197" spans="1:16" x14ac:dyDescent="0.3">
      <c r="A197" t="s">
        <v>21</v>
      </c>
      <c r="B197" t="s">
        <v>32</v>
      </c>
      <c r="C197">
        <v>10.7</v>
      </c>
      <c r="D197">
        <v>5</v>
      </c>
      <c r="E197">
        <v>320</v>
      </c>
      <c r="F197" t="s">
        <v>27</v>
      </c>
      <c r="G197">
        <v>263.84281700000003</v>
      </c>
      <c r="H197" t="b">
        <v>0</v>
      </c>
      <c r="I197">
        <v>277.284806558897</v>
      </c>
      <c r="J197">
        <v>-13.4419895588972</v>
      </c>
      <c r="K197">
        <v>-0.64788664964258902</v>
      </c>
      <c r="L197">
        <v>-0.472789120992267</v>
      </c>
      <c r="M197">
        <v>0.80491406351398098</v>
      </c>
      <c r="N197">
        <v>-0.61327813578840296</v>
      </c>
      <c r="O197">
        <v>0.132832080200501</v>
      </c>
      <c r="P197">
        <v>3.2149027271113101E-2</v>
      </c>
    </row>
    <row r="198" spans="1:16" x14ac:dyDescent="0.3">
      <c r="A198" t="s">
        <v>21</v>
      </c>
      <c r="B198" t="s">
        <v>32</v>
      </c>
      <c r="C198">
        <v>10.7</v>
      </c>
      <c r="D198">
        <v>6</v>
      </c>
      <c r="E198">
        <v>420</v>
      </c>
      <c r="F198" t="s">
        <v>27</v>
      </c>
      <c r="G198">
        <v>283.75075099999998</v>
      </c>
      <c r="H198" t="b">
        <v>0</v>
      </c>
      <c r="I198">
        <v>284.69354786466198</v>
      </c>
      <c r="J198">
        <v>-0.94279686466159296</v>
      </c>
      <c r="K198">
        <v>-4.5310831733465298E-2</v>
      </c>
      <c r="L198">
        <v>0.15250597424624401</v>
      </c>
      <c r="M198">
        <v>0.212863410978649</v>
      </c>
      <c r="N198">
        <v>-4.1370019639079901E-2</v>
      </c>
      <c r="O198">
        <v>0.12781954887218</v>
      </c>
      <c r="P198">
        <v>1.5044058202772799E-4</v>
      </c>
    </row>
    <row r="199" spans="1:16" x14ac:dyDescent="0.3">
      <c r="A199" t="s">
        <v>21</v>
      </c>
      <c r="B199" t="s">
        <v>32</v>
      </c>
      <c r="C199">
        <v>10.7</v>
      </c>
      <c r="D199">
        <v>7</v>
      </c>
      <c r="E199">
        <v>520</v>
      </c>
      <c r="F199" t="s">
        <v>27</v>
      </c>
      <c r="G199">
        <v>307.33291100000002</v>
      </c>
      <c r="H199" t="b">
        <v>0</v>
      </c>
      <c r="I199">
        <v>292.10228917042599</v>
      </c>
      <c r="J199">
        <v>15.2306218295739</v>
      </c>
      <c r="K199">
        <v>0.74716742302989803</v>
      </c>
      <c r="L199">
        <v>0.472789120992267</v>
      </c>
      <c r="M199">
        <v>0.86438846766364197</v>
      </c>
      <c r="N199">
        <v>0.71619948232591601</v>
      </c>
      <c r="O199">
        <v>0.162907268170426</v>
      </c>
      <c r="P199">
        <v>5.4321624659302403E-2</v>
      </c>
    </row>
    <row r="200" spans="1:16" x14ac:dyDescent="0.3">
      <c r="A200" t="s">
        <v>21</v>
      </c>
      <c r="B200" t="s">
        <v>32</v>
      </c>
      <c r="C200">
        <v>10.7</v>
      </c>
      <c r="D200">
        <v>8</v>
      </c>
      <c r="E200">
        <v>620</v>
      </c>
      <c r="F200" t="s">
        <v>27</v>
      </c>
      <c r="G200">
        <v>334.22704199999998</v>
      </c>
      <c r="H200" t="b">
        <v>0</v>
      </c>
      <c r="I200">
        <v>299.51103047619102</v>
      </c>
      <c r="J200">
        <v>34.716011523809499</v>
      </c>
      <c r="K200">
        <v>1.78511647719958</v>
      </c>
      <c r="L200">
        <v>1.43420015968638</v>
      </c>
      <c r="M200">
        <v>1.33608251137405</v>
      </c>
      <c r="N200">
        <v>2.37979184114256</v>
      </c>
      <c r="O200">
        <v>0.238095238095238</v>
      </c>
      <c r="P200">
        <v>0.49791263080772302</v>
      </c>
    </row>
    <row r="201" spans="1:16" x14ac:dyDescent="0.3">
      <c r="A201" t="s">
        <v>21</v>
      </c>
      <c r="B201" t="s">
        <v>32</v>
      </c>
      <c r="C201">
        <v>10.7</v>
      </c>
      <c r="D201">
        <v>10</v>
      </c>
      <c r="E201">
        <v>820</v>
      </c>
      <c r="F201" t="s">
        <v>27</v>
      </c>
      <c r="G201">
        <v>289.425117</v>
      </c>
      <c r="H201" t="b">
        <v>0</v>
      </c>
      <c r="I201">
        <v>314.32851308771899</v>
      </c>
      <c r="J201">
        <v>-24.903396087719301</v>
      </c>
      <c r="K201">
        <v>-1.5947920682930801</v>
      </c>
      <c r="L201">
        <v>-1.43420015968638</v>
      </c>
      <c r="M201">
        <v>1.26285077039731</v>
      </c>
      <c r="N201">
        <v>-1.9180596222328701</v>
      </c>
      <c r="O201">
        <v>0.50877192982456099</v>
      </c>
      <c r="P201">
        <v>1.3170980444933</v>
      </c>
    </row>
    <row r="202" spans="1:16" x14ac:dyDescent="0.3">
      <c r="A202" t="s">
        <v>33</v>
      </c>
      <c r="B202" t="s">
        <v>22</v>
      </c>
      <c r="C202">
        <v>24.894309150000002</v>
      </c>
      <c r="D202">
        <v>2</v>
      </c>
      <c r="E202">
        <v>20</v>
      </c>
      <c r="F202" t="s">
        <v>23</v>
      </c>
      <c r="G202">
        <v>2266.0343079999998</v>
      </c>
      <c r="H202" t="b">
        <v>0</v>
      </c>
      <c r="I202">
        <v>2273.87081178571</v>
      </c>
      <c r="J202">
        <v>-7.8365037857143802</v>
      </c>
      <c r="K202">
        <v>-1.2775361475532401</v>
      </c>
      <c r="L202">
        <v>-1.3644887481703301</v>
      </c>
      <c r="M202">
        <v>1.1302814461687101</v>
      </c>
      <c r="N202">
        <v>-1.3922701408975999</v>
      </c>
      <c r="O202">
        <v>0.46428571428571502</v>
      </c>
      <c r="P202">
        <v>0.70724273026557805</v>
      </c>
    </row>
    <row r="203" spans="1:16" x14ac:dyDescent="0.3">
      <c r="A203" t="s">
        <v>33</v>
      </c>
      <c r="B203" t="s">
        <v>22</v>
      </c>
      <c r="C203">
        <v>24.894309150000002</v>
      </c>
      <c r="D203">
        <v>3</v>
      </c>
      <c r="E203">
        <v>165</v>
      </c>
      <c r="F203" t="s">
        <v>23</v>
      </c>
      <c r="G203">
        <v>2277.8532270000001</v>
      </c>
      <c r="H203" t="b">
        <v>0</v>
      </c>
      <c r="I203">
        <v>2280.2001107142901</v>
      </c>
      <c r="J203">
        <v>-2.3468837142858101</v>
      </c>
      <c r="K203">
        <v>-0.33133937787348</v>
      </c>
      <c r="L203">
        <v>0</v>
      </c>
      <c r="M203">
        <v>0.57562086295884096</v>
      </c>
      <c r="N203">
        <v>-0.29966712840802801</v>
      </c>
      <c r="O203">
        <v>0.28571428571428498</v>
      </c>
      <c r="P203">
        <v>2.1957156665917001E-2</v>
      </c>
    </row>
    <row r="204" spans="1:16" x14ac:dyDescent="0.3">
      <c r="A204" t="s">
        <v>33</v>
      </c>
      <c r="B204" t="s">
        <v>22</v>
      </c>
      <c r="C204">
        <v>24.894309150000002</v>
      </c>
      <c r="D204">
        <v>4</v>
      </c>
      <c r="E204">
        <v>310</v>
      </c>
      <c r="F204" t="s">
        <v>23</v>
      </c>
      <c r="G204">
        <v>2295.0999029999998</v>
      </c>
      <c r="H204" t="b">
        <v>0</v>
      </c>
      <c r="I204">
        <v>2286.5294096428602</v>
      </c>
      <c r="J204">
        <v>8.57049335714302</v>
      </c>
      <c r="K204">
        <v>1.12833584140445</v>
      </c>
      <c r="L204">
        <v>0.75829255699115194</v>
      </c>
      <c r="M204">
        <v>1.06223153850959</v>
      </c>
      <c r="N204">
        <v>1.1689527127317001</v>
      </c>
      <c r="O204">
        <v>0.17857142857142799</v>
      </c>
      <c r="P204">
        <v>0.13838497510846501</v>
      </c>
    </row>
    <row r="205" spans="1:16" x14ac:dyDescent="0.3">
      <c r="A205" t="s">
        <v>33</v>
      </c>
      <c r="B205" t="s">
        <v>22</v>
      </c>
      <c r="C205">
        <v>24.894309150000002</v>
      </c>
      <c r="D205">
        <v>5</v>
      </c>
      <c r="E205">
        <v>455</v>
      </c>
      <c r="F205" t="s">
        <v>23</v>
      </c>
      <c r="G205">
        <v>2305.2928860000002</v>
      </c>
      <c r="H205" t="b">
        <v>0</v>
      </c>
      <c r="I205">
        <v>2292.8587085714298</v>
      </c>
      <c r="J205">
        <v>12.4341774285715</v>
      </c>
      <c r="K205">
        <v>1.60253645725122</v>
      </c>
      <c r="L205">
        <v>1.3644887481703301</v>
      </c>
      <c r="M205">
        <v>1.2659132897837899</v>
      </c>
      <c r="N205">
        <v>2.05526165663272</v>
      </c>
      <c r="O205">
        <v>0.14285714285714299</v>
      </c>
      <c r="P205">
        <v>0.21401025806827501</v>
      </c>
    </row>
    <row r="206" spans="1:16" x14ac:dyDescent="0.3">
      <c r="A206" t="s">
        <v>33</v>
      </c>
      <c r="B206" t="s">
        <v>22</v>
      </c>
      <c r="C206">
        <v>24.894309150000002</v>
      </c>
      <c r="D206">
        <v>6</v>
      </c>
      <c r="E206">
        <v>600</v>
      </c>
      <c r="F206" t="s">
        <v>23</v>
      </c>
      <c r="G206">
        <v>2296.165074</v>
      </c>
      <c r="H206" t="b">
        <v>0</v>
      </c>
      <c r="I206">
        <v>2299.1880074999999</v>
      </c>
      <c r="J206">
        <v>-3.0229335000000002</v>
      </c>
      <c r="K206">
        <v>-0.39797991458559601</v>
      </c>
      <c r="L206">
        <v>-0.35293398612691601</v>
      </c>
      <c r="M206">
        <v>0.63085649286156598</v>
      </c>
      <c r="N206">
        <v>-0.36173968770783499</v>
      </c>
      <c r="O206">
        <v>0.17857142857142899</v>
      </c>
      <c r="P206">
        <v>1.7216088305821501E-2</v>
      </c>
    </row>
    <row r="207" spans="1:16" x14ac:dyDescent="0.3">
      <c r="A207" t="s">
        <v>33</v>
      </c>
      <c r="B207" t="s">
        <v>22</v>
      </c>
      <c r="C207">
        <v>24.894309150000002</v>
      </c>
      <c r="D207">
        <v>7</v>
      </c>
      <c r="E207">
        <v>745</v>
      </c>
      <c r="F207" t="s">
        <v>23</v>
      </c>
      <c r="G207">
        <v>2298.732109</v>
      </c>
      <c r="H207" t="b">
        <v>0</v>
      </c>
      <c r="I207">
        <v>2305.51730642857</v>
      </c>
      <c r="J207">
        <v>-6.7851974285713501</v>
      </c>
      <c r="K207">
        <v>-0.95795248867527905</v>
      </c>
      <c r="L207">
        <v>-0.75829255699115194</v>
      </c>
      <c r="M207">
        <v>0.97875047314178998</v>
      </c>
      <c r="N207">
        <v>-0.94824392586814399</v>
      </c>
      <c r="O207">
        <v>0.28571428571428598</v>
      </c>
      <c r="P207">
        <v>0.18353459411183201</v>
      </c>
    </row>
    <row r="208" spans="1:16" x14ac:dyDescent="0.3">
      <c r="A208" t="s">
        <v>33</v>
      </c>
      <c r="B208" t="s">
        <v>22</v>
      </c>
      <c r="C208">
        <v>24.894309150000002</v>
      </c>
      <c r="D208">
        <v>8</v>
      </c>
      <c r="E208">
        <v>890</v>
      </c>
      <c r="F208" t="s">
        <v>23</v>
      </c>
      <c r="G208">
        <v>2310.8334530000002</v>
      </c>
      <c r="H208" t="b">
        <v>0</v>
      </c>
      <c r="I208">
        <v>2311.8466053571401</v>
      </c>
      <c r="J208">
        <v>-1.0131523571430201</v>
      </c>
      <c r="K208">
        <v>-0.16516788540171601</v>
      </c>
      <c r="L208">
        <v>0.35293398612691701</v>
      </c>
      <c r="M208">
        <v>0.40640852033602298</v>
      </c>
      <c r="N208">
        <v>-0.14813532004826899</v>
      </c>
      <c r="O208">
        <v>0.46428571428571402</v>
      </c>
      <c r="P208">
        <v>1.18215198261655E-2</v>
      </c>
    </row>
    <row r="209" spans="1:16" x14ac:dyDescent="0.3">
      <c r="A209" t="s">
        <v>33</v>
      </c>
      <c r="B209" t="s">
        <v>22</v>
      </c>
      <c r="C209">
        <v>24.894309150000002</v>
      </c>
      <c r="D209">
        <v>2</v>
      </c>
      <c r="E209">
        <v>20</v>
      </c>
      <c r="F209" t="s">
        <v>25</v>
      </c>
      <c r="G209">
        <v>1.092436</v>
      </c>
      <c r="H209" t="b">
        <v>0</v>
      </c>
      <c r="I209">
        <v>0.44923371428571501</v>
      </c>
      <c r="J209">
        <v>0.64320228571428495</v>
      </c>
      <c r="K209">
        <v>0.36371431259029402</v>
      </c>
      <c r="L209">
        <v>0.75829255699115194</v>
      </c>
      <c r="M209">
        <v>0.60308731755053002</v>
      </c>
      <c r="N209">
        <v>0.32970683774555498</v>
      </c>
      <c r="O209">
        <v>0.46428571428571502</v>
      </c>
      <c r="P209">
        <v>5.7324843845979703E-2</v>
      </c>
    </row>
    <row r="210" spans="1:16" x14ac:dyDescent="0.3">
      <c r="A210" t="s">
        <v>33</v>
      </c>
      <c r="B210" t="s">
        <v>22</v>
      </c>
      <c r="C210">
        <v>24.894309150000002</v>
      </c>
      <c r="D210">
        <v>3</v>
      </c>
      <c r="E210">
        <v>165</v>
      </c>
      <c r="F210" t="s">
        <v>25</v>
      </c>
      <c r="G210">
        <v>1.026124</v>
      </c>
      <c r="H210" t="b">
        <v>0</v>
      </c>
      <c r="I210">
        <v>1.08306842857143</v>
      </c>
      <c r="J210">
        <v>-5.6944428571427598E-2</v>
      </c>
      <c r="K210">
        <v>-2.78865432348454E-2</v>
      </c>
      <c r="L210">
        <v>0</v>
      </c>
      <c r="M210">
        <v>0.16699264425370799</v>
      </c>
      <c r="N210">
        <v>-2.4944422433865399E-2</v>
      </c>
      <c r="O210">
        <v>0.28571428571428498</v>
      </c>
      <c r="P210">
        <v>1.5553185871778E-4</v>
      </c>
    </row>
    <row r="211" spans="1:16" x14ac:dyDescent="0.3">
      <c r="A211" t="s">
        <v>33</v>
      </c>
      <c r="B211" t="s">
        <v>22</v>
      </c>
      <c r="C211">
        <v>24.894309150000002</v>
      </c>
      <c r="D211">
        <v>4</v>
      </c>
      <c r="E211">
        <v>310</v>
      </c>
      <c r="F211" t="s">
        <v>25</v>
      </c>
      <c r="G211">
        <v>0.61604499999999995</v>
      </c>
      <c r="H211" t="b">
        <v>0</v>
      </c>
      <c r="I211">
        <v>1.71690314285714</v>
      </c>
      <c r="J211">
        <v>-1.10085814285714</v>
      </c>
      <c r="K211">
        <v>-0.50271967547888197</v>
      </c>
      <c r="L211">
        <v>-0.35293398612691601</v>
      </c>
      <c r="M211">
        <v>0.70902727414316202</v>
      </c>
      <c r="N211">
        <v>-0.46145969886688099</v>
      </c>
      <c r="O211">
        <v>0.17857142857142799</v>
      </c>
      <c r="P211">
        <v>2.74703339253905E-2</v>
      </c>
    </row>
    <row r="212" spans="1:16" x14ac:dyDescent="0.3">
      <c r="A212" t="s">
        <v>33</v>
      </c>
      <c r="B212" t="s">
        <v>22</v>
      </c>
      <c r="C212">
        <v>24.894309150000002</v>
      </c>
      <c r="D212">
        <v>5</v>
      </c>
      <c r="E212">
        <v>455</v>
      </c>
      <c r="F212" t="s">
        <v>25</v>
      </c>
      <c r="G212">
        <v>0.66634000000000004</v>
      </c>
      <c r="H212" t="b">
        <v>0</v>
      </c>
      <c r="I212">
        <v>2.3507378571428599</v>
      </c>
      <c r="J212">
        <v>-1.6843978571428599</v>
      </c>
      <c r="K212">
        <v>-0.75300437804689901</v>
      </c>
      <c r="L212">
        <v>-0.75829255699115194</v>
      </c>
      <c r="M212">
        <v>0.86775824861933704</v>
      </c>
      <c r="N212">
        <v>-0.71528545686220302</v>
      </c>
      <c r="O212">
        <v>0.14285714285714299</v>
      </c>
      <c r="P212">
        <v>4.7251299446483097E-2</v>
      </c>
    </row>
    <row r="213" spans="1:16" x14ac:dyDescent="0.3">
      <c r="A213" t="s">
        <v>33</v>
      </c>
      <c r="B213" t="s">
        <v>22</v>
      </c>
      <c r="C213">
        <v>24.894309150000002</v>
      </c>
      <c r="D213">
        <v>6</v>
      </c>
      <c r="E213">
        <v>600</v>
      </c>
      <c r="F213" t="s">
        <v>25</v>
      </c>
      <c r="G213">
        <v>7.2087770000000004</v>
      </c>
      <c r="H213" t="b">
        <v>0</v>
      </c>
      <c r="I213">
        <v>2.9845725714285698</v>
      </c>
      <c r="J213">
        <v>4.2242044285714302</v>
      </c>
      <c r="K213">
        <v>1.92903208580205</v>
      </c>
      <c r="L213">
        <v>1.3644887481703301</v>
      </c>
      <c r="M213">
        <v>1.388895995315</v>
      </c>
      <c r="N213">
        <v>3.4116318023424599</v>
      </c>
      <c r="O213">
        <v>0.17857142857142899</v>
      </c>
      <c r="P213">
        <v>0.404474433484109</v>
      </c>
    </row>
    <row r="214" spans="1:16" x14ac:dyDescent="0.3">
      <c r="A214" t="s">
        <v>33</v>
      </c>
      <c r="B214" t="s">
        <v>22</v>
      </c>
      <c r="C214">
        <v>24.894309150000002</v>
      </c>
      <c r="D214">
        <v>7</v>
      </c>
      <c r="E214">
        <v>745</v>
      </c>
      <c r="F214" t="s">
        <v>25</v>
      </c>
      <c r="G214">
        <v>1.052133</v>
      </c>
      <c r="H214" t="b">
        <v>0</v>
      </c>
      <c r="I214">
        <v>3.6184072857142899</v>
      </c>
      <c r="J214">
        <v>-2.5662742857142899</v>
      </c>
      <c r="K214">
        <v>-1.2567431198519701</v>
      </c>
      <c r="L214">
        <v>-1.3644887481703301</v>
      </c>
      <c r="M214">
        <v>1.12104554762595</v>
      </c>
      <c r="N214">
        <v>-1.3590191418570301</v>
      </c>
      <c r="O214">
        <v>0.28571428571428598</v>
      </c>
      <c r="P214">
        <v>0.31588065385905101</v>
      </c>
    </row>
    <row r="215" spans="1:16" x14ac:dyDescent="0.3">
      <c r="A215" t="s">
        <v>33</v>
      </c>
      <c r="B215" t="s">
        <v>22</v>
      </c>
      <c r="C215">
        <v>24.894309150000002</v>
      </c>
      <c r="D215">
        <v>8</v>
      </c>
      <c r="E215">
        <v>890</v>
      </c>
      <c r="F215" t="s">
        <v>25</v>
      </c>
      <c r="G215">
        <v>4.79331</v>
      </c>
      <c r="H215" t="b">
        <v>0</v>
      </c>
      <c r="I215">
        <v>4.2522419999999999</v>
      </c>
      <c r="J215">
        <v>0.54106799999999999</v>
      </c>
      <c r="K215">
        <v>0.30596000675909102</v>
      </c>
      <c r="L215">
        <v>0.35293398612691701</v>
      </c>
      <c r="M215">
        <v>0.55313651728944002</v>
      </c>
      <c r="N215">
        <v>0.27625725474375301</v>
      </c>
      <c r="O215">
        <v>0.46428571428571402</v>
      </c>
      <c r="P215">
        <v>4.05649944856099E-2</v>
      </c>
    </row>
    <row r="216" spans="1:16" x14ac:dyDescent="0.3">
      <c r="A216" t="s">
        <v>33</v>
      </c>
      <c r="B216" t="s">
        <v>22</v>
      </c>
      <c r="C216">
        <v>24.894309150000002</v>
      </c>
      <c r="D216">
        <v>2</v>
      </c>
      <c r="E216">
        <v>20</v>
      </c>
      <c r="F216" t="s">
        <v>26</v>
      </c>
      <c r="G216">
        <v>0.90377200000000002</v>
      </c>
      <c r="H216" t="b">
        <v>0</v>
      </c>
      <c r="I216">
        <v>0.82883121428571505</v>
      </c>
      <c r="J216">
        <v>7.4940785714284905E-2</v>
      </c>
      <c r="K216">
        <v>0.96120052266089395</v>
      </c>
      <c r="L216">
        <v>0.75829255699115194</v>
      </c>
      <c r="M216">
        <v>0.98040834485478201</v>
      </c>
      <c r="N216">
        <v>0.95218628605545497</v>
      </c>
      <c r="O216">
        <v>0.46428571428571502</v>
      </c>
      <c r="P216">
        <v>0.40035945939755002</v>
      </c>
    </row>
    <row r="217" spans="1:16" x14ac:dyDescent="0.3">
      <c r="A217" t="s">
        <v>33</v>
      </c>
      <c r="B217" t="s">
        <v>22</v>
      </c>
      <c r="C217">
        <v>24.894309150000002</v>
      </c>
      <c r="D217">
        <v>3</v>
      </c>
      <c r="E217">
        <v>165</v>
      </c>
      <c r="F217" t="s">
        <v>26</v>
      </c>
      <c r="G217">
        <v>1.3611850000000001</v>
      </c>
      <c r="H217" t="b">
        <v>0</v>
      </c>
      <c r="I217">
        <v>1.28292928571428</v>
      </c>
      <c r="J217">
        <v>7.8255714285715094E-2</v>
      </c>
      <c r="K217">
        <v>0.86924549328757295</v>
      </c>
      <c r="L217">
        <v>1.3644887481703301</v>
      </c>
      <c r="M217">
        <v>0.93233335952735996</v>
      </c>
      <c r="N217">
        <v>0.84384690639258197</v>
      </c>
      <c r="O217">
        <v>0.28571428571428498</v>
      </c>
      <c r="P217">
        <v>0.151117545520151</v>
      </c>
    </row>
    <row r="218" spans="1:16" x14ac:dyDescent="0.3">
      <c r="A218" t="s">
        <v>33</v>
      </c>
      <c r="B218" t="s">
        <v>22</v>
      </c>
      <c r="C218">
        <v>24.894309150000002</v>
      </c>
      <c r="D218">
        <v>4</v>
      </c>
      <c r="E218">
        <v>310</v>
      </c>
      <c r="F218" t="s">
        <v>26</v>
      </c>
      <c r="G218">
        <v>1.5360450000000001</v>
      </c>
      <c r="H218" t="b">
        <v>0</v>
      </c>
      <c r="I218">
        <v>1.7370273571428601</v>
      </c>
      <c r="J218">
        <v>-0.200982357142857</v>
      </c>
      <c r="K218">
        <v>-2.0817827378593998</v>
      </c>
      <c r="L218">
        <v>-1.3644887481703301</v>
      </c>
      <c r="M218">
        <v>1.4428384309614799</v>
      </c>
      <c r="N218">
        <v>-5.1011653081758297</v>
      </c>
      <c r="O218">
        <v>0.17857142857142799</v>
      </c>
      <c r="P218">
        <v>0.47106732257058298</v>
      </c>
    </row>
    <row r="219" spans="1:16" x14ac:dyDescent="0.3">
      <c r="A219" t="s">
        <v>33</v>
      </c>
      <c r="B219" t="s">
        <v>22</v>
      </c>
      <c r="C219">
        <v>24.894309150000002</v>
      </c>
      <c r="D219">
        <v>5</v>
      </c>
      <c r="E219">
        <v>455</v>
      </c>
      <c r="F219" t="s">
        <v>26</v>
      </c>
      <c r="G219">
        <v>2.1835469999999999</v>
      </c>
      <c r="H219" t="b">
        <v>0</v>
      </c>
      <c r="I219">
        <v>2.1911254285714299</v>
      </c>
      <c r="J219">
        <v>-7.5784285714285901E-3</v>
      </c>
      <c r="K219">
        <v>-7.6844878180460499E-2</v>
      </c>
      <c r="L219">
        <v>-0.35293398612691601</v>
      </c>
      <c r="M219">
        <v>0.277209087478135</v>
      </c>
      <c r="N219">
        <v>-6.8772771783764494E-2</v>
      </c>
      <c r="O219">
        <v>0.14285714285714299</v>
      </c>
      <c r="P219">
        <v>4.9209460854748399E-4</v>
      </c>
    </row>
    <row r="220" spans="1:16" x14ac:dyDescent="0.3">
      <c r="A220" t="s">
        <v>33</v>
      </c>
      <c r="B220" t="s">
        <v>22</v>
      </c>
      <c r="C220">
        <v>24.894309150000002</v>
      </c>
      <c r="D220">
        <v>6</v>
      </c>
      <c r="E220">
        <v>600</v>
      </c>
      <c r="F220" t="s">
        <v>26</v>
      </c>
      <c r="G220">
        <v>2.6423909999999999</v>
      </c>
      <c r="H220" t="b">
        <v>0</v>
      </c>
      <c r="I220">
        <v>2.6452235000000002</v>
      </c>
      <c r="J220">
        <v>-2.8325000000000299E-3</v>
      </c>
      <c r="K220">
        <v>-2.9339140453982698E-2</v>
      </c>
      <c r="L220">
        <v>0</v>
      </c>
      <c r="M220">
        <v>0.17128672001641801</v>
      </c>
      <c r="N220">
        <v>-2.6243984123057701E-2</v>
      </c>
      <c r="O220">
        <v>0.17857142857142899</v>
      </c>
      <c r="P220">
        <v>9.3563604628100501E-5</v>
      </c>
    </row>
    <row r="221" spans="1:16" x14ac:dyDescent="0.3">
      <c r="A221" t="s">
        <v>33</v>
      </c>
      <c r="B221" t="s">
        <v>22</v>
      </c>
      <c r="C221">
        <v>24.894309150000002</v>
      </c>
      <c r="D221">
        <v>7</v>
      </c>
      <c r="E221">
        <v>745</v>
      </c>
      <c r="F221" t="s">
        <v>26</v>
      </c>
      <c r="G221">
        <v>3.0907279999999999</v>
      </c>
      <c r="H221" t="b">
        <v>0</v>
      </c>
      <c r="I221">
        <v>3.09932157142857</v>
      </c>
      <c r="J221">
        <v>-8.5935714285716204E-3</v>
      </c>
      <c r="K221">
        <v>-9.5455307049625807E-2</v>
      </c>
      <c r="L221">
        <v>-0.75829255699115194</v>
      </c>
      <c r="M221">
        <v>0.30895842284946001</v>
      </c>
      <c r="N221">
        <v>-8.54557224812377E-2</v>
      </c>
      <c r="O221">
        <v>0.28571428571428598</v>
      </c>
      <c r="P221">
        <v>1.8223431287876699E-3</v>
      </c>
    </row>
    <row r="222" spans="1:16" x14ac:dyDescent="0.3">
      <c r="A222" t="s">
        <v>33</v>
      </c>
      <c r="B222" t="s">
        <v>22</v>
      </c>
      <c r="C222">
        <v>24.894309150000002</v>
      </c>
      <c r="D222">
        <v>8</v>
      </c>
      <c r="E222">
        <v>890</v>
      </c>
      <c r="F222" t="s">
        <v>26</v>
      </c>
      <c r="G222">
        <v>3.6202100000000002</v>
      </c>
      <c r="H222" t="b">
        <v>0</v>
      </c>
      <c r="I222">
        <v>3.5534196428571398</v>
      </c>
      <c r="J222">
        <v>6.6790357142857207E-2</v>
      </c>
      <c r="K222">
        <v>0.85666203766775695</v>
      </c>
      <c r="L222">
        <v>0.35293398612691701</v>
      </c>
      <c r="M222">
        <v>0.92556039115108901</v>
      </c>
      <c r="N222">
        <v>0.82951160655266998</v>
      </c>
      <c r="O222">
        <v>0.46428571428571402</v>
      </c>
      <c r="P222">
        <v>0.31801026693846501</v>
      </c>
    </row>
    <row r="223" spans="1:16" x14ac:dyDescent="0.3">
      <c r="A223" t="s">
        <v>33</v>
      </c>
      <c r="B223" t="s">
        <v>22</v>
      </c>
      <c r="C223">
        <v>24.894309150000002</v>
      </c>
      <c r="D223">
        <v>2</v>
      </c>
      <c r="E223">
        <v>20</v>
      </c>
      <c r="F223" t="s">
        <v>27</v>
      </c>
      <c r="G223">
        <v>0</v>
      </c>
      <c r="H223" t="b">
        <v>0</v>
      </c>
      <c r="I223">
        <v>5.2722964285714297E-2</v>
      </c>
      <c r="J223">
        <v>-5.2722964285714297E-2</v>
      </c>
      <c r="K223">
        <v>-0.23407421558812699</v>
      </c>
      <c r="L223">
        <v>-0.35293398612691601</v>
      </c>
      <c r="M223">
        <v>0.48381216973958702</v>
      </c>
      <c r="N223">
        <v>-0.210518969461434</v>
      </c>
      <c r="O223">
        <v>0.46428571428571502</v>
      </c>
      <c r="P223">
        <v>2.37426533080521E-2</v>
      </c>
    </row>
    <row r="224" spans="1:16" x14ac:dyDescent="0.3">
      <c r="A224" t="s">
        <v>33</v>
      </c>
      <c r="B224" t="s">
        <v>22</v>
      </c>
      <c r="C224">
        <v>24.894309150000002</v>
      </c>
      <c r="D224">
        <v>3</v>
      </c>
      <c r="E224">
        <v>165</v>
      </c>
      <c r="F224" t="s">
        <v>27</v>
      </c>
      <c r="G224">
        <v>0</v>
      </c>
      <c r="H224" t="b">
        <v>0</v>
      </c>
      <c r="I224">
        <v>0.286548928571428</v>
      </c>
      <c r="J224">
        <v>-0.286548928571428</v>
      </c>
      <c r="K224">
        <v>-1.10175029979129</v>
      </c>
      <c r="L224">
        <v>-0.75829255699115194</v>
      </c>
      <c r="M224">
        <v>1.04964293918994</v>
      </c>
      <c r="N224">
        <v>-1.1324381160869901</v>
      </c>
      <c r="O224">
        <v>0.28571428571428498</v>
      </c>
      <c r="P224">
        <v>0.24277074461803999</v>
      </c>
    </row>
    <row r="225" spans="1:16" x14ac:dyDescent="0.3">
      <c r="A225" t="s">
        <v>33</v>
      </c>
      <c r="B225" t="s">
        <v>22</v>
      </c>
      <c r="C225">
        <v>24.894309150000002</v>
      </c>
      <c r="D225">
        <v>4</v>
      </c>
      <c r="E225">
        <v>310</v>
      </c>
      <c r="F225" t="s">
        <v>27</v>
      </c>
      <c r="G225">
        <v>0.91836099999999998</v>
      </c>
      <c r="H225" t="b">
        <v>0</v>
      </c>
      <c r="I225">
        <v>0.520374892857143</v>
      </c>
      <c r="J225">
        <v>0.39798610714285698</v>
      </c>
      <c r="K225">
        <v>1.42693233787869</v>
      </c>
      <c r="L225">
        <v>1.3644887481703301</v>
      </c>
      <c r="M225">
        <v>1.1945427317089501</v>
      </c>
      <c r="N225">
        <v>1.6576934922537001</v>
      </c>
      <c r="O225">
        <v>0.17857142857142799</v>
      </c>
      <c r="P225">
        <v>0.22131911922651601</v>
      </c>
    </row>
    <row r="226" spans="1:16" x14ac:dyDescent="0.3">
      <c r="A226" t="s">
        <v>33</v>
      </c>
      <c r="B226" t="s">
        <v>22</v>
      </c>
      <c r="C226">
        <v>24.894309150000002</v>
      </c>
      <c r="D226">
        <v>5</v>
      </c>
      <c r="E226">
        <v>455</v>
      </c>
      <c r="F226" t="s">
        <v>27</v>
      </c>
      <c r="G226">
        <v>1.043085</v>
      </c>
      <c r="H226" t="b">
        <v>0</v>
      </c>
      <c r="I226">
        <v>0.75420085714285701</v>
      </c>
      <c r="J226">
        <v>0.28888414285714298</v>
      </c>
      <c r="K226">
        <v>1.0139521700566101</v>
      </c>
      <c r="L226">
        <v>0.75829255699115194</v>
      </c>
      <c r="M226">
        <v>1.0069519204294699</v>
      </c>
      <c r="N226">
        <v>1.01753242458879</v>
      </c>
      <c r="O226">
        <v>0.14285714285714299</v>
      </c>
      <c r="P226">
        <v>8.5674916930208303E-2</v>
      </c>
    </row>
    <row r="227" spans="1:16" x14ac:dyDescent="0.3">
      <c r="A227" t="s">
        <v>33</v>
      </c>
      <c r="B227" t="s">
        <v>22</v>
      </c>
      <c r="C227">
        <v>24.894309150000002</v>
      </c>
      <c r="D227">
        <v>6</v>
      </c>
      <c r="E227">
        <v>600</v>
      </c>
      <c r="F227" t="s">
        <v>27</v>
      </c>
      <c r="G227">
        <v>0.60853199999999996</v>
      </c>
      <c r="H227" t="b">
        <v>0</v>
      </c>
      <c r="I227">
        <v>0.98802682142857201</v>
      </c>
      <c r="J227">
        <v>-0.37949482142857199</v>
      </c>
      <c r="K227">
        <v>-1.3606340096679601</v>
      </c>
      <c r="L227">
        <v>-1.3644887481703301</v>
      </c>
      <c r="M227">
        <v>1.1664621766984</v>
      </c>
      <c r="N227">
        <v>-1.53358338081705</v>
      </c>
      <c r="O227">
        <v>0.17857142857142899</v>
      </c>
      <c r="P227">
        <v>0.20123096828968601</v>
      </c>
    </row>
    <row r="228" spans="1:16" x14ac:dyDescent="0.3">
      <c r="A228" t="s">
        <v>33</v>
      </c>
      <c r="B228" t="s">
        <v>22</v>
      </c>
      <c r="C228">
        <v>24.894309150000002</v>
      </c>
      <c r="D228">
        <v>7</v>
      </c>
      <c r="E228">
        <v>745</v>
      </c>
      <c r="F228" t="s">
        <v>27</v>
      </c>
      <c r="G228">
        <v>1.271328</v>
      </c>
      <c r="H228" t="b">
        <v>0</v>
      </c>
      <c r="I228">
        <v>1.22185278571429</v>
      </c>
      <c r="J228">
        <v>4.9475214285714199E-2</v>
      </c>
      <c r="K228">
        <v>0.190226962087337</v>
      </c>
      <c r="L228">
        <v>0.35293398612691701</v>
      </c>
      <c r="M228">
        <v>0.43615016002213802</v>
      </c>
      <c r="N228">
        <v>0.170763218299402</v>
      </c>
      <c r="O228">
        <v>0.28571428571428598</v>
      </c>
      <c r="P228">
        <v>7.2372594209954098E-3</v>
      </c>
    </row>
    <row r="229" spans="1:16" x14ac:dyDescent="0.3">
      <c r="A229" t="s">
        <v>33</v>
      </c>
      <c r="B229" t="s">
        <v>22</v>
      </c>
      <c r="C229">
        <v>24.894309150000002</v>
      </c>
      <c r="D229">
        <v>8</v>
      </c>
      <c r="E229">
        <v>890</v>
      </c>
      <c r="F229" t="s">
        <v>27</v>
      </c>
      <c r="G229">
        <v>1.4380999999999999</v>
      </c>
      <c r="H229" t="b">
        <v>0</v>
      </c>
      <c r="I229">
        <v>1.4556787499999999</v>
      </c>
      <c r="J229">
        <v>-1.75787499999999E-2</v>
      </c>
      <c r="K229">
        <v>-7.8044400063914596E-2</v>
      </c>
      <c r="L229">
        <v>0</v>
      </c>
      <c r="M229">
        <v>0.27936427843214801</v>
      </c>
      <c r="N229">
        <v>-6.9847590153783501E-2</v>
      </c>
      <c r="O229">
        <v>0.46428571428571402</v>
      </c>
      <c r="P229">
        <v>2.6394022985790902E-3</v>
      </c>
    </row>
    <row r="230" spans="1:16" x14ac:dyDescent="0.3">
      <c r="A230" t="s">
        <v>33</v>
      </c>
      <c r="B230" t="s">
        <v>28</v>
      </c>
      <c r="C230">
        <v>17.926928100000001</v>
      </c>
      <c r="D230">
        <v>2</v>
      </c>
      <c r="E230">
        <v>20</v>
      </c>
      <c r="F230" t="s">
        <v>23</v>
      </c>
      <c r="G230">
        <v>2283.4771839999999</v>
      </c>
      <c r="H230" t="b">
        <v>0</v>
      </c>
      <c r="I230">
        <v>2274.4917998000001</v>
      </c>
      <c r="J230">
        <v>8.9853842000003308</v>
      </c>
      <c r="K230">
        <v>1.15854260482617</v>
      </c>
      <c r="L230">
        <v>0.49720057068155399</v>
      </c>
      <c r="M230">
        <v>1.07635617005997</v>
      </c>
      <c r="N230">
        <v>1.2725172725984399</v>
      </c>
      <c r="O230">
        <v>0.6</v>
      </c>
      <c r="P230">
        <v>1.00666572539805</v>
      </c>
    </row>
    <row r="231" spans="1:16" x14ac:dyDescent="0.3">
      <c r="A231" t="s">
        <v>33</v>
      </c>
      <c r="B231" t="s">
        <v>28</v>
      </c>
      <c r="C231">
        <v>17.926928100000001</v>
      </c>
      <c r="D231">
        <v>3</v>
      </c>
      <c r="E231">
        <v>165</v>
      </c>
      <c r="F231" t="s">
        <v>23</v>
      </c>
      <c r="G231">
        <v>2268.3183490000001</v>
      </c>
      <c r="H231" t="b">
        <v>0</v>
      </c>
      <c r="I231">
        <v>2279.9021428000001</v>
      </c>
      <c r="J231">
        <v>-11.5837938000004</v>
      </c>
      <c r="K231">
        <v>-1.1290343407797401</v>
      </c>
      <c r="L231">
        <v>-1.1797611176118601</v>
      </c>
      <c r="M231">
        <v>1.0625602763042401</v>
      </c>
      <c r="N231">
        <v>-1.2156041445808901</v>
      </c>
      <c r="O231">
        <v>0.3</v>
      </c>
      <c r="P231">
        <v>0.27315397342712899</v>
      </c>
    </row>
    <row r="232" spans="1:16" x14ac:dyDescent="0.3">
      <c r="A232" t="s">
        <v>33</v>
      </c>
      <c r="B232" t="s">
        <v>28</v>
      </c>
      <c r="C232">
        <v>17.926928100000001</v>
      </c>
      <c r="D232">
        <v>4</v>
      </c>
      <c r="E232">
        <v>310</v>
      </c>
      <c r="F232" t="s">
        <v>23</v>
      </c>
      <c r="G232">
        <v>2278.136297</v>
      </c>
      <c r="H232" t="b">
        <v>0</v>
      </c>
      <c r="I232">
        <v>2285.3124858000001</v>
      </c>
      <c r="J232">
        <v>-7.1761887999999603</v>
      </c>
      <c r="K232">
        <v>-0.65426579523454098</v>
      </c>
      <c r="L232">
        <v>-0.49720057068155399</v>
      </c>
      <c r="M232">
        <v>0.80886698241091604</v>
      </c>
      <c r="N232">
        <v>-0.57695124193204095</v>
      </c>
      <c r="O232">
        <v>0.2</v>
      </c>
      <c r="P232">
        <v>5.35079663517357E-2</v>
      </c>
    </row>
    <row r="233" spans="1:16" x14ac:dyDescent="0.3">
      <c r="A233" t="s">
        <v>33</v>
      </c>
      <c r="B233" t="s">
        <v>28</v>
      </c>
      <c r="C233">
        <v>17.926928100000001</v>
      </c>
      <c r="D233">
        <v>5</v>
      </c>
      <c r="E233">
        <v>455</v>
      </c>
      <c r="F233" t="s">
        <v>23</v>
      </c>
      <c r="G233">
        <v>2303.8850510000002</v>
      </c>
      <c r="H233" t="b">
        <v>0</v>
      </c>
      <c r="I233">
        <v>2290.7228288000001</v>
      </c>
      <c r="J233">
        <v>13.162222199999899</v>
      </c>
      <c r="K233">
        <v>1.28287857340596</v>
      </c>
      <c r="L233">
        <v>1.1797611176118601</v>
      </c>
      <c r="M233">
        <v>1.1326422971997601</v>
      </c>
      <c r="N233">
        <v>1.5590337836900701</v>
      </c>
      <c r="O233">
        <v>0.3</v>
      </c>
      <c r="P233">
        <v>0.35266659302230802</v>
      </c>
    </row>
    <row r="234" spans="1:16" x14ac:dyDescent="0.3">
      <c r="A234" t="s">
        <v>33</v>
      </c>
      <c r="B234" t="s">
        <v>28</v>
      </c>
      <c r="C234">
        <v>17.926928100000001</v>
      </c>
      <c r="D234">
        <v>6</v>
      </c>
      <c r="E234">
        <v>600</v>
      </c>
      <c r="F234" t="s">
        <v>23</v>
      </c>
      <c r="G234">
        <v>2292.7455479999999</v>
      </c>
      <c r="H234" t="b">
        <v>0</v>
      </c>
      <c r="I234">
        <v>2296.1331718000001</v>
      </c>
      <c r="J234">
        <v>-3.3876237999998402</v>
      </c>
      <c r="K234">
        <v>-0.436787833893936</v>
      </c>
      <c r="L234">
        <v>0</v>
      </c>
      <c r="M234">
        <v>0.66089926153229706</v>
      </c>
      <c r="N234">
        <v>-0.36854704584925202</v>
      </c>
      <c r="O234">
        <v>0.6</v>
      </c>
      <c r="P234">
        <v>0.14308770887831701</v>
      </c>
    </row>
    <row r="235" spans="1:16" x14ac:dyDescent="0.3">
      <c r="A235" t="s">
        <v>33</v>
      </c>
      <c r="B235" t="s">
        <v>28</v>
      </c>
      <c r="C235">
        <v>17.926928100000001</v>
      </c>
      <c r="D235">
        <v>2</v>
      </c>
      <c r="E235">
        <v>20</v>
      </c>
      <c r="F235" t="s">
        <v>25</v>
      </c>
      <c r="G235">
        <v>1.552578</v>
      </c>
      <c r="H235" t="b">
        <v>0</v>
      </c>
      <c r="I235">
        <v>0.75823580000000002</v>
      </c>
      <c r="J235">
        <v>0.7943422</v>
      </c>
      <c r="K235">
        <v>1.13771859725706</v>
      </c>
      <c r="L235">
        <v>0.49720057068155399</v>
      </c>
      <c r="M235">
        <v>1.06663892543684</v>
      </c>
      <c r="N235">
        <v>1.2320028726990699</v>
      </c>
      <c r="O235">
        <v>0.6</v>
      </c>
      <c r="P235">
        <v>0.97080270490842602</v>
      </c>
    </row>
    <row r="236" spans="1:16" x14ac:dyDescent="0.3">
      <c r="A236" t="s">
        <v>33</v>
      </c>
      <c r="B236" t="s">
        <v>28</v>
      </c>
      <c r="C236">
        <v>17.926928100000001</v>
      </c>
      <c r="D236">
        <v>3</v>
      </c>
      <c r="E236">
        <v>165</v>
      </c>
      <c r="F236" t="s">
        <v>25</v>
      </c>
      <c r="G236">
        <v>0.96409999999999996</v>
      </c>
      <c r="H236" t="b">
        <v>0</v>
      </c>
      <c r="I236">
        <v>1.153376</v>
      </c>
      <c r="J236">
        <v>-0.189276</v>
      </c>
      <c r="K236">
        <v>-0.204929153829393</v>
      </c>
      <c r="L236">
        <v>0</v>
      </c>
      <c r="M236">
        <v>0.45269101363887498</v>
      </c>
      <c r="N236">
        <v>-0.16850754955193001</v>
      </c>
      <c r="O236">
        <v>0.3</v>
      </c>
      <c r="P236">
        <v>8.9991338762637398E-3</v>
      </c>
    </row>
    <row r="237" spans="1:16" x14ac:dyDescent="0.3">
      <c r="A237" t="s">
        <v>33</v>
      </c>
      <c r="B237" t="s">
        <v>28</v>
      </c>
      <c r="C237">
        <v>17.926928100000001</v>
      </c>
      <c r="D237">
        <v>4</v>
      </c>
      <c r="E237">
        <v>310</v>
      </c>
      <c r="F237" t="s">
        <v>25</v>
      </c>
      <c r="G237">
        <v>0.72278900000000001</v>
      </c>
      <c r="H237" t="b">
        <v>0</v>
      </c>
      <c r="I237">
        <v>1.5485161999999999</v>
      </c>
      <c r="J237">
        <v>-0.82572719999999999</v>
      </c>
      <c r="K237">
        <v>-0.83627442379980899</v>
      </c>
      <c r="L237">
        <v>-0.49720057068155399</v>
      </c>
      <c r="M237">
        <v>0.91448041192789298</v>
      </c>
      <c r="N237">
        <v>-0.77972058354852303</v>
      </c>
      <c r="O237">
        <v>0.2</v>
      </c>
      <c r="P237">
        <v>8.74193639877128E-2</v>
      </c>
    </row>
    <row r="238" spans="1:16" x14ac:dyDescent="0.3">
      <c r="A238" t="s">
        <v>33</v>
      </c>
      <c r="B238" t="s">
        <v>28</v>
      </c>
      <c r="C238">
        <v>17.926928100000001</v>
      </c>
      <c r="D238">
        <v>5</v>
      </c>
      <c r="E238">
        <v>455</v>
      </c>
      <c r="F238" t="s">
        <v>25</v>
      </c>
      <c r="G238">
        <v>0.98556999999999995</v>
      </c>
      <c r="H238" t="b">
        <v>0</v>
      </c>
      <c r="I238">
        <v>1.9436564000000001</v>
      </c>
      <c r="J238">
        <v>-0.9580864</v>
      </c>
      <c r="K238">
        <v>-1.0373202901976399</v>
      </c>
      <c r="L238">
        <v>-1.1797611176118601</v>
      </c>
      <c r="M238">
        <v>1.0184892194803301</v>
      </c>
      <c r="N238">
        <v>-1.0576186602098101</v>
      </c>
      <c r="O238">
        <v>0.3</v>
      </c>
      <c r="P238">
        <v>0.23057858238336901</v>
      </c>
    </row>
    <row r="239" spans="1:16" x14ac:dyDescent="0.3">
      <c r="A239" t="s">
        <v>33</v>
      </c>
      <c r="B239" t="s">
        <v>28</v>
      </c>
      <c r="C239">
        <v>17.926928100000001</v>
      </c>
      <c r="D239">
        <v>6</v>
      </c>
      <c r="E239">
        <v>600</v>
      </c>
      <c r="F239" t="s">
        <v>25</v>
      </c>
      <c r="G239">
        <v>3.517544</v>
      </c>
      <c r="H239" t="b">
        <v>0</v>
      </c>
      <c r="I239">
        <v>2.3387965999999998</v>
      </c>
      <c r="J239">
        <v>1.1787474</v>
      </c>
      <c r="K239">
        <v>1.6882935823482701</v>
      </c>
      <c r="L239">
        <v>1.1797611176118601</v>
      </c>
      <c r="M239">
        <v>1.2993435197623</v>
      </c>
      <c r="N239">
        <v>6.1716766177293003</v>
      </c>
      <c r="O239">
        <v>0.6</v>
      </c>
      <c r="P239">
        <v>2.13775141514876</v>
      </c>
    </row>
    <row r="240" spans="1:16" x14ac:dyDescent="0.3">
      <c r="A240" t="s">
        <v>33</v>
      </c>
      <c r="B240" t="s">
        <v>28</v>
      </c>
      <c r="C240">
        <v>17.926928100000001</v>
      </c>
      <c r="D240">
        <v>2</v>
      </c>
      <c r="E240">
        <v>20</v>
      </c>
      <c r="F240" t="s">
        <v>26</v>
      </c>
      <c r="G240">
        <v>0.84448299999999998</v>
      </c>
      <c r="H240" t="b">
        <v>0</v>
      </c>
      <c r="I240">
        <v>0.76653139999999997</v>
      </c>
      <c r="J240">
        <v>7.7951600000000107E-2</v>
      </c>
      <c r="K240">
        <v>0.97048973587563303</v>
      </c>
      <c r="L240">
        <v>0.49720057068155399</v>
      </c>
      <c r="M240">
        <v>0.98513437452747199</v>
      </c>
      <c r="N240">
        <v>0.95668170142161502</v>
      </c>
      <c r="O240">
        <v>0.6</v>
      </c>
      <c r="P240">
        <v>0.70638774557996598</v>
      </c>
    </row>
    <row r="241" spans="1:16" x14ac:dyDescent="0.3">
      <c r="A241" t="s">
        <v>33</v>
      </c>
      <c r="B241" t="s">
        <v>28</v>
      </c>
      <c r="C241">
        <v>17.926928100000001</v>
      </c>
      <c r="D241">
        <v>3</v>
      </c>
      <c r="E241">
        <v>165</v>
      </c>
      <c r="F241" t="s">
        <v>26</v>
      </c>
      <c r="G241">
        <v>1.956353</v>
      </c>
      <c r="H241" t="b">
        <v>0</v>
      </c>
      <c r="I241">
        <v>2.0124784</v>
      </c>
      <c r="J241">
        <v>-5.6125399999999798E-2</v>
      </c>
      <c r="K241">
        <v>-0.52820965786451202</v>
      </c>
      <c r="L241">
        <v>-0.49720057068155399</v>
      </c>
      <c r="M241">
        <v>0.72678033673491205</v>
      </c>
      <c r="N241">
        <v>-0.45285326046878199</v>
      </c>
      <c r="O241">
        <v>0.3</v>
      </c>
      <c r="P241">
        <v>5.9786880570288102E-2</v>
      </c>
    </row>
    <row r="242" spans="1:16" x14ac:dyDescent="0.3">
      <c r="A242" t="s">
        <v>33</v>
      </c>
      <c r="B242" t="s">
        <v>28</v>
      </c>
      <c r="C242">
        <v>17.926928100000001</v>
      </c>
      <c r="D242">
        <v>4</v>
      </c>
      <c r="E242">
        <v>310</v>
      </c>
      <c r="F242" t="s">
        <v>26</v>
      </c>
      <c r="G242">
        <v>3.1177670000000002</v>
      </c>
      <c r="H242" t="b">
        <v>0</v>
      </c>
      <c r="I242">
        <v>3.2584254000000001</v>
      </c>
      <c r="J242">
        <v>-0.14065840000000099</v>
      </c>
      <c r="K242">
        <v>-1.2382735260845401</v>
      </c>
      <c r="L242">
        <v>-1.1797611176118601</v>
      </c>
      <c r="M242">
        <v>1.1127773928708899</v>
      </c>
      <c r="N242">
        <v>-1.4459860296648599</v>
      </c>
      <c r="O242">
        <v>0.2</v>
      </c>
      <c r="P242">
        <v>0.19166516567522901</v>
      </c>
    </row>
    <row r="243" spans="1:16" x14ac:dyDescent="0.3">
      <c r="A243" t="s">
        <v>33</v>
      </c>
      <c r="B243" t="s">
        <v>28</v>
      </c>
      <c r="C243">
        <v>17.926928100000001</v>
      </c>
      <c r="D243">
        <v>5</v>
      </c>
      <c r="E243">
        <v>455</v>
      </c>
      <c r="F243" t="s">
        <v>26</v>
      </c>
      <c r="G243">
        <v>4.6422590000000001</v>
      </c>
      <c r="H243" t="b">
        <v>0</v>
      </c>
      <c r="I243">
        <v>4.5043724000000003</v>
      </c>
      <c r="J243">
        <v>0.1378866</v>
      </c>
      <c r="K243">
        <v>1.2976840042138</v>
      </c>
      <c r="L243">
        <v>1.1797611176118601</v>
      </c>
      <c r="M243">
        <v>1.1391593410115199</v>
      </c>
      <c r="N243">
        <v>1.5997544515706299</v>
      </c>
      <c r="O243">
        <v>0.3</v>
      </c>
      <c r="P243">
        <v>0.36085366602693297</v>
      </c>
    </row>
    <row r="244" spans="1:16" x14ac:dyDescent="0.3">
      <c r="A244" t="s">
        <v>33</v>
      </c>
      <c r="B244" t="s">
        <v>28</v>
      </c>
      <c r="C244">
        <v>17.926928100000001</v>
      </c>
      <c r="D244">
        <v>6</v>
      </c>
      <c r="E244">
        <v>600</v>
      </c>
      <c r="F244" t="s">
        <v>26</v>
      </c>
      <c r="G244">
        <v>5.7312649999999996</v>
      </c>
      <c r="H244" t="b">
        <v>0</v>
      </c>
      <c r="I244">
        <v>5.7503194000000004</v>
      </c>
      <c r="J244">
        <v>-1.9054399999999701E-2</v>
      </c>
      <c r="K244">
        <v>-0.23722540170141901</v>
      </c>
      <c r="L244">
        <v>0</v>
      </c>
      <c r="M244">
        <v>0.48705790384862802</v>
      </c>
      <c r="N244">
        <v>-0.19553640946533099</v>
      </c>
      <c r="O244">
        <v>0.6</v>
      </c>
      <c r="P244">
        <v>4.2206918409299798E-2</v>
      </c>
    </row>
    <row r="245" spans="1:16" x14ac:dyDescent="0.3">
      <c r="A245" t="s">
        <v>33</v>
      </c>
      <c r="B245" t="s">
        <v>28</v>
      </c>
      <c r="C245">
        <v>17.926928100000001</v>
      </c>
      <c r="D245">
        <v>2</v>
      </c>
      <c r="E245">
        <v>20</v>
      </c>
      <c r="F245" t="s">
        <v>27</v>
      </c>
      <c r="G245">
        <v>0</v>
      </c>
      <c r="H245" t="b">
        <v>0</v>
      </c>
      <c r="I245">
        <v>-0.28071279999999998</v>
      </c>
      <c r="J245">
        <v>0.28071279999999998</v>
      </c>
      <c r="K245">
        <v>1.2872464821076299</v>
      </c>
      <c r="L245">
        <v>1.1797611176118601</v>
      </c>
      <c r="M245">
        <v>1.13456885296029</v>
      </c>
      <c r="N245">
        <v>1.5708664777097101</v>
      </c>
      <c r="O245">
        <v>0.6</v>
      </c>
      <c r="P245">
        <v>1.24275262927385</v>
      </c>
    </row>
    <row r="246" spans="1:16" x14ac:dyDescent="0.3">
      <c r="A246" t="s">
        <v>33</v>
      </c>
      <c r="B246" t="s">
        <v>28</v>
      </c>
      <c r="C246">
        <v>17.926928100000001</v>
      </c>
      <c r="D246">
        <v>3</v>
      </c>
      <c r="E246">
        <v>165</v>
      </c>
      <c r="F246" t="s">
        <v>27</v>
      </c>
      <c r="G246">
        <v>0</v>
      </c>
      <c r="H246" t="b">
        <v>0</v>
      </c>
      <c r="I246">
        <v>9.6658599999999803E-2</v>
      </c>
      <c r="J246">
        <v>-9.6658599999999803E-2</v>
      </c>
      <c r="K246">
        <v>-0.33505875751825098</v>
      </c>
      <c r="L246">
        <v>-0.49720057068155399</v>
      </c>
      <c r="M246">
        <v>0.57884260167877299</v>
      </c>
      <c r="N246">
        <v>-0.27884140085781101</v>
      </c>
      <c r="O246">
        <v>0.3</v>
      </c>
      <c r="P246">
        <v>2.40566509263587E-2</v>
      </c>
    </row>
    <row r="247" spans="1:16" x14ac:dyDescent="0.3">
      <c r="A247" t="s">
        <v>33</v>
      </c>
      <c r="B247" t="s">
        <v>28</v>
      </c>
      <c r="C247">
        <v>17.926928100000001</v>
      </c>
      <c r="D247">
        <v>4</v>
      </c>
      <c r="E247">
        <v>310</v>
      </c>
      <c r="F247" t="s">
        <v>27</v>
      </c>
      <c r="G247">
        <v>0</v>
      </c>
      <c r="H247" t="b">
        <v>0</v>
      </c>
      <c r="I247">
        <v>0.47403000000000001</v>
      </c>
      <c r="J247">
        <v>-0.47403000000000001</v>
      </c>
      <c r="K247">
        <v>-1.5370582540925599</v>
      </c>
      <c r="L247">
        <v>-1.1797611176118601</v>
      </c>
      <c r="M247">
        <v>1.23978153482481</v>
      </c>
      <c r="N247">
        <v>-2.72258600212407</v>
      </c>
      <c r="O247">
        <v>0.2</v>
      </c>
      <c r="P247">
        <v>0.29531850955925998</v>
      </c>
    </row>
    <row r="248" spans="1:16" x14ac:dyDescent="0.3">
      <c r="A248" t="s">
        <v>33</v>
      </c>
      <c r="B248" t="s">
        <v>28</v>
      </c>
      <c r="C248">
        <v>17.926928100000001</v>
      </c>
      <c r="D248">
        <v>5</v>
      </c>
      <c r="E248">
        <v>455</v>
      </c>
      <c r="F248" t="s">
        <v>27</v>
      </c>
      <c r="G248">
        <v>0.96658599999999995</v>
      </c>
      <c r="H248" t="b">
        <v>0</v>
      </c>
      <c r="I248">
        <v>0.85140139999999997</v>
      </c>
      <c r="J248">
        <v>0.1151846</v>
      </c>
      <c r="K248">
        <v>0.39927754965659301</v>
      </c>
      <c r="L248">
        <v>0</v>
      </c>
      <c r="M248">
        <v>0.63188412676423</v>
      </c>
      <c r="N248">
        <v>0.33503221825127899</v>
      </c>
      <c r="O248">
        <v>0.3</v>
      </c>
      <c r="P248">
        <v>3.4161977498522803E-2</v>
      </c>
    </row>
    <row r="249" spans="1:16" x14ac:dyDescent="0.3">
      <c r="A249" t="s">
        <v>33</v>
      </c>
      <c r="B249" t="s">
        <v>28</v>
      </c>
      <c r="C249">
        <v>17.926928100000001</v>
      </c>
      <c r="D249">
        <v>6</v>
      </c>
      <c r="E249">
        <v>600</v>
      </c>
      <c r="F249" t="s">
        <v>27</v>
      </c>
      <c r="G249">
        <v>1.403564</v>
      </c>
      <c r="H249" t="b">
        <v>0</v>
      </c>
      <c r="I249">
        <v>1.2287728</v>
      </c>
      <c r="J249">
        <v>0.17479120000000001</v>
      </c>
      <c r="K249">
        <v>0.80152867024008501</v>
      </c>
      <c r="L249">
        <v>0.49720057068155399</v>
      </c>
      <c r="M249">
        <v>0.895281335804609</v>
      </c>
      <c r="N249">
        <v>0.73824997039194795</v>
      </c>
      <c r="O249">
        <v>0.6</v>
      </c>
      <c r="P249">
        <v>0.48183615691262899</v>
      </c>
    </row>
    <row r="250" spans="1:16" x14ac:dyDescent="0.3">
      <c r="A250" t="s">
        <v>33</v>
      </c>
      <c r="B250" t="s">
        <v>30</v>
      </c>
      <c r="C250">
        <v>22.291845500000001</v>
      </c>
      <c r="D250">
        <v>2</v>
      </c>
      <c r="E250">
        <v>20</v>
      </c>
      <c r="F250" t="s">
        <v>23</v>
      </c>
      <c r="G250">
        <v>2268.8122389999999</v>
      </c>
      <c r="H250" t="b">
        <v>0</v>
      </c>
      <c r="I250">
        <v>2279.0385526222199</v>
      </c>
      <c r="J250">
        <v>-10.2263136222229</v>
      </c>
      <c r="K250">
        <v>-0.89079806354759095</v>
      </c>
      <c r="L250">
        <v>-0.93197131234318997</v>
      </c>
      <c r="M250">
        <v>0.94382099126242702</v>
      </c>
      <c r="N250">
        <v>-0.87585507544362096</v>
      </c>
      <c r="O250">
        <v>0.37777777777777799</v>
      </c>
      <c r="P250">
        <v>0.24089036125611299</v>
      </c>
    </row>
    <row r="251" spans="1:16" x14ac:dyDescent="0.3">
      <c r="A251" t="s">
        <v>33</v>
      </c>
      <c r="B251" t="s">
        <v>30</v>
      </c>
      <c r="C251">
        <v>22.291845500000001</v>
      </c>
      <c r="D251">
        <v>3</v>
      </c>
      <c r="E251">
        <v>165</v>
      </c>
      <c r="F251" t="s">
        <v>23</v>
      </c>
      <c r="G251">
        <v>2281.3867369999998</v>
      </c>
      <c r="H251" t="b">
        <v>0</v>
      </c>
      <c r="I251">
        <v>2284.4554255222201</v>
      </c>
      <c r="J251">
        <v>-3.0686885222216498</v>
      </c>
      <c r="K251">
        <v>-0.24529921391234499</v>
      </c>
      <c r="L251">
        <v>-0.27439148786003698</v>
      </c>
      <c r="M251">
        <v>0.49527690629823001</v>
      </c>
      <c r="N251">
        <v>-0.22808536454931599</v>
      </c>
      <c r="O251">
        <v>0.26111111111111102</v>
      </c>
      <c r="P251">
        <v>1.06318424972281E-2</v>
      </c>
    </row>
    <row r="252" spans="1:16" x14ac:dyDescent="0.3">
      <c r="A252" t="s">
        <v>33</v>
      </c>
      <c r="B252" t="s">
        <v>30</v>
      </c>
      <c r="C252">
        <v>22.291845500000001</v>
      </c>
      <c r="D252">
        <v>4</v>
      </c>
      <c r="E252">
        <v>310</v>
      </c>
      <c r="F252" t="s">
        <v>23</v>
      </c>
      <c r="G252">
        <v>2294.9900210000001</v>
      </c>
      <c r="H252" t="b">
        <v>0</v>
      </c>
      <c r="I252">
        <v>2289.87229842222</v>
      </c>
      <c r="J252">
        <v>5.1177225777776103</v>
      </c>
      <c r="K252">
        <v>0.38780646983040401</v>
      </c>
      <c r="L252">
        <v>0.57163752516508604</v>
      </c>
      <c r="M252">
        <v>0.62274109373832398</v>
      </c>
      <c r="N252">
        <v>0.36295925549710401</v>
      </c>
      <c r="O252">
        <v>0.17777777777777801</v>
      </c>
      <c r="P252">
        <v>1.6258795464034598E-2</v>
      </c>
    </row>
    <row r="253" spans="1:16" x14ac:dyDescent="0.3">
      <c r="A253" t="s">
        <v>33</v>
      </c>
      <c r="B253" t="s">
        <v>30</v>
      </c>
      <c r="C253">
        <v>22.291845500000001</v>
      </c>
      <c r="D253">
        <v>5</v>
      </c>
      <c r="E253">
        <v>455</v>
      </c>
      <c r="F253" t="s">
        <v>23</v>
      </c>
      <c r="G253">
        <v>2295.5887069999999</v>
      </c>
      <c r="H253" t="b">
        <v>0</v>
      </c>
      <c r="I253">
        <v>2295.2891713222202</v>
      </c>
      <c r="J253">
        <v>0.29953567777780199</v>
      </c>
      <c r="K253">
        <v>2.2037782907171E-2</v>
      </c>
      <c r="L253">
        <v>0.27439148786003698</v>
      </c>
      <c r="M253">
        <v>0.14845128125809801</v>
      </c>
      <c r="N253">
        <v>2.0403730193208899E-2</v>
      </c>
      <c r="O253">
        <v>0.12777777777777799</v>
      </c>
      <c r="P253">
        <v>3.5574105527588501E-5</v>
      </c>
    </row>
    <row r="254" spans="1:16" x14ac:dyDescent="0.3">
      <c r="A254" t="s">
        <v>33</v>
      </c>
      <c r="B254" t="s">
        <v>30</v>
      </c>
      <c r="C254">
        <v>22.291845500000001</v>
      </c>
      <c r="D254">
        <v>6</v>
      </c>
      <c r="E254">
        <v>600</v>
      </c>
      <c r="F254" t="s">
        <v>23</v>
      </c>
      <c r="G254">
        <v>2298.8780099999999</v>
      </c>
      <c r="H254" t="b">
        <v>0</v>
      </c>
      <c r="I254">
        <v>2300.70604422222</v>
      </c>
      <c r="J254">
        <v>-1.82803422222181</v>
      </c>
      <c r="K254">
        <v>-0.13322738342854801</v>
      </c>
      <c r="L254">
        <v>0</v>
      </c>
      <c r="M254">
        <v>0.36500326495601099</v>
      </c>
      <c r="N254">
        <v>-0.123501266668105</v>
      </c>
      <c r="O254">
        <v>0.11111111111111099</v>
      </c>
      <c r="P254">
        <v>1.10934598095109E-3</v>
      </c>
    </row>
    <row r="255" spans="1:16" x14ac:dyDescent="0.3">
      <c r="A255" t="s">
        <v>33</v>
      </c>
      <c r="B255" t="s">
        <v>30</v>
      </c>
      <c r="C255">
        <v>22.291845500000001</v>
      </c>
      <c r="D255">
        <v>7</v>
      </c>
      <c r="E255">
        <v>745</v>
      </c>
      <c r="F255" t="s">
        <v>23</v>
      </c>
      <c r="G255">
        <v>2325.5898659999998</v>
      </c>
      <c r="H255" t="b">
        <v>0</v>
      </c>
      <c r="I255">
        <v>2306.1229171222199</v>
      </c>
      <c r="J255">
        <v>19.466948877778002</v>
      </c>
      <c r="K255">
        <v>1.4322447209500999</v>
      </c>
      <c r="L255">
        <v>0.93197131234318997</v>
      </c>
      <c r="M255">
        <v>1.1967642712539901</v>
      </c>
      <c r="N255">
        <v>1.57706061648093</v>
      </c>
      <c r="O255">
        <v>0.12777777777777799</v>
      </c>
      <c r="P255">
        <v>0.150256285464513</v>
      </c>
    </row>
    <row r="256" spans="1:16" x14ac:dyDescent="0.3">
      <c r="A256" t="s">
        <v>33</v>
      </c>
      <c r="B256" t="s">
        <v>30</v>
      </c>
      <c r="C256">
        <v>22.291845500000001</v>
      </c>
      <c r="D256">
        <v>8</v>
      </c>
      <c r="E256">
        <v>890</v>
      </c>
      <c r="F256" t="s">
        <v>23</v>
      </c>
      <c r="G256">
        <v>2332.161016</v>
      </c>
      <c r="H256" t="b">
        <v>0</v>
      </c>
      <c r="I256">
        <v>2311.5397900222201</v>
      </c>
      <c r="J256">
        <v>20.621225977777701</v>
      </c>
      <c r="K256">
        <v>1.5626178888129101</v>
      </c>
      <c r="L256">
        <v>1.4941549086209001</v>
      </c>
      <c r="M256">
        <v>1.2500471546357399</v>
      </c>
      <c r="N256">
        <v>1.7927945435541099</v>
      </c>
      <c r="O256">
        <v>0.17777777777777801</v>
      </c>
      <c r="P256">
        <v>0.26397563961492998</v>
      </c>
    </row>
    <row r="257" spans="1:16" x14ac:dyDescent="0.3">
      <c r="A257" t="s">
        <v>33</v>
      </c>
      <c r="B257" t="s">
        <v>30</v>
      </c>
      <c r="C257">
        <v>22.291845500000001</v>
      </c>
      <c r="D257">
        <v>9</v>
      </c>
      <c r="E257">
        <v>1035</v>
      </c>
      <c r="F257" t="s">
        <v>23</v>
      </c>
      <c r="G257">
        <v>2295.7128160000002</v>
      </c>
      <c r="H257" t="b">
        <v>0</v>
      </c>
      <c r="I257">
        <v>2316.9566629222199</v>
      </c>
      <c r="J257">
        <v>-21.2438469222222</v>
      </c>
      <c r="K257">
        <v>-1.6981518041859101</v>
      </c>
      <c r="L257">
        <v>-1.4941549086209001</v>
      </c>
      <c r="M257">
        <v>1.30313153756093</v>
      </c>
      <c r="N257">
        <v>-2.0502161860037802</v>
      </c>
      <c r="O257">
        <v>0.26111111111111102</v>
      </c>
      <c r="P257">
        <v>0.50952939418351195</v>
      </c>
    </row>
    <row r="258" spans="1:16" x14ac:dyDescent="0.3">
      <c r="A258" t="s">
        <v>33</v>
      </c>
      <c r="B258" t="s">
        <v>30</v>
      </c>
      <c r="C258">
        <v>22.291845500000001</v>
      </c>
      <c r="D258">
        <v>10</v>
      </c>
      <c r="E258">
        <v>1180</v>
      </c>
      <c r="F258" t="s">
        <v>23</v>
      </c>
      <c r="G258">
        <v>2313.2349859999999</v>
      </c>
      <c r="H258" t="b">
        <v>0</v>
      </c>
      <c r="I258">
        <v>2322.3735358222202</v>
      </c>
      <c r="J258">
        <v>-9.1385498222225596</v>
      </c>
      <c r="K258">
        <v>-0.796044673182977</v>
      </c>
      <c r="L258">
        <v>-0.57163752516508604</v>
      </c>
      <c r="M258">
        <v>0.89221335631281395</v>
      </c>
      <c r="N258">
        <v>-0.77280349312663499</v>
      </c>
      <c r="O258">
        <v>0.37777777777777799</v>
      </c>
      <c r="P258">
        <v>0.19236930480269401</v>
      </c>
    </row>
    <row r="259" spans="1:16" x14ac:dyDescent="0.3">
      <c r="A259" t="s">
        <v>33</v>
      </c>
      <c r="B259" t="s">
        <v>30</v>
      </c>
      <c r="C259">
        <v>22.291845500000001</v>
      </c>
      <c r="D259">
        <v>2</v>
      </c>
      <c r="E259">
        <v>20</v>
      </c>
      <c r="F259" t="s">
        <v>25</v>
      </c>
      <c r="G259">
        <v>0.16977200000000001</v>
      </c>
      <c r="H259" t="b">
        <v>0</v>
      </c>
      <c r="I259">
        <v>0.156159222222222</v>
      </c>
      <c r="J259">
        <v>1.3612777777777699E-2</v>
      </c>
      <c r="K259">
        <v>0.13898420934688399</v>
      </c>
      <c r="L259">
        <v>0.27439148786003698</v>
      </c>
      <c r="M259">
        <v>0.37280586012948402</v>
      </c>
      <c r="N259">
        <v>0.12885228233704399</v>
      </c>
      <c r="O259">
        <v>0.37777777777777799</v>
      </c>
      <c r="P259">
        <v>5.8639710287899296E-3</v>
      </c>
    </row>
    <row r="260" spans="1:16" x14ac:dyDescent="0.3">
      <c r="A260" t="s">
        <v>33</v>
      </c>
      <c r="B260" t="s">
        <v>30</v>
      </c>
      <c r="C260">
        <v>22.291845500000001</v>
      </c>
      <c r="D260">
        <v>3</v>
      </c>
      <c r="E260">
        <v>165</v>
      </c>
      <c r="F260" t="s">
        <v>25</v>
      </c>
      <c r="G260">
        <v>0.18911500000000001</v>
      </c>
      <c r="H260" t="b">
        <v>0</v>
      </c>
      <c r="I260">
        <v>0.17302655555555599</v>
      </c>
      <c r="J260">
        <v>1.6088444444444499E-2</v>
      </c>
      <c r="K260">
        <v>0.15073564092910599</v>
      </c>
      <c r="L260">
        <v>0.57163752516508604</v>
      </c>
      <c r="M260">
        <v>0.38824688141581598</v>
      </c>
      <c r="N260">
        <v>0.13978112762856501</v>
      </c>
      <c r="O260">
        <v>0.26111111111111102</v>
      </c>
      <c r="P260">
        <v>4.0146540299868501E-3</v>
      </c>
    </row>
    <row r="261" spans="1:16" x14ac:dyDescent="0.3">
      <c r="A261" t="s">
        <v>33</v>
      </c>
      <c r="B261" t="s">
        <v>30</v>
      </c>
      <c r="C261">
        <v>22.291845500000001</v>
      </c>
      <c r="D261">
        <v>4</v>
      </c>
      <c r="E261">
        <v>310</v>
      </c>
      <c r="F261" t="s">
        <v>25</v>
      </c>
      <c r="G261">
        <v>0.12926299999999999</v>
      </c>
      <c r="H261" t="b">
        <v>0</v>
      </c>
      <c r="I261">
        <v>0.189893888888889</v>
      </c>
      <c r="J261">
        <v>-6.0630888888888901E-2</v>
      </c>
      <c r="K261">
        <v>-0.53850630788889198</v>
      </c>
      <c r="L261">
        <v>-0.57163752516508604</v>
      </c>
      <c r="M261">
        <v>0.73382989029399204</v>
      </c>
      <c r="N261">
        <v>-0.50921924117855899</v>
      </c>
      <c r="O261">
        <v>0.17777777777777801</v>
      </c>
      <c r="P261">
        <v>3.1350166879581198E-2</v>
      </c>
    </row>
    <row r="262" spans="1:16" x14ac:dyDescent="0.3">
      <c r="A262" t="s">
        <v>33</v>
      </c>
      <c r="B262" t="s">
        <v>30</v>
      </c>
      <c r="C262">
        <v>22.291845500000001</v>
      </c>
      <c r="D262">
        <v>5</v>
      </c>
      <c r="E262">
        <v>455</v>
      </c>
      <c r="F262" t="s">
        <v>25</v>
      </c>
      <c r="G262">
        <v>0.13608600000000001</v>
      </c>
      <c r="H262" t="b">
        <v>0</v>
      </c>
      <c r="I262">
        <v>0.20676122222222201</v>
      </c>
      <c r="J262">
        <v>-7.0675222222222195E-2</v>
      </c>
      <c r="K262">
        <v>-0.60945981250081405</v>
      </c>
      <c r="L262">
        <v>-0.93197131234318997</v>
      </c>
      <c r="M262">
        <v>0.78067907138645198</v>
      </c>
      <c r="N262">
        <v>-0.57984396902441204</v>
      </c>
      <c r="O262">
        <v>0.12777777777777799</v>
      </c>
      <c r="P262">
        <v>2.72074810516915E-2</v>
      </c>
    </row>
    <row r="263" spans="1:16" x14ac:dyDescent="0.3">
      <c r="A263" t="s">
        <v>33</v>
      </c>
      <c r="B263" t="s">
        <v>30</v>
      </c>
      <c r="C263">
        <v>22.291845500000001</v>
      </c>
      <c r="D263">
        <v>6</v>
      </c>
      <c r="E263">
        <v>600</v>
      </c>
      <c r="F263" t="s">
        <v>25</v>
      </c>
      <c r="G263">
        <v>0.182306</v>
      </c>
      <c r="H263" t="b">
        <v>0</v>
      </c>
      <c r="I263">
        <v>0.223628555555556</v>
      </c>
      <c r="J263">
        <v>-4.1322555555555501E-2</v>
      </c>
      <c r="K263">
        <v>-0.35298390076743502</v>
      </c>
      <c r="L263">
        <v>-0.27439148786003698</v>
      </c>
      <c r="M263">
        <v>0.59412448255179195</v>
      </c>
      <c r="N263">
        <v>-0.329747463616125</v>
      </c>
      <c r="O263">
        <v>0.11111111111111099</v>
      </c>
      <c r="P263">
        <v>7.7873521375621396E-3</v>
      </c>
    </row>
    <row r="264" spans="1:16" x14ac:dyDescent="0.3">
      <c r="A264" t="s">
        <v>33</v>
      </c>
      <c r="B264" t="s">
        <v>30</v>
      </c>
      <c r="C264">
        <v>22.291845500000001</v>
      </c>
      <c r="D264">
        <v>7</v>
      </c>
      <c r="E264">
        <v>745</v>
      </c>
      <c r="F264" t="s">
        <v>25</v>
      </c>
      <c r="G264">
        <v>0.28680800000000001</v>
      </c>
      <c r="H264" t="b">
        <v>0</v>
      </c>
      <c r="I264">
        <v>0.24049588888888901</v>
      </c>
      <c r="J264">
        <v>4.6312111111111103E-2</v>
      </c>
      <c r="K264">
        <v>0.399367269982489</v>
      </c>
      <c r="L264">
        <v>0.93197131234318997</v>
      </c>
      <c r="M264">
        <v>0.63195511706329999</v>
      </c>
      <c r="N264">
        <v>0.37402789018882099</v>
      </c>
      <c r="O264">
        <v>0.12777777777777799</v>
      </c>
      <c r="P264">
        <v>1.1682697374729699E-2</v>
      </c>
    </row>
    <row r="265" spans="1:16" x14ac:dyDescent="0.3">
      <c r="A265" t="s">
        <v>33</v>
      </c>
      <c r="B265" t="s">
        <v>30</v>
      </c>
      <c r="C265">
        <v>22.291845500000001</v>
      </c>
      <c r="D265">
        <v>8</v>
      </c>
      <c r="E265">
        <v>890</v>
      </c>
      <c r="F265" t="s">
        <v>25</v>
      </c>
      <c r="G265">
        <v>0.51737200000000005</v>
      </c>
      <c r="H265" t="b">
        <v>0</v>
      </c>
      <c r="I265">
        <v>0.25736322222222202</v>
      </c>
      <c r="J265">
        <v>0.26000877777777798</v>
      </c>
      <c r="K265">
        <v>2.3093240014410199</v>
      </c>
      <c r="L265">
        <v>1.4941549086209001</v>
      </c>
      <c r="M265">
        <v>1.519646011886</v>
      </c>
      <c r="N265">
        <v>4.3811663498600399</v>
      </c>
      <c r="O265">
        <v>0.17777777777777801</v>
      </c>
      <c r="P265">
        <v>0.57653809120341104</v>
      </c>
    </row>
    <row r="266" spans="1:16" x14ac:dyDescent="0.3">
      <c r="A266" t="s">
        <v>33</v>
      </c>
      <c r="B266" t="s">
        <v>30</v>
      </c>
      <c r="C266">
        <v>22.291845500000001</v>
      </c>
      <c r="D266">
        <v>9</v>
      </c>
      <c r="E266">
        <v>1035</v>
      </c>
      <c r="F266" t="s">
        <v>25</v>
      </c>
      <c r="G266">
        <v>0.27620699999999998</v>
      </c>
      <c r="H266" t="b">
        <v>0</v>
      </c>
      <c r="I266">
        <v>0.27423055555555598</v>
      </c>
      <c r="J266">
        <v>1.97644444444442E-3</v>
      </c>
      <c r="K266">
        <v>1.8517677151626499E-2</v>
      </c>
      <c r="L266">
        <v>0</v>
      </c>
      <c r="M266">
        <v>0.13607967207348201</v>
      </c>
      <c r="N266">
        <v>1.7144457635317099E-2</v>
      </c>
      <c r="O266">
        <v>0.26111111111111102</v>
      </c>
      <c r="P266">
        <v>6.0588365613977099E-5</v>
      </c>
    </row>
    <row r="267" spans="1:16" x14ac:dyDescent="0.3">
      <c r="A267" t="s">
        <v>33</v>
      </c>
      <c r="B267" t="s">
        <v>30</v>
      </c>
      <c r="C267">
        <v>22.291845500000001</v>
      </c>
      <c r="D267">
        <v>10</v>
      </c>
      <c r="E267">
        <v>1180</v>
      </c>
      <c r="F267" t="s">
        <v>25</v>
      </c>
      <c r="G267">
        <v>0.12572800000000001</v>
      </c>
      <c r="H267" t="b">
        <v>0</v>
      </c>
      <c r="I267">
        <v>0.29109788888888899</v>
      </c>
      <c r="J267">
        <v>-0.16536988888888901</v>
      </c>
      <c r="K267">
        <v>-1.6883992108153301</v>
      </c>
      <c r="L267">
        <v>-1.4941549086209001</v>
      </c>
      <c r="M267">
        <v>1.2993841659860801</v>
      </c>
      <c r="N267">
        <v>-2.0303126638735201</v>
      </c>
      <c r="O267">
        <v>0.37777777777777799</v>
      </c>
      <c r="P267">
        <v>0.86538861100698405</v>
      </c>
    </row>
    <row r="268" spans="1:16" x14ac:dyDescent="0.3">
      <c r="A268" t="s">
        <v>33</v>
      </c>
      <c r="B268" t="s">
        <v>30</v>
      </c>
      <c r="C268">
        <v>22.291845500000001</v>
      </c>
      <c r="D268">
        <v>2</v>
      </c>
      <c r="E268">
        <v>20</v>
      </c>
      <c r="F268" t="s">
        <v>26</v>
      </c>
      <c r="G268">
        <v>0.76058099999999995</v>
      </c>
      <c r="H268" t="b">
        <v>0</v>
      </c>
      <c r="I268">
        <v>0.826553955555556</v>
      </c>
      <c r="J268">
        <v>-6.5972955555556004E-2</v>
      </c>
      <c r="K268">
        <v>-0.46272628971933899</v>
      </c>
      <c r="L268">
        <v>0</v>
      </c>
      <c r="M268">
        <v>0.68023987660187901</v>
      </c>
      <c r="N268">
        <v>-0.43510750253524899</v>
      </c>
      <c r="O268">
        <v>0.37777777777777799</v>
      </c>
      <c r="P268">
        <v>6.4999384399218596E-2</v>
      </c>
    </row>
    <row r="269" spans="1:16" x14ac:dyDescent="0.3">
      <c r="A269" t="s">
        <v>33</v>
      </c>
      <c r="B269" t="s">
        <v>30</v>
      </c>
      <c r="C269">
        <v>22.291845500000001</v>
      </c>
      <c r="D269">
        <v>3</v>
      </c>
      <c r="E269">
        <v>165</v>
      </c>
      <c r="F269" t="s">
        <v>26</v>
      </c>
      <c r="G269">
        <v>1.379759</v>
      </c>
      <c r="H269" t="b">
        <v>0</v>
      </c>
      <c r="I269">
        <v>1.4481354388888901</v>
      </c>
      <c r="J269">
        <v>-6.8376438888888502E-2</v>
      </c>
      <c r="K269">
        <v>-0.440096488431519</v>
      </c>
      <c r="L269">
        <v>-0.27439148786003698</v>
      </c>
      <c r="M269">
        <v>0.66339768497600204</v>
      </c>
      <c r="N269">
        <v>-0.41320684154918302</v>
      </c>
      <c r="O269">
        <v>0.26111111111111102</v>
      </c>
      <c r="P269">
        <v>3.42225233048815E-2</v>
      </c>
    </row>
    <row r="270" spans="1:16" x14ac:dyDescent="0.3">
      <c r="A270" t="s">
        <v>33</v>
      </c>
      <c r="B270" t="s">
        <v>30</v>
      </c>
      <c r="C270">
        <v>22.291845500000001</v>
      </c>
      <c r="D270">
        <v>4</v>
      </c>
      <c r="E270">
        <v>310</v>
      </c>
      <c r="F270" t="s">
        <v>26</v>
      </c>
      <c r="G270">
        <v>1.9564980000000001</v>
      </c>
      <c r="H270" t="b">
        <v>0</v>
      </c>
      <c r="I270">
        <v>2.06971692222222</v>
      </c>
      <c r="J270">
        <v>-0.113218922222222</v>
      </c>
      <c r="K270">
        <v>-0.69080489112854804</v>
      </c>
      <c r="L270">
        <v>-0.57163752516508604</v>
      </c>
      <c r="M270">
        <v>0.83114673261016203</v>
      </c>
      <c r="N270">
        <v>-0.66254346888361704</v>
      </c>
      <c r="O270">
        <v>0.17777777777777801</v>
      </c>
      <c r="P270">
        <v>5.1590421362932501E-2</v>
      </c>
    </row>
    <row r="271" spans="1:16" x14ac:dyDescent="0.3">
      <c r="A271" t="s">
        <v>33</v>
      </c>
      <c r="B271" t="s">
        <v>30</v>
      </c>
      <c r="C271">
        <v>22.291845500000001</v>
      </c>
      <c r="D271">
        <v>5</v>
      </c>
      <c r="E271">
        <v>455</v>
      </c>
      <c r="F271" t="s">
        <v>26</v>
      </c>
      <c r="G271">
        <v>2.7589929999999998</v>
      </c>
      <c r="H271" t="b">
        <v>0</v>
      </c>
      <c r="I271">
        <v>2.69129840555556</v>
      </c>
      <c r="J271">
        <v>6.7694594444444506E-2</v>
      </c>
      <c r="K271">
        <v>0.40102496515142899</v>
      </c>
      <c r="L271">
        <v>0.27439148786003698</v>
      </c>
      <c r="M271">
        <v>0.63326531971317501</v>
      </c>
      <c r="N271">
        <v>0.37561683625162701</v>
      </c>
      <c r="O271">
        <v>0.12777777777777799</v>
      </c>
      <c r="P271">
        <v>1.1779883826491099E-2</v>
      </c>
    </row>
    <row r="272" spans="1:16" x14ac:dyDescent="0.3">
      <c r="A272" t="s">
        <v>33</v>
      </c>
      <c r="B272" t="s">
        <v>30</v>
      </c>
      <c r="C272">
        <v>22.291845500000001</v>
      </c>
      <c r="D272">
        <v>6</v>
      </c>
      <c r="E272">
        <v>600</v>
      </c>
      <c r="F272" t="s">
        <v>26</v>
      </c>
      <c r="G272">
        <v>3.450221</v>
      </c>
      <c r="H272" t="b">
        <v>0</v>
      </c>
      <c r="I272">
        <v>3.3128798888888902</v>
      </c>
      <c r="J272">
        <v>0.137341111111111</v>
      </c>
      <c r="K272">
        <v>0.80594946339433804</v>
      </c>
      <c r="L272">
        <v>0.57163752516508604</v>
      </c>
      <c r="M272">
        <v>0.89774688158430205</v>
      </c>
      <c r="N272">
        <v>0.78339598305943203</v>
      </c>
      <c r="O272">
        <v>0.11111111111111099</v>
      </c>
      <c r="P272">
        <v>4.0597158596601401E-2</v>
      </c>
    </row>
    <row r="273" spans="1:16" x14ac:dyDescent="0.3">
      <c r="A273" t="s">
        <v>33</v>
      </c>
      <c r="B273" t="s">
        <v>30</v>
      </c>
      <c r="C273">
        <v>22.291845500000001</v>
      </c>
      <c r="D273">
        <v>7</v>
      </c>
      <c r="E273">
        <v>745</v>
      </c>
      <c r="F273" t="s">
        <v>26</v>
      </c>
      <c r="G273">
        <v>4.1029359999999997</v>
      </c>
      <c r="H273" t="b">
        <v>0</v>
      </c>
      <c r="I273">
        <v>3.9344613722222199</v>
      </c>
      <c r="J273">
        <v>0.168474627777777</v>
      </c>
      <c r="K273">
        <v>0.998049139491195</v>
      </c>
      <c r="L273">
        <v>0.93197131234318997</v>
      </c>
      <c r="M273">
        <v>0.99902409354889699</v>
      </c>
      <c r="N273">
        <v>0.99772510479244303</v>
      </c>
      <c r="O273">
        <v>0.12777777777777799</v>
      </c>
      <c r="P273">
        <v>7.2962891564648497E-2</v>
      </c>
    </row>
    <row r="274" spans="1:16" x14ac:dyDescent="0.3">
      <c r="A274" t="s">
        <v>33</v>
      </c>
      <c r="B274" t="s">
        <v>30</v>
      </c>
      <c r="C274">
        <v>22.291845500000001</v>
      </c>
      <c r="D274">
        <v>8</v>
      </c>
      <c r="E274">
        <v>890</v>
      </c>
      <c r="F274" t="s">
        <v>26</v>
      </c>
      <c r="G274">
        <v>4.825075</v>
      </c>
      <c r="H274" t="b">
        <v>0</v>
      </c>
      <c r="I274">
        <v>4.5560428555555603</v>
      </c>
      <c r="J274">
        <v>0.26903214444444501</v>
      </c>
      <c r="K274">
        <v>1.6414987672135499</v>
      </c>
      <c r="L274">
        <v>1.4941549086209001</v>
      </c>
      <c r="M274">
        <v>1.28120988413825</v>
      </c>
      <c r="N274">
        <v>1.93778373982635</v>
      </c>
      <c r="O274">
        <v>0.17777777777777801</v>
      </c>
      <c r="P274">
        <v>0.29129926516363502</v>
      </c>
    </row>
    <row r="275" spans="1:16" x14ac:dyDescent="0.3">
      <c r="A275" t="s">
        <v>33</v>
      </c>
      <c r="B275" t="s">
        <v>30</v>
      </c>
      <c r="C275">
        <v>22.291845500000001</v>
      </c>
      <c r="D275">
        <v>9</v>
      </c>
      <c r="E275">
        <v>1035</v>
      </c>
      <c r="F275" t="s">
        <v>26</v>
      </c>
      <c r="G275">
        <v>4.9320310000000003</v>
      </c>
      <c r="H275" t="b">
        <v>0</v>
      </c>
      <c r="I275">
        <v>5.1776243388888901</v>
      </c>
      <c r="J275">
        <v>-0.24559333888888901</v>
      </c>
      <c r="K275">
        <v>-1.5807311375605499</v>
      </c>
      <c r="L275">
        <v>-1.4941549086209001</v>
      </c>
      <c r="M275">
        <v>1.2572713062662899</v>
      </c>
      <c r="N275">
        <v>-1.8250097179979501</v>
      </c>
      <c r="O275">
        <v>0.26111111111111102</v>
      </c>
      <c r="P275">
        <v>0.44150155516884598</v>
      </c>
    </row>
    <row r="276" spans="1:16" x14ac:dyDescent="0.3">
      <c r="A276" t="s">
        <v>33</v>
      </c>
      <c r="B276" t="s">
        <v>30</v>
      </c>
      <c r="C276">
        <v>22.291845500000001</v>
      </c>
      <c r="D276">
        <v>10</v>
      </c>
      <c r="E276">
        <v>1180</v>
      </c>
      <c r="F276" t="s">
        <v>26</v>
      </c>
      <c r="G276">
        <v>5.6498249999999999</v>
      </c>
      <c r="H276" t="b">
        <v>0</v>
      </c>
      <c r="I276">
        <v>5.7992058222222198</v>
      </c>
      <c r="J276">
        <v>-0.14938082222222199</v>
      </c>
      <c r="K276">
        <v>-1.0477389263530099</v>
      </c>
      <c r="L276">
        <v>-0.93197131234318997</v>
      </c>
      <c r="M276">
        <v>1.02359119102941</v>
      </c>
      <c r="N276">
        <v>-1.05637996644806</v>
      </c>
      <c r="O276">
        <v>0.37777777777777799</v>
      </c>
      <c r="P276">
        <v>0.33324761754501903</v>
      </c>
    </row>
    <row r="277" spans="1:16" x14ac:dyDescent="0.3">
      <c r="A277" t="s">
        <v>33</v>
      </c>
      <c r="B277" t="s">
        <v>30</v>
      </c>
      <c r="C277">
        <v>22.291845500000001</v>
      </c>
      <c r="D277">
        <v>2</v>
      </c>
      <c r="E277">
        <v>20</v>
      </c>
      <c r="F277" t="s">
        <v>27</v>
      </c>
      <c r="G277">
        <v>0</v>
      </c>
      <c r="H277" t="b">
        <v>0</v>
      </c>
      <c r="I277">
        <v>4.99936000000002E-2</v>
      </c>
      <c r="J277">
        <v>-4.99936000000002E-2</v>
      </c>
      <c r="K277">
        <v>-6.72206342071138E-2</v>
      </c>
      <c r="L277">
        <v>0.57163752516508604</v>
      </c>
      <c r="M277">
        <v>0.25926942397265801</v>
      </c>
      <c r="N277">
        <v>-6.2254310596229601E-2</v>
      </c>
      <c r="O277">
        <v>0.37777777777777799</v>
      </c>
      <c r="P277">
        <v>1.3717220049019999E-3</v>
      </c>
    </row>
    <row r="278" spans="1:16" x14ac:dyDescent="0.3">
      <c r="A278" t="s">
        <v>33</v>
      </c>
      <c r="B278" t="s">
        <v>30</v>
      </c>
      <c r="C278">
        <v>22.291845500000001</v>
      </c>
      <c r="D278">
        <v>3</v>
      </c>
      <c r="E278">
        <v>165</v>
      </c>
      <c r="F278" t="s">
        <v>27</v>
      </c>
      <c r="G278">
        <v>0</v>
      </c>
      <c r="H278" t="b">
        <v>0</v>
      </c>
      <c r="I278">
        <v>0.27489653333333303</v>
      </c>
      <c r="J278">
        <v>-0.27489653333333303</v>
      </c>
      <c r="K278">
        <v>-0.33918813223704097</v>
      </c>
      <c r="L278">
        <v>-0.27439148786003698</v>
      </c>
      <c r="M278">
        <v>0.58239860253699105</v>
      </c>
      <c r="N278">
        <v>-0.31664004151006597</v>
      </c>
      <c r="O278">
        <v>0.26111111111111102</v>
      </c>
      <c r="P278">
        <v>2.0328134155530999E-2</v>
      </c>
    </row>
    <row r="279" spans="1:16" x14ac:dyDescent="0.3">
      <c r="A279" t="s">
        <v>33</v>
      </c>
      <c r="B279" t="s">
        <v>30</v>
      </c>
      <c r="C279">
        <v>22.291845500000001</v>
      </c>
      <c r="D279">
        <v>4</v>
      </c>
      <c r="E279">
        <v>310</v>
      </c>
      <c r="F279" t="s">
        <v>27</v>
      </c>
      <c r="G279">
        <v>0.36817</v>
      </c>
      <c r="H279" t="b">
        <v>0</v>
      </c>
      <c r="I279">
        <v>0.49979946666666702</v>
      </c>
      <c r="J279">
        <v>-0.131629466666667</v>
      </c>
      <c r="K279">
        <v>-0.15396410075345199</v>
      </c>
      <c r="L279">
        <v>0</v>
      </c>
      <c r="M279">
        <v>0.39238259486558802</v>
      </c>
      <c r="N279">
        <v>-0.14278502923123099</v>
      </c>
      <c r="O279">
        <v>0.17777777777777801</v>
      </c>
      <c r="P279">
        <v>2.5626966833318002E-3</v>
      </c>
    </row>
    <row r="280" spans="1:16" x14ac:dyDescent="0.3">
      <c r="A280" t="s">
        <v>33</v>
      </c>
      <c r="B280" t="s">
        <v>30</v>
      </c>
      <c r="C280">
        <v>22.291845500000001</v>
      </c>
      <c r="D280">
        <v>5</v>
      </c>
      <c r="E280">
        <v>455</v>
      </c>
      <c r="F280" t="s">
        <v>27</v>
      </c>
      <c r="G280">
        <v>0.119744</v>
      </c>
      <c r="H280" t="b">
        <v>0</v>
      </c>
      <c r="I280">
        <v>0.72470239999999997</v>
      </c>
      <c r="J280">
        <v>-0.60495840000000001</v>
      </c>
      <c r="K280">
        <v>-0.687025554059989</v>
      </c>
      <c r="L280">
        <v>-0.57163752516508604</v>
      </c>
      <c r="M280">
        <v>0.82887004654528895</v>
      </c>
      <c r="N280">
        <v>-0.65865589045023898</v>
      </c>
      <c r="O280">
        <v>0.12777777777777799</v>
      </c>
      <c r="P280">
        <v>3.4573549600073201E-2</v>
      </c>
    </row>
    <row r="281" spans="1:16" x14ac:dyDescent="0.3">
      <c r="A281" t="s">
        <v>33</v>
      </c>
      <c r="B281" t="s">
        <v>30</v>
      </c>
      <c r="C281">
        <v>22.291845500000001</v>
      </c>
      <c r="D281">
        <v>6</v>
      </c>
      <c r="E281">
        <v>600</v>
      </c>
      <c r="F281" t="s">
        <v>27</v>
      </c>
      <c r="G281">
        <v>3.0096370000000001</v>
      </c>
      <c r="H281" t="b">
        <v>0</v>
      </c>
      <c r="I281">
        <v>0.94960533333333297</v>
      </c>
      <c r="J281">
        <v>2.0600316666666698</v>
      </c>
      <c r="K281">
        <v>2.3174539383822701</v>
      </c>
      <c r="L281">
        <v>1.4941549086209001</v>
      </c>
      <c r="M281">
        <v>1.5223186060684799</v>
      </c>
      <c r="N281">
        <v>4.4470489999701597</v>
      </c>
      <c r="O281">
        <v>0.11111111111111099</v>
      </c>
      <c r="P281">
        <v>0.33566204728271798</v>
      </c>
    </row>
    <row r="282" spans="1:16" x14ac:dyDescent="0.3">
      <c r="A282" t="s">
        <v>33</v>
      </c>
      <c r="B282" t="s">
        <v>30</v>
      </c>
      <c r="C282">
        <v>22.291845500000001</v>
      </c>
      <c r="D282">
        <v>7</v>
      </c>
      <c r="E282">
        <v>745</v>
      </c>
      <c r="F282" t="s">
        <v>27</v>
      </c>
      <c r="G282">
        <v>0.34897499999999998</v>
      </c>
      <c r="H282" t="b">
        <v>0</v>
      </c>
      <c r="I282">
        <v>1.17450826666667</v>
      </c>
      <c r="J282">
        <v>-0.82553326666666704</v>
      </c>
      <c r="K282">
        <v>-0.93752305931551505</v>
      </c>
      <c r="L282">
        <v>-1.4941549086209001</v>
      </c>
      <c r="M282">
        <v>0.96825774425796096</v>
      </c>
      <c r="N282">
        <v>-0.92820649260476895</v>
      </c>
      <c r="O282">
        <v>0.12777777777777799</v>
      </c>
      <c r="P282">
        <v>6.43816503032211E-2</v>
      </c>
    </row>
    <row r="283" spans="1:16" x14ac:dyDescent="0.3">
      <c r="A283" t="s">
        <v>33</v>
      </c>
      <c r="B283" t="s">
        <v>30</v>
      </c>
      <c r="C283">
        <v>22.291845500000001</v>
      </c>
      <c r="D283">
        <v>8</v>
      </c>
      <c r="E283">
        <v>890</v>
      </c>
      <c r="F283" t="s">
        <v>27</v>
      </c>
      <c r="G283">
        <v>1.2802800000000001</v>
      </c>
      <c r="H283" t="b">
        <v>0</v>
      </c>
      <c r="I283">
        <v>1.3994112000000001</v>
      </c>
      <c r="J283">
        <v>-0.11913120000000001</v>
      </c>
      <c r="K283">
        <v>-0.13934515229882399</v>
      </c>
      <c r="L283">
        <v>0.27439148786003698</v>
      </c>
      <c r="M283">
        <v>0.37328963593813402</v>
      </c>
      <c r="N283">
        <v>-0.12918784219756799</v>
      </c>
      <c r="O283">
        <v>0.17777777777777801</v>
      </c>
      <c r="P283">
        <v>2.0991428615332501E-3</v>
      </c>
    </row>
    <row r="284" spans="1:16" x14ac:dyDescent="0.3">
      <c r="A284" t="s">
        <v>33</v>
      </c>
      <c r="B284" t="s">
        <v>30</v>
      </c>
      <c r="C284">
        <v>22.291845500000001</v>
      </c>
      <c r="D284">
        <v>9</v>
      </c>
      <c r="E284">
        <v>1035</v>
      </c>
      <c r="F284" t="s">
        <v>27</v>
      </c>
      <c r="G284">
        <v>2.2378429999999998</v>
      </c>
      <c r="H284" t="b">
        <v>0</v>
      </c>
      <c r="I284">
        <v>1.62431413333333</v>
      </c>
      <c r="J284">
        <v>0.61352886666666695</v>
      </c>
      <c r="K284">
        <v>0.75701831461743396</v>
      </c>
      <c r="L284">
        <v>0.93197131234318997</v>
      </c>
      <c r="M284">
        <v>0.87006799424954895</v>
      </c>
      <c r="N284">
        <v>0.73144294307926006</v>
      </c>
      <c r="O284">
        <v>0.26111111111111102</v>
      </c>
      <c r="P284">
        <v>0.101257918222979</v>
      </c>
    </row>
    <row r="285" spans="1:16" x14ac:dyDescent="0.3">
      <c r="A285" t="s">
        <v>33</v>
      </c>
      <c r="B285" t="s">
        <v>30</v>
      </c>
      <c r="C285">
        <v>22.291845500000001</v>
      </c>
      <c r="D285">
        <v>10</v>
      </c>
      <c r="E285">
        <v>1180</v>
      </c>
      <c r="F285" t="s">
        <v>27</v>
      </c>
      <c r="G285">
        <v>1.181799</v>
      </c>
      <c r="H285" t="b">
        <v>0</v>
      </c>
      <c r="I285">
        <v>1.8492170666666701</v>
      </c>
      <c r="J285">
        <v>-0.66741806666666703</v>
      </c>
      <c r="K285">
        <v>-0.89740018167563396</v>
      </c>
      <c r="L285">
        <v>-0.93197131234318997</v>
      </c>
      <c r="M285">
        <v>0.94731208251327303</v>
      </c>
      <c r="N285">
        <v>-0.88318683815246601</v>
      </c>
      <c r="O285">
        <v>0.37777777777777799</v>
      </c>
      <c r="P285">
        <v>0.244474293985979</v>
      </c>
    </row>
    <row r="286" spans="1:16" x14ac:dyDescent="0.3">
      <c r="A286" t="s">
        <v>33</v>
      </c>
      <c r="B286" t="s">
        <v>31</v>
      </c>
      <c r="C286">
        <v>25.76724819</v>
      </c>
      <c r="D286">
        <v>2</v>
      </c>
      <c r="E286">
        <v>20</v>
      </c>
      <c r="F286" t="s">
        <v>23</v>
      </c>
      <c r="G286">
        <v>2285.4588600000002</v>
      </c>
      <c r="H286" t="b">
        <v>0</v>
      </c>
      <c r="I286">
        <v>2294.7656874877998</v>
      </c>
      <c r="J286">
        <v>-9.3068274878048598</v>
      </c>
      <c r="K286">
        <v>-1.2052730532373199</v>
      </c>
      <c r="L286">
        <v>-1.1797611176118601</v>
      </c>
      <c r="M286">
        <v>1.0978492853016399</v>
      </c>
      <c r="N286">
        <v>-1.37028471993183</v>
      </c>
      <c r="O286">
        <v>0.51219512195121897</v>
      </c>
      <c r="P286">
        <v>0.76265864475150302</v>
      </c>
    </row>
    <row r="287" spans="1:16" x14ac:dyDescent="0.3">
      <c r="A287" t="s">
        <v>33</v>
      </c>
      <c r="B287" t="s">
        <v>31</v>
      </c>
      <c r="C287">
        <v>25.76724819</v>
      </c>
      <c r="D287">
        <v>3</v>
      </c>
      <c r="E287">
        <v>165</v>
      </c>
      <c r="F287" t="s">
        <v>23</v>
      </c>
      <c r="G287">
        <v>2310.8614299999999</v>
      </c>
      <c r="H287" t="b">
        <v>0</v>
      </c>
      <c r="I287">
        <v>2295.6809958353701</v>
      </c>
      <c r="J287">
        <v>15.1804341646341</v>
      </c>
      <c r="K287">
        <v>1.6998910230936399</v>
      </c>
      <c r="L287">
        <v>1.1797611176118601</v>
      </c>
      <c r="M287">
        <v>1.3037986896348901</v>
      </c>
      <c r="N287">
        <v>7.2361832154650498</v>
      </c>
      <c r="O287">
        <v>0.34756097560975602</v>
      </c>
      <c r="P287">
        <v>0.76966766800223496</v>
      </c>
    </row>
    <row r="288" spans="1:16" x14ac:dyDescent="0.3">
      <c r="A288" t="s">
        <v>33</v>
      </c>
      <c r="B288" t="s">
        <v>31</v>
      </c>
      <c r="C288">
        <v>25.76724819</v>
      </c>
      <c r="D288">
        <v>5</v>
      </c>
      <c r="E288">
        <v>455</v>
      </c>
      <c r="F288" t="s">
        <v>23</v>
      </c>
      <c r="G288">
        <v>2290.536368</v>
      </c>
      <c r="H288" t="b">
        <v>0</v>
      </c>
      <c r="I288">
        <v>2297.5116125304899</v>
      </c>
      <c r="J288">
        <v>-6.97524453048774</v>
      </c>
      <c r="K288">
        <v>-0.70591525306070901</v>
      </c>
      <c r="L288">
        <v>-0.49720057068155399</v>
      </c>
      <c r="M288">
        <v>0.84018762967607896</v>
      </c>
      <c r="N288">
        <v>-0.63117729562637703</v>
      </c>
      <c r="O288">
        <v>0.20121951219512199</v>
      </c>
      <c r="P288">
        <v>6.2765035758107698E-2</v>
      </c>
    </row>
    <row r="289" spans="1:16" x14ac:dyDescent="0.3">
      <c r="A289" t="s">
        <v>33</v>
      </c>
      <c r="B289" t="s">
        <v>31</v>
      </c>
      <c r="C289">
        <v>25.76724819</v>
      </c>
      <c r="D289">
        <v>7</v>
      </c>
      <c r="E289">
        <v>745</v>
      </c>
      <c r="F289" t="s">
        <v>23</v>
      </c>
      <c r="G289">
        <v>2300.3253119999999</v>
      </c>
      <c r="H289" t="b">
        <v>0</v>
      </c>
      <c r="I289">
        <v>2299.34222922561</v>
      </c>
      <c r="J289">
        <v>0.98308277439022096</v>
      </c>
      <c r="K289">
        <v>0.10618665564285</v>
      </c>
      <c r="L289">
        <v>0.49720057068155399</v>
      </c>
      <c r="M289">
        <v>0.325862939965332</v>
      </c>
      <c r="N289">
        <v>8.6864436473210502E-2</v>
      </c>
      <c r="O289">
        <v>0.29878048780487798</v>
      </c>
      <c r="P289">
        <v>2.4021942869306302E-3</v>
      </c>
    </row>
    <row r="290" spans="1:16" x14ac:dyDescent="0.3">
      <c r="A290" t="s">
        <v>33</v>
      </c>
      <c r="B290" t="s">
        <v>31</v>
      </c>
      <c r="C290">
        <v>25.76724819</v>
      </c>
      <c r="D290">
        <v>9</v>
      </c>
      <c r="E290">
        <v>1035</v>
      </c>
      <c r="F290" t="s">
        <v>23</v>
      </c>
      <c r="G290">
        <v>2301.291401</v>
      </c>
      <c r="H290" t="b">
        <v>0</v>
      </c>
      <c r="I290">
        <v>2301.1728459207302</v>
      </c>
      <c r="J290">
        <v>0.11855507926829199</v>
      </c>
      <c r="K290">
        <v>1.7878164790189999E-2</v>
      </c>
      <c r="L290">
        <v>0</v>
      </c>
      <c r="M290">
        <v>0.13370925469162601</v>
      </c>
      <c r="N290">
        <v>1.45982381146649E-2</v>
      </c>
      <c r="O290">
        <v>0.64024390243902396</v>
      </c>
      <c r="P290">
        <v>2.8441543650716098E-4</v>
      </c>
    </row>
    <row r="291" spans="1:16" x14ac:dyDescent="0.3">
      <c r="A291" t="s">
        <v>33</v>
      </c>
      <c r="B291" t="s">
        <v>31</v>
      </c>
      <c r="C291">
        <v>25.76724819</v>
      </c>
      <c r="D291">
        <v>2</v>
      </c>
      <c r="E291">
        <v>20</v>
      </c>
      <c r="F291" t="s">
        <v>25</v>
      </c>
      <c r="G291">
        <v>5.65762E-2</v>
      </c>
      <c r="H291" t="b">
        <v>0</v>
      </c>
      <c r="I291">
        <v>0.36223061463414702</v>
      </c>
      <c r="J291">
        <v>-0.305654414634147</v>
      </c>
      <c r="K291">
        <v>-0.15656637503843601</v>
      </c>
      <c r="L291">
        <v>0</v>
      </c>
      <c r="M291">
        <v>0.39568469143806401</v>
      </c>
      <c r="N291">
        <v>-0.12836140673347601</v>
      </c>
      <c r="O291">
        <v>0.51219512195121897</v>
      </c>
      <c r="P291">
        <v>1.28693406411549E-2</v>
      </c>
    </row>
    <row r="292" spans="1:16" x14ac:dyDescent="0.3">
      <c r="A292" t="s">
        <v>33</v>
      </c>
      <c r="B292" t="s">
        <v>31</v>
      </c>
      <c r="C292">
        <v>25.76724819</v>
      </c>
      <c r="D292">
        <v>3</v>
      </c>
      <c r="E292">
        <v>165</v>
      </c>
      <c r="F292" t="s">
        <v>25</v>
      </c>
      <c r="G292">
        <v>3.3843429999999999</v>
      </c>
      <c r="H292" t="b">
        <v>0</v>
      </c>
      <c r="I292">
        <v>0.89937474756097502</v>
      </c>
      <c r="J292">
        <v>2.48496825243903</v>
      </c>
      <c r="K292">
        <v>1.1006310815685501</v>
      </c>
      <c r="L292">
        <v>1.1797611176118601</v>
      </c>
      <c r="M292">
        <v>1.0491096613646</v>
      </c>
      <c r="N292">
        <v>1.1638547816188101</v>
      </c>
      <c r="O292">
        <v>0.34756097560975602</v>
      </c>
      <c r="P292">
        <v>0.32265962770907203</v>
      </c>
    </row>
    <row r="293" spans="1:16" x14ac:dyDescent="0.3">
      <c r="A293" t="s">
        <v>33</v>
      </c>
      <c r="B293" t="s">
        <v>31</v>
      </c>
      <c r="C293">
        <v>25.76724819</v>
      </c>
      <c r="D293">
        <v>5</v>
      </c>
      <c r="E293">
        <v>455</v>
      </c>
      <c r="F293" t="s">
        <v>25</v>
      </c>
      <c r="G293">
        <v>0.20443600000000001</v>
      </c>
      <c r="H293" t="b">
        <v>0</v>
      </c>
      <c r="I293">
        <v>1.97366301341463</v>
      </c>
      <c r="J293">
        <v>-1.76922701341463</v>
      </c>
      <c r="K293">
        <v>-0.70820784163832295</v>
      </c>
      <c r="L293">
        <v>-0.49720057068155399</v>
      </c>
      <c r="M293">
        <v>0.84155085505174498</v>
      </c>
      <c r="N293">
        <v>-0.63363786675379796</v>
      </c>
      <c r="O293">
        <v>0.20121951219512199</v>
      </c>
      <c r="P293">
        <v>6.3173379578680897E-2</v>
      </c>
    </row>
    <row r="294" spans="1:16" x14ac:dyDescent="0.3">
      <c r="A294" t="s">
        <v>33</v>
      </c>
      <c r="B294" t="s">
        <v>31</v>
      </c>
      <c r="C294">
        <v>25.76724819</v>
      </c>
      <c r="D294">
        <v>7</v>
      </c>
      <c r="E294">
        <v>745</v>
      </c>
      <c r="F294" t="s">
        <v>25</v>
      </c>
      <c r="G294">
        <v>0.201291</v>
      </c>
      <c r="H294" t="b">
        <v>0</v>
      </c>
      <c r="I294">
        <v>3.0479512792682901</v>
      </c>
      <c r="J294">
        <v>-2.8466602792682898</v>
      </c>
      <c r="K294">
        <v>-1.21618470842709</v>
      </c>
      <c r="L294">
        <v>-1.1797611176118601</v>
      </c>
      <c r="M294">
        <v>1.10280764797271</v>
      </c>
      <c r="N294">
        <v>-1.39464911411381</v>
      </c>
      <c r="O294">
        <v>0.29878048780487798</v>
      </c>
      <c r="P294">
        <v>0.31511372611122901</v>
      </c>
    </row>
    <row r="295" spans="1:16" x14ac:dyDescent="0.3">
      <c r="A295" t="s">
        <v>33</v>
      </c>
      <c r="B295" t="s">
        <v>31</v>
      </c>
      <c r="C295">
        <v>25.76724819</v>
      </c>
      <c r="D295">
        <v>9</v>
      </c>
      <c r="E295">
        <v>1035</v>
      </c>
      <c r="F295" t="s">
        <v>25</v>
      </c>
      <c r="G295">
        <v>6.5588129999999998</v>
      </c>
      <c r="H295" t="b">
        <v>0</v>
      </c>
      <c r="I295">
        <v>4.1222395451219498</v>
      </c>
      <c r="J295">
        <v>2.43657345487805</v>
      </c>
      <c r="K295">
        <v>1.45333696544871</v>
      </c>
      <c r="L295">
        <v>0.49720057068155399</v>
      </c>
      <c r="M295">
        <v>1.2055442610906899</v>
      </c>
      <c r="N295">
        <v>2.1813275992741699</v>
      </c>
      <c r="O295">
        <v>0.64024390243902396</v>
      </c>
      <c r="P295">
        <v>1.87948962025139</v>
      </c>
    </row>
    <row r="296" spans="1:16" x14ac:dyDescent="0.3">
      <c r="A296" t="s">
        <v>33</v>
      </c>
      <c r="B296" t="s">
        <v>31</v>
      </c>
      <c r="C296">
        <v>25.76724819</v>
      </c>
      <c r="D296">
        <v>2</v>
      </c>
      <c r="E296">
        <v>20</v>
      </c>
      <c r="F296" t="s">
        <v>26</v>
      </c>
      <c r="G296">
        <v>1.0085789999999999</v>
      </c>
      <c r="H296" t="b">
        <v>0</v>
      </c>
      <c r="I296">
        <v>1.08390229268293</v>
      </c>
      <c r="J296">
        <v>-7.5323292682927298E-2</v>
      </c>
      <c r="K296">
        <v>-1.4200421039093001</v>
      </c>
      <c r="L296">
        <v>-1.1797611176118601</v>
      </c>
      <c r="M296">
        <v>1.1916551950582399</v>
      </c>
      <c r="N296">
        <v>-2.02503884972915</v>
      </c>
      <c r="O296">
        <v>0.51219512195121897</v>
      </c>
      <c r="P296">
        <v>1.05867277785946</v>
      </c>
    </row>
    <row r="297" spans="1:16" x14ac:dyDescent="0.3">
      <c r="A297" t="s">
        <v>33</v>
      </c>
      <c r="B297" t="s">
        <v>31</v>
      </c>
      <c r="C297">
        <v>25.76724819</v>
      </c>
      <c r="D297">
        <v>3</v>
      </c>
      <c r="E297">
        <v>165</v>
      </c>
      <c r="F297" t="s">
        <v>26</v>
      </c>
      <c r="G297">
        <v>1.7727599999999999</v>
      </c>
      <c r="H297" t="b">
        <v>0</v>
      </c>
      <c r="I297">
        <v>1.7024832012195099</v>
      </c>
      <c r="J297">
        <v>7.0276798780487995E-2</v>
      </c>
      <c r="K297">
        <v>1.1456105380982999</v>
      </c>
      <c r="L297">
        <v>1.1797611176118601</v>
      </c>
      <c r="M297">
        <v>1.07033197564975</v>
      </c>
      <c r="N297">
        <v>1.2471545165756699</v>
      </c>
      <c r="O297">
        <v>0.34756097560975602</v>
      </c>
      <c r="P297">
        <v>0.34957074665937998</v>
      </c>
    </row>
    <row r="298" spans="1:16" x14ac:dyDescent="0.3">
      <c r="A298" t="s">
        <v>33</v>
      </c>
      <c r="B298" t="s">
        <v>31</v>
      </c>
      <c r="C298">
        <v>25.76724819</v>
      </c>
      <c r="D298">
        <v>5</v>
      </c>
      <c r="E298">
        <v>455</v>
      </c>
      <c r="F298" t="s">
        <v>26</v>
      </c>
      <c r="G298">
        <v>2.9955970000000001</v>
      </c>
      <c r="H298" t="b">
        <v>0</v>
      </c>
      <c r="I298">
        <v>2.9396450182926799</v>
      </c>
      <c r="J298">
        <v>5.5951981707317501E-2</v>
      </c>
      <c r="K298">
        <v>0.82432172046565899</v>
      </c>
      <c r="L298">
        <v>0.49720057068155399</v>
      </c>
      <c r="M298">
        <v>0.90792164885834703</v>
      </c>
      <c r="N298">
        <v>0.76528208070845105</v>
      </c>
      <c r="O298">
        <v>0.20121951219512199</v>
      </c>
      <c r="P298">
        <v>8.5586671226863795E-2</v>
      </c>
    </row>
    <row r="299" spans="1:16" x14ac:dyDescent="0.3">
      <c r="A299" t="s">
        <v>33</v>
      </c>
      <c r="B299" t="s">
        <v>31</v>
      </c>
      <c r="C299">
        <v>25.76724819</v>
      </c>
      <c r="D299">
        <v>7</v>
      </c>
      <c r="E299">
        <v>745</v>
      </c>
      <c r="F299" t="s">
        <v>26</v>
      </c>
      <c r="G299">
        <v>4.1177039999999998</v>
      </c>
      <c r="H299" t="b">
        <v>0</v>
      </c>
      <c r="I299">
        <v>4.1768068353658503</v>
      </c>
      <c r="J299">
        <v>-5.9102835365853701E-2</v>
      </c>
      <c r="K299">
        <v>-0.929343603436668</v>
      </c>
      <c r="L299">
        <v>-0.49720057068155399</v>
      </c>
      <c r="M299">
        <v>0.96402469026299697</v>
      </c>
      <c r="N299">
        <v>-0.89920375397724195</v>
      </c>
      <c r="O299">
        <v>0.29878048780487798</v>
      </c>
      <c r="P299">
        <v>0.18400129186601699</v>
      </c>
    </row>
    <row r="300" spans="1:16" x14ac:dyDescent="0.3">
      <c r="A300" t="s">
        <v>33</v>
      </c>
      <c r="B300" t="s">
        <v>31</v>
      </c>
      <c r="C300">
        <v>25.76724819</v>
      </c>
      <c r="D300">
        <v>9</v>
      </c>
      <c r="E300">
        <v>1035</v>
      </c>
      <c r="F300" t="s">
        <v>26</v>
      </c>
      <c r="G300">
        <v>5.4221659999999998</v>
      </c>
      <c r="H300" t="b">
        <v>0</v>
      </c>
      <c r="I300">
        <v>5.4139686524390198</v>
      </c>
      <c r="J300">
        <v>8.1973475609754196E-3</v>
      </c>
      <c r="K300">
        <v>0.17995514244583199</v>
      </c>
      <c r="L300">
        <v>0</v>
      </c>
      <c r="M300">
        <v>0.42421120028333997</v>
      </c>
      <c r="N300">
        <v>0.147732278750798</v>
      </c>
      <c r="O300">
        <v>0.64024390243902396</v>
      </c>
      <c r="P300">
        <v>2.88161406418092E-2</v>
      </c>
    </row>
    <row r="301" spans="1:16" x14ac:dyDescent="0.3">
      <c r="A301" t="s">
        <v>33</v>
      </c>
      <c r="B301" t="s">
        <v>31</v>
      </c>
      <c r="C301">
        <v>25.76724819</v>
      </c>
      <c r="D301">
        <v>2</v>
      </c>
      <c r="E301">
        <v>20</v>
      </c>
      <c r="F301" t="s">
        <v>27</v>
      </c>
      <c r="G301">
        <v>0.39</v>
      </c>
      <c r="H301" t="b">
        <v>0</v>
      </c>
      <c r="I301">
        <v>0.38411253658536598</v>
      </c>
      <c r="J301">
        <v>5.8874634146341004E-3</v>
      </c>
      <c r="K301">
        <v>9.6152274952903904E-2</v>
      </c>
      <c r="L301">
        <v>0</v>
      </c>
      <c r="M301">
        <v>0.31008430297727702</v>
      </c>
      <c r="N301">
        <v>7.8629255220741295E-2</v>
      </c>
      <c r="O301">
        <v>0.51219512195121897</v>
      </c>
      <c r="P301">
        <v>4.8537614887748902E-3</v>
      </c>
    </row>
    <row r="302" spans="1:16" x14ac:dyDescent="0.3">
      <c r="A302" t="s">
        <v>33</v>
      </c>
      <c r="B302" t="s">
        <v>31</v>
      </c>
      <c r="C302">
        <v>25.76724819</v>
      </c>
      <c r="D302">
        <v>3</v>
      </c>
      <c r="E302">
        <v>165</v>
      </c>
      <c r="F302" t="s">
        <v>27</v>
      </c>
      <c r="G302">
        <v>0.47147899999999998</v>
      </c>
      <c r="H302" t="b">
        <v>0</v>
      </c>
      <c r="I302">
        <v>0.44214574390243899</v>
      </c>
      <c r="J302">
        <v>2.9333256097560999E-2</v>
      </c>
      <c r="K302">
        <v>0.41423302584566102</v>
      </c>
      <c r="L302">
        <v>0.49720057068155399</v>
      </c>
      <c r="M302">
        <v>0.64360937364651705</v>
      </c>
      <c r="N302">
        <v>0.34832805939827399</v>
      </c>
      <c r="O302">
        <v>0.34756097560975602</v>
      </c>
      <c r="P302">
        <v>4.5703612069959799E-2</v>
      </c>
    </row>
    <row r="303" spans="1:16" x14ac:dyDescent="0.3">
      <c r="A303" t="s">
        <v>33</v>
      </c>
      <c r="B303" t="s">
        <v>31</v>
      </c>
      <c r="C303">
        <v>25.76724819</v>
      </c>
      <c r="D303">
        <v>5</v>
      </c>
      <c r="E303">
        <v>455</v>
      </c>
      <c r="F303" t="s">
        <v>27</v>
      </c>
      <c r="G303">
        <v>0.45342300000000002</v>
      </c>
      <c r="H303" t="b">
        <v>0</v>
      </c>
      <c r="I303">
        <v>0.55821215853658501</v>
      </c>
      <c r="J303">
        <v>-0.10478915853658501</v>
      </c>
      <c r="K303">
        <v>-1.3373868273930301</v>
      </c>
      <c r="L303">
        <v>-1.1797611176118601</v>
      </c>
      <c r="M303">
        <v>1.15645442080223</v>
      </c>
      <c r="N303">
        <v>-1.71841829026203</v>
      </c>
      <c r="O303">
        <v>0.20121951219512199</v>
      </c>
      <c r="P303">
        <v>0.22528212351444701</v>
      </c>
    </row>
    <row r="304" spans="1:16" x14ac:dyDescent="0.3">
      <c r="A304" t="s">
        <v>33</v>
      </c>
      <c r="B304" t="s">
        <v>31</v>
      </c>
      <c r="C304">
        <v>25.76724819</v>
      </c>
      <c r="D304">
        <v>7</v>
      </c>
      <c r="E304">
        <v>745</v>
      </c>
      <c r="F304" t="s">
        <v>27</v>
      </c>
      <c r="G304">
        <v>0.77525100000000002</v>
      </c>
      <c r="H304" t="b">
        <v>0</v>
      </c>
      <c r="I304">
        <v>0.67427857317073203</v>
      </c>
      <c r="J304">
        <v>0.10097242682926801</v>
      </c>
      <c r="K304">
        <v>1.3754037701304</v>
      </c>
      <c r="L304">
        <v>1.1797611176118601</v>
      </c>
      <c r="M304">
        <v>1.17277609548046</v>
      </c>
      <c r="N304">
        <v>1.8476661536391801</v>
      </c>
      <c r="O304">
        <v>0.29878048780487798</v>
      </c>
      <c r="P304">
        <v>0.40302191745024601</v>
      </c>
    </row>
    <row r="305" spans="1:16" x14ac:dyDescent="0.3">
      <c r="A305" t="s">
        <v>33</v>
      </c>
      <c r="B305" t="s">
        <v>31</v>
      </c>
      <c r="C305">
        <v>25.76724819</v>
      </c>
      <c r="D305">
        <v>9</v>
      </c>
      <c r="E305">
        <v>1035</v>
      </c>
      <c r="F305" t="s">
        <v>27</v>
      </c>
      <c r="G305">
        <v>0.75894099999999998</v>
      </c>
      <c r="H305" t="b">
        <v>0</v>
      </c>
      <c r="I305">
        <v>0.79034498780487805</v>
      </c>
      <c r="J305">
        <v>-3.1403987804878103E-2</v>
      </c>
      <c r="K305">
        <v>-0.59722108254015505</v>
      </c>
      <c r="L305">
        <v>-0.49720057068155399</v>
      </c>
      <c r="M305">
        <v>0.77280080392049</v>
      </c>
      <c r="N305">
        <v>-0.51948700000857395</v>
      </c>
      <c r="O305">
        <v>0.64024390243902396</v>
      </c>
      <c r="P305">
        <v>0.31737853601860699</v>
      </c>
    </row>
    <row r="306" spans="1:16" x14ac:dyDescent="0.3">
      <c r="A306" t="s">
        <v>33</v>
      </c>
      <c r="B306" t="s">
        <v>32</v>
      </c>
      <c r="C306">
        <v>22.630577710000001</v>
      </c>
      <c r="D306">
        <v>2</v>
      </c>
      <c r="E306">
        <v>20</v>
      </c>
      <c r="F306" t="s">
        <v>23</v>
      </c>
      <c r="G306">
        <v>2268.91678</v>
      </c>
      <c r="H306" t="b">
        <v>0</v>
      </c>
      <c r="I306">
        <v>2274.9925119999998</v>
      </c>
      <c r="J306">
        <v>-6.0757320000003299</v>
      </c>
      <c r="K306">
        <v>-0.66426011463767598</v>
      </c>
      <c r="L306">
        <v>-0.49720057068155399</v>
      </c>
      <c r="M306">
        <v>0.81502154243779101</v>
      </c>
      <c r="N306">
        <v>-0.587270958409704</v>
      </c>
      <c r="O306">
        <v>0.6</v>
      </c>
      <c r="P306">
        <v>0.33093112492384302</v>
      </c>
    </row>
    <row r="307" spans="1:16" x14ac:dyDescent="0.3">
      <c r="A307" t="s">
        <v>33</v>
      </c>
      <c r="B307" t="s">
        <v>32</v>
      </c>
      <c r="C307">
        <v>22.630577710000001</v>
      </c>
      <c r="D307">
        <v>3</v>
      </c>
      <c r="E307">
        <v>165</v>
      </c>
      <c r="F307" t="s">
        <v>23</v>
      </c>
      <c r="G307">
        <v>2300.4965900000002</v>
      </c>
      <c r="H307" t="b">
        <v>0</v>
      </c>
      <c r="I307">
        <v>2281.7596133000002</v>
      </c>
      <c r="J307">
        <v>18.736976700000099</v>
      </c>
      <c r="K307">
        <v>1.5485315550191701</v>
      </c>
      <c r="L307">
        <v>1.1797611176118601</v>
      </c>
      <c r="M307">
        <v>1.2444000783587099</v>
      </c>
      <c r="N307">
        <v>2.8224013338657898</v>
      </c>
      <c r="O307">
        <v>0.3</v>
      </c>
      <c r="P307">
        <v>0.51384642361930299</v>
      </c>
    </row>
    <row r="308" spans="1:16" x14ac:dyDescent="0.3">
      <c r="A308" t="s">
        <v>33</v>
      </c>
      <c r="B308" t="s">
        <v>32</v>
      </c>
      <c r="C308">
        <v>22.630577710000001</v>
      </c>
      <c r="D308">
        <v>4</v>
      </c>
      <c r="E308">
        <v>310</v>
      </c>
      <c r="F308" t="s">
        <v>23</v>
      </c>
      <c r="G308">
        <v>2275.0505680000001</v>
      </c>
      <c r="H308" t="b">
        <v>0</v>
      </c>
      <c r="I308">
        <v>2288.5267146000001</v>
      </c>
      <c r="J308">
        <v>-13.4761465999996</v>
      </c>
      <c r="K308">
        <v>-1.0418142564814501</v>
      </c>
      <c r="L308">
        <v>-1.1797611176118601</v>
      </c>
      <c r="M308">
        <v>1.0206930275462101</v>
      </c>
      <c r="N308">
        <v>-1.06478923526771</v>
      </c>
      <c r="O308">
        <v>0.2</v>
      </c>
      <c r="P308">
        <v>0.135672118125999</v>
      </c>
    </row>
    <row r="309" spans="1:16" x14ac:dyDescent="0.3">
      <c r="A309" t="s">
        <v>33</v>
      </c>
      <c r="B309" t="s">
        <v>32</v>
      </c>
      <c r="C309">
        <v>22.630577710000001</v>
      </c>
      <c r="D309">
        <v>5</v>
      </c>
      <c r="E309">
        <v>455</v>
      </c>
      <c r="F309" t="s">
        <v>23</v>
      </c>
      <c r="G309">
        <v>2290.338107</v>
      </c>
      <c r="H309" t="b">
        <v>0</v>
      </c>
      <c r="I309">
        <v>2295.2938159</v>
      </c>
      <c r="J309">
        <v>-4.9557088999998502</v>
      </c>
      <c r="K309">
        <v>-0.40956829546247098</v>
      </c>
      <c r="L309">
        <v>0</v>
      </c>
      <c r="M309">
        <v>0.63997523035073101</v>
      </c>
      <c r="N309">
        <v>-0.34417176861470899</v>
      </c>
      <c r="O309">
        <v>0.3</v>
      </c>
      <c r="P309">
        <v>3.5945611853150199E-2</v>
      </c>
    </row>
    <row r="310" spans="1:16" x14ac:dyDescent="0.3">
      <c r="A310" t="s">
        <v>33</v>
      </c>
      <c r="B310" t="s">
        <v>32</v>
      </c>
      <c r="C310">
        <v>22.630577710000001</v>
      </c>
      <c r="D310">
        <v>6</v>
      </c>
      <c r="E310">
        <v>600</v>
      </c>
      <c r="F310" t="s">
        <v>23</v>
      </c>
      <c r="G310">
        <v>2307.8315280000002</v>
      </c>
      <c r="H310" t="b">
        <v>0</v>
      </c>
      <c r="I310">
        <v>2302.0609171999999</v>
      </c>
      <c r="J310">
        <v>5.7706107999996696</v>
      </c>
      <c r="K310">
        <v>0.63090119701411895</v>
      </c>
      <c r="L310">
        <v>0.49720057068155399</v>
      </c>
      <c r="M310">
        <v>0.79429289120205404</v>
      </c>
      <c r="N310">
        <v>0.55312811550230501</v>
      </c>
      <c r="O310">
        <v>0.6</v>
      </c>
      <c r="P310">
        <v>0.29852724029538602</v>
      </c>
    </row>
    <row r="311" spans="1:16" x14ac:dyDescent="0.3">
      <c r="A311" t="s">
        <v>33</v>
      </c>
      <c r="B311" t="s">
        <v>32</v>
      </c>
      <c r="C311">
        <v>22.630577710000001</v>
      </c>
      <c r="D311">
        <v>2</v>
      </c>
      <c r="E311">
        <v>20</v>
      </c>
      <c r="F311" t="s">
        <v>25</v>
      </c>
      <c r="G311">
        <v>0.147924</v>
      </c>
      <c r="H311" t="b">
        <v>0</v>
      </c>
      <c r="I311">
        <v>0.10157344</v>
      </c>
      <c r="J311">
        <v>4.6350559999999999E-2</v>
      </c>
      <c r="K311">
        <v>1.5923352721116899</v>
      </c>
      <c r="L311">
        <v>1.1797611176118601</v>
      </c>
      <c r="M311">
        <v>1.2618776771588001</v>
      </c>
      <c r="N311">
        <v>3.3042388705613699</v>
      </c>
      <c r="O311">
        <v>0.6</v>
      </c>
      <c r="P311">
        <v>1.9016487141082501</v>
      </c>
    </row>
    <row r="312" spans="1:16" x14ac:dyDescent="0.3">
      <c r="A312" t="s">
        <v>33</v>
      </c>
      <c r="B312" t="s">
        <v>32</v>
      </c>
      <c r="C312">
        <v>22.630577710000001</v>
      </c>
      <c r="D312">
        <v>3</v>
      </c>
      <c r="E312">
        <v>165</v>
      </c>
      <c r="F312" t="s">
        <v>25</v>
      </c>
      <c r="G312">
        <v>5.4606099999999998E-2</v>
      </c>
      <c r="H312" t="b">
        <v>0</v>
      </c>
      <c r="I312">
        <v>0.11458693</v>
      </c>
      <c r="J312">
        <v>-5.9980829999999999E-2</v>
      </c>
      <c r="K312">
        <v>-1.55766110820395</v>
      </c>
      <c r="L312">
        <v>-1.1797611176118601</v>
      </c>
      <c r="M312">
        <v>1.24806294240473</v>
      </c>
      <c r="N312">
        <v>-2.9083631003867598</v>
      </c>
      <c r="O312">
        <v>0.3</v>
      </c>
      <c r="P312">
        <v>0.51992317028810298</v>
      </c>
    </row>
    <row r="313" spans="1:16" x14ac:dyDescent="0.3">
      <c r="A313" t="s">
        <v>33</v>
      </c>
      <c r="B313" t="s">
        <v>32</v>
      </c>
      <c r="C313">
        <v>22.630577710000001</v>
      </c>
      <c r="D313">
        <v>4</v>
      </c>
      <c r="E313">
        <v>310</v>
      </c>
      <c r="F313" t="s">
        <v>25</v>
      </c>
      <c r="G313">
        <v>0.13039400000000001</v>
      </c>
      <c r="H313" t="b">
        <v>0</v>
      </c>
      <c r="I313">
        <v>0.12760041999999999</v>
      </c>
      <c r="J313">
        <v>2.7935800000000099E-3</v>
      </c>
      <c r="K313">
        <v>6.7861842162633398E-2</v>
      </c>
      <c r="L313">
        <v>0</v>
      </c>
      <c r="M313">
        <v>0.26050305595641898</v>
      </c>
      <c r="N313">
        <v>5.5451539626272001E-2</v>
      </c>
      <c r="O313">
        <v>0.2</v>
      </c>
      <c r="P313">
        <v>5.7565370271327003E-4</v>
      </c>
    </row>
    <row r="314" spans="1:16" x14ac:dyDescent="0.3">
      <c r="A314" t="s">
        <v>33</v>
      </c>
      <c r="B314" t="s">
        <v>32</v>
      </c>
      <c r="C314">
        <v>22.630577710000001</v>
      </c>
      <c r="D314">
        <v>5</v>
      </c>
      <c r="E314">
        <v>455</v>
      </c>
      <c r="F314" t="s">
        <v>25</v>
      </c>
      <c r="G314">
        <v>0.12956699999999999</v>
      </c>
      <c r="H314" t="b">
        <v>0</v>
      </c>
      <c r="I314">
        <v>0.14061391000000001</v>
      </c>
      <c r="J314">
        <v>-1.104691E-2</v>
      </c>
      <c r="K314">
        <v>-0.28688069292854501</v>
      </c>
      <c r="L314">
        <v>-0.49720057068155399</v>
      </c>
      <c r="M314">
        <v>0.53561244657732299</v>
      </c>
      <c r="N314">
        <v>-0.23751773380903701</v>
      </c>
      <c r="O314">
        <v>0.3</v>
      </c>
      <c r="P314">
        <v>1.76358282803919E-2</v>
      </c>
    </row>
    <row r="315" spans="1:16" x14ac:dyDescent="0.3">
      <c r="A315" t="s">
        <v>33</v>
      </c>
      <c r="B315" t="s">
        <v>32</v>
      </c>
      <c r="C315">
        <v>22.630577710000001</v>
      </c>
      <c r="D315">
        <v>6</v>
      </c>
      <c r="E315">
        <v>600</v>
      </c>
      <c r="F315" t="s">
        <v>25</v>
      </c>
      <c r="G315">
        <v>0.175511</v>
      </c>
      <c r="H315" t="b">
        <v>0</v>
      </c>
      <c r="I315">
        <v>0.1536274</v>
      </c>
      <c r="J315">
        <v>2.18836E-2</v>
      </c>
      <c r="K315">
        <v>0.75179303466416103</v>
      </c>
      <c r="L315">
        <v>0.49720057068155399</v>
      </c>
      <c r="M315">
        <v>0.86705999484704699</v>
      </c>
      <c r="N315">
        <v>0.68136685553478604</v>
      </c>
      <c r="O315">
        <v>0.6</v>
      </c>
      <c r="P315">
        <v>0.42389457522716101</v>
      </c>
    </row>
    <row r="316" spans="1:16" x14ac:dyDescent="0.3">
      <c r="A316" t="s">
        <v>33</v>
      </c>
      <c r="B316" t="s">
        <v>32</v>
      </c>
      <c r="C316">
        <v>22.630577710000001</v>
      </c>
      <c r="D316">
        <v>2</v>
      </c>
      <c r="E316">
        <v>20</v>
      </c>
      <c r="F316" t="s">
        <v>26</v>
      </c>
      <c r="G316">
        <v>0.85356200000000004</v>
      </c>
      <c r="H316" t="b">
        <v>0</v>
      </c>
      <c r="I316">
        <v>0.89640560000000002</v>
      </c>
      <c r="J316">
        <v>-4.2843600000000003E-2</v>
      </c>
      <c r="K316">
        <v>-1.37881185719258</v>
      </c>
      <c r="L316">
        <v>-1.1797611176118601</v>
      </c>
      <c r="M316">
        <v>1.1742281963879899</v>
      </c>
      <c r="N316">
        <v>-1.8601385580104099</v>
      </c>
      <c r="O316">
        <v>0.6</v>
      </c>
      <c r="P316">
        <v>1.4258416031511401</v>
      </c>
    </row>
    <row r="317" spans="1:16" x14ac:dyDescent="0.3">
      <c r="A317" t="s">
        <v>33</v>
      </c>
      <c r="B317" t="s">
        <v>32</v>
      </c>
      <c r="C317">
        <v>22.630577710000001</v>
      </c>
      <c r="D317">
        <v>3</v>
      </c>
      <c r="E317">
        <v>165</v>
      </c>
      <c r="F317" t="s">
        <v>26</v>
      </c>
      <c r="G317">
        <v>1.3681270000000001</v>
      </c>
      <c r="H317" t="b">
        <v>0</v>
      </c>
      <c r="I317">
        <v>1.3514462</v>
      </c>
      <c r="J317">
        <v>1.66808000000001E-2</v>
      </c>
      <c r="K317">
        <v>0.40580454281099498</v>
      </c>
      <c r="L317">
        <v>0.49720057068155399</v>
      </c>
      <c r="M317">
        <v>0.63702789798484905</v>
      </c>
      <c r="N317">
        <v>0.340824382788736</v>
      </c>
      <c r="O317">
        <v>0.3</v>
      </c>
      <c r="P317">
        <v>3.5287998635580201E-2</v>
      </c>
    </row>
    <row r="318" spans="1:16" x14ac:dyDescent="0.3">
      <c r="A318" t="s">
        <v>33</v>
      </c>
      <c r="B318" t="s">
        <v>32</v>
      </c>
      <c r="C318">
        <v>22.630577710000001</v>
      </c>
      <c r="D318">
        <v>4</v>
      </c>
      <c r="E318">
        <v>310</v>
      </c>
      <c r="F318" t="s">
        <v>26</v>
      </c>
      <c r="G318">
        <v>1.870654</v>
      </c>
      <c r="H318" t="b">
        <v>0</v>
      </c>
      <c r="I318">
        <v>1.8064868000000001</v>
      </c>
      <c r="J318">
        <v>6.4167199999999897E-2</v>
      </c>
      <c r="K318">
        <v>1.4602161402659199</v>
      </c>
      <c r="L318">
        <v>1.1797611176118601</v>
      </c>
      <c r="M318">
        <v>1.2083940335279399</v>
      </c>
      <c r="N318">
        <v>2.2168184166286302</v>
      </c>
      <c r="O318">
        <v>0.2</v>
      </c>
      <c r="P318">
        <v>0.26652889703663901</v>
      </c>
    </row>
    <row r="319" spans="1:16" x14ac:dyDescent="0.3">
      <c r="A319" t="s">
        <v>33</v>
      </c>
      <c r="B319" t="s">
        <v>32</v>
      </c>
      <c r="C319">
        <v>22.630577710000001</v>
      </c>
      <c r="D319">
        <v>5</v>
      </c>
      <c r="E319">
        <v>455</v>
      </c>
      <c r="F319" t="s">
        <v>26</v>
      </c>
      <c r="G319">
        <v>2.2545250000000001</v>
      </c>
      <c r="H319" t="b">
        <v>0</v>
      </c>
      <c r="I319">
        <v>2.2615273999999999</v>
      </c>
      <c r="J319">
        <v>-7.0024000000002201E-3</v>
      </c>
      <c r="K319">
        <v>-0.17035188543593699</v>
      </c>
      <c r="L319">
        <v>0</v>
      </c>
      <c r="M319">
        <v>0.41273706574032898</v>
      </c>
      <c r="N319">
        <v>-0.13976938723732801</v>
      </c>
      <c r="O319">
        <v>0.3</v>
      </c>
      <c r="P319">
        <v>6.2185210439097E-3</v>
      </c>
    </row>
    <row r="320" spans="1:16" x14ac:dyDescent="0.3">
      <c r="A320" t="s">
        <v>33</v>
      </c>
      <c r="B320" t="s">
        <v>32</v>
      </c>
      <c r="C320">
        <v>22.630577710000001</v>
      </c>
      <c r="D320">
        <v>6</v>
      </c>
      <c r="E320">
        <v>600</v>
      </c>
      <c r="F320" t="s">
        <v>26</v>
      </c>
      <c r="G320">
        <v>2.6855660000000001</v>
      </c>
      <c r="H320" t="b">
        <v>0</v>
      </c>
      <c r="I320">
        <v>2.7165680000000001</v>
      </c>
      <c r="J320">
        <v>-3.1001999999999801E-2</v>
      </c>
      <c r="K320">
        <v>-0.99772020083943103</v>
      </c>
      <c r="L320">
        <v>-0.49720057068155399</v>
      </c>
      <c r="M320">
        <v>0.99885944999255605</v>
      </c>
      <c r="N320">
        <v>-0.99658613291782305</v>
      </c>
      <c r="O320">
        <v>0.6</v>
      </c>
      <c r="P320">
        <v>0.74658419937230502</v>
      </c>
    </row>
    <row r="321" spans="1:16" x14ac:dyDescent="0.3">
      <c r="A321" t="s">
        <v>33</v>
      </c>
      <c r="B321" t="s">
        <v>32</v>
      </c>
      <c r="C321">
        <v>22.630577710000001</v>
      </c>
      <c r="D321">
        <v>2</v>
      </c>
      <c r="E321">
        <v>20</v>
      </c>
      <c r="F321" t="s">
        <v>27</v>
      </c>
      <c r="G321">
        <v>0.28999999999999998</v>
      </c>
      <c r="H321" t="b">
        <v>0</v>
      </c>
      <c r="I321">
        <v>0.32280700000000001</v>
      </c>
      <c r="J321">
        <v>-3.28070000000001E-2</v>
      </c>
      <c r="K321">
        <v>-0.174613557936074</v>
      </c>
      <c r="L321">
        <v>0</v>
      </c>
      <c r="M321">
        <v>0.41786787138529102</v>
      </c>
      <c r="N321">
        <v>-0.14330144038465201</v>
      </c>
      <c r="O321">
        <v>0.6</v>
      </c>
      <c r="P321">
        <v>2.2867420961321001E-2</v>
      </c>
    </row>
    <row r="322" spans="1:16" x14ac:dyDescent="0.3">
      <c r="A322" t="s">
        <v>33</v>
      </c>
      <c r="B322" t="s">
        <v>32</v>
      </c>
      <c r="C322">
        <v>22.630577710000001</v>
      </c>
      <c r="D322">
        <v>3</v>
      </c>
      <c r="E322">
        <v>165</v>
      </c>
      <c r="F322" t="s">
        <v>27</v>
      </c>
      <c r="G322">
        <v>0.40102100000000002</v>
      </c>
      <c r="H322" t="b">
        <v>0</v>
      </c>
      <c r="I322">
        <v>0.42732579999999998</v>
      </c>
      <c r="J322">
        <v>-2.6304799999999899E-2</v>
      </c>
      <c r="K322">
        <v>-0.105834539094056</v>
      </c>
      <c r="L322">
        <v>0.49720057068155399</v>
      </c>
      <c r="M322">
        <v>0.32532220811689999</v>
      </c>
      <c r="N322">
        <v>-8.6575311406542302E-2</v>
      </c>
      <c r="O322">
        <v>0.3</v>
      </c>
      <c r="P322">
        <v>2.4002034996966899E-3</v>
      </c>
    </row>
    <row r="323" spans="1:16" x14ac:dyDescent="0.3">
      <c r="A323" t="s">
        <v>33</v>
      </c>
      <c r="B323" t="s">
        <v>32</v>
      </c>
      <c r="C323">
        <v>22.630577710000001</v>
      </c>
      <c r="D323">
        <v>4</v>
      </c>
      <c r="E323">
        <v>310</v>
      </c>
      <c r="F323" t="s">
        <v>27</v>
      </c>
      <c r="G323">
        <v>0.42277100000000001</v>
      </c>
      <c r="H323" t="b">
        <v>0</v>
      </c>
      <c r="I323">
        <v>0.5318446</v>
      </c>
      <c r="J323">
        <v>-0.10907360000000001</v>
      </c>
      <c r="K323">
        <v>-0.41050277051295903</v>
      </c>
      <c r="L323">
        <v>-0.49720057068155399</v>
      </c>
      <c r="M323">
        <v>0.64070490127121604</v>
      </c>
      <c r="N323">
        <v>-0.34500371208534802</v>
      </c>
      <c r="O323">
        <v>0.2</v>
      </c>
      <c r="P323">
        <v>2.1064065574851899E-2</v>
      </c>
    </row>
    <row r="324" spans="1:16" x14ac:dyDescent="0.3">
      <c r="A324" t="s">
        <v>33</v>
      </c>
      <c r="B324" t="s">
        <v>32</v>
      </c>
      <c r="C324">
        <v>22.630577710000001</v>
      </c>
      <c r="D324">
        <v>5</v>
      </c>
      <c r="E324">
        <v>455</v>
      </c>
      <c r="F324" t="s">
        <v>27</v>
      </c>
      <c r="G324">
        <v>1.0646530000000001</v>
      </c>
      <c r="H324" t="b">
        <v>0</v>
      </c>
      <c r="I324">
        <v>0.63636340000000002</v>
      </c>
      <c r="J324">
        <v>0.42828959999999999</v>
      </c>
      <c r="K324">
        <v>1.72317723057304</v>
      </c>
      <c r="L324">
        <v>1.1797611176118601</v>
      </c>
      <c r="M324">
        <v>1.31269845378634</v>
      </c>
      <c r="N324">
        <v>13.917371707252199</v>
      </c>
      <c r="O324">
        <v>0.3</v>
      </c>
      <c r="P324">
        <v>0.63628709313543497</v>
      </c>
    </row>
    <row r="325" spans="1:16" x14ac:dyDescent="0.3">
      <c r="A325" t="s">
        <v>33</v>
      </c>
      <c r="B325" t="s">
        <v>32</v>
      </c>
      <c r="C325">
        <v>22.630577710000001</v>
      </c>
      <c r="D325">
        <v>6</v>
      </c>
      <c r="E325">
        <v>600</v>
      </c>
      <c r="F325" t="s">
        <v>27</v>
      </c>
      <c r="G325">
        <v>0.48077799999999998</v>
      </c>
      <c r="H325" t="b">
        <v>0</v>
      </c>
      <c r="I325">
        <v>0.74088220000000005</v>
      </c>
      <c r="J325">
        <v>-0.26010420000000001</v>
      </c>
      <c r="K325">
        <v>-1.38439112982339</v>
      </c>
      <c r="L325">
        <v>-1.1797611176118601</v>
      </c>
      <c r="M325">
        <v>1.17660151700709</v>
      </c>
      <c r="N325">
        <v>-1.8809061402526299</v>
      </c>
      <c r="O325">
        <v>0.6</v>
      </c>
      <c r="P325">
        <v>1.43740410025027</v>
      </c>
    </row>
    <row r="326" spans="1:16" x14ac:dyDescent="0.3">
      <c r="A326" t="s">
        <v>34</v>
      </c>
      <c r="B326" t="s">
        <v>28</v>
      </c>
      <c r="C326">
        <v>21.8</v>
      </c>
      <c r="D326">
        <v>2</v>
      </c>
      <c r="E326">
        <v>20</v>
      </c>
      <c r="F326" t="s">
        <v>23</v>
      </c>
      <c r="G326">
        <v>2088.0437480000001</v>
      </c>
      <c r="H326" t="b">
        <v>0</v>
      </c>
      <c r="I326">
        <v>2092.60313141189</v>
      </c>
      <c r="J326">
        <v>-4.5593834118900904</v>
      </c>
      <c r="K326">
        <v>-0.78406827153698699</v>
      </c>
      <c r="L326">
        <v>-0.15250597424624401</v>
      </c>
      <c r="M326">
        <v>0.88547629642864301</v>
      </c>
      <c r="N326">
        <v>-0.755503487976391</v>
      </c>
      <c r="O326">
        <v>0.38004246284501098</v>
      </c>
      <c r="P326">
        <v>0.18842908688895299</v>
      </c>
    </row>
    <row r="327" spans="1:16" x14ac:dyDescent="0.3">
      <c r="A327" t="s">
        <v>34</v>
      </c>
      <c r="B327" t="s">
        <v>28</v>
      </c>
      <c r="C327">
        <v>21.8</v>
      </c>
      <c r="D327">
        <v>3</v>
      </c>
      <c r="E327">
        <v>465</v>
      </c>
      <c r="F327" t="s">
        <v>23</v>
      </c>
      <c r="G327">
        <v>2108.4854180000002</v>
      </c>
      <c r="H327" t="b">
        <v>0</v>
      </c>
      <c r="I327">
        <v>2113.3910779830098</v>
      </c>
      <c r="J327">
        <v>-4.9056599830146999</v>
      </c>
      <c r="K327">
        <v>-0.77499443647949295</v>
      </c>
      <c r="L327">
        <v>-0.472789120992267</v>
      </c>
      <c r="M327">
        <v>0.88033768320996797</v>
      </c>
      <c r="N327">
        <v>-0.74578130857781799</v>
      </c>
      <c r="O327">
        <v>0.26539278131634803</v>
      </c>
      <c r="P327">
        <v>0.108492842589264</v>
      </c>
    </row>
    <row r="328" spans="1:16" x14ac:dyDescent="0.3">
      <c r="A328" t="s">
        <v>34</v>
      </c>
      <c r="B328" t="s">
        <v>28</v>
      </c>
      <c r="C328">
        <v>21.8</v>
      </c>
      <c r="D328">
        <v>4</v>
      </c>
      <c r="E328">
        <v>910</v>
      </c>
      <c r="F328" t="s">
        <v>23</v>
      </c>
      <c r="G328">
        <v>2134.0547670000001</v>
      </c>
      <c r="H328" t="b">
        <v>0</v>
      </c>
      <c r="I328">
        <v>2134.1790245541401</v>
      </c>
      <c r="J328">
        <v>-0.12425755414013399</v>
      </c>
      <c r="K328">
        <v>-1.8633583306963599E-2</v>
      </c>
      <c r="L328">
        <v>0.15250597424624401</v>
      </c>
      <c r="M328">
        <v>0.13650488382092299</v>
      </c>
      <c r="N328">
        <v>-1.70105487010698E-2</v>
      </c>
      <c r="O328">
        <v>0.184713375796178</v>
      </c>
      <c r="P328">
        <v>3.93324311674571E-5</v>
      </c>
    </row>
    <row r="329" spans="1:16" x14ac:dyDescent="0.3">
      <c r="A329" t="s">
        <v>34</v>
      </c>
      <c r="B329" t="s">
        <v>28</v>
      </c>
      <c r="C329">
        <v>21.8</v>
      </c>
      <c r="D329">
        <v>5</v>
      </c>
      <c r="E329">
        <v>1355</v>
      </c>
      <c r="F329" t="s">
        <v>23</v>
      </c>
      <c r="G329">
        <v>2164.2047010000001</v>
      </c>
      <c r="H329" t="b">
        <v>0</v>
      </c>
      <c r="I329">
        <v>2154.96697112526</v>
      </c>
      <c r="J329">
        <v>9.2377298747350096</v>
      </c>
      <c r="K329">
        <v>1.34722903067986</v>
      </c>
      <c r="L329">
        <v>1.43420015968638</v>
      </c>
      <c r="M329">
        <v>1.1607019560076</v>
      </c>
      <c r="N329">
        <v>1.47258392682281</v>
      </c>
      <c r="O329">
        <v>0.138004246284501</v>
      </c>
      <c r="P329">
        <v>0.14529149503932101</v>
      </c>
    </row>
    <row r="330" spans="1:16" x14ac:dyDescent="0.3">
      <c r="A330" t="s">
        <v>34</v>
      </c>
      <c r="B330" t="s">
        <v>28</v>
      </c>
      <c r="C330">
        <v>21.8</v>
      </c>
      <c r="D330">
        <v>6</v>
      </c>
      <c r="E330">
        <v>1800</v>
      </c>
      <c r="F330" t="s">
        <v>23</v>
      </c>
      <c r="G330">
        <v>2183.208513</v>
      </c>
      <c r="H330" t="b">
        <v>0</v>
      </c>
      <c r="I330">
        <v>2175.7549176963898</v>
      </c>
      <c r="J330">
        <v>7.4535953036095899</v>
      </c>
      <c r="K330">
        <v>1.0790868286594799</v>
      </c>
      <c r="L330">
        <v>0.85249503427469397</v>
      </c>
      <c r="M330">
        <v>1.03879104186524</v>
      </c>
      <c r="N330">
        <v>1.0972800516749099</v>
      </c>
      <c r="O330">
        <v>0.12526539278131599</v>
      </c>
      <c r="P330">
        <v>8.3375333305091795E-2</v>
      </c>
    </row>
    <row r="331" spans="1:16" x14ac:dyDescent="0.3">
      <c r="A331" t="s">
        <v>34</v>
      </c>
      <c r="B331" t="s">
        <v>28</v>
      </c>
      <c r="C331">
        <v>21.8</v>
      </c>
      <c r="D331">
        <v>7</v>
      </c>
      <c r="E331">
        <v>2245</v>
      </c>
      <c r="F331" t="s">
        <v>23</v>
      </c>
      <c r="G331">
        <v>2110.9674690000002</v>
      </c>
      <c r="H331" t="b">
        <v>1</v>
      </c>
    </row>
    <row r="332" spans="1:16" x14ac:dyDescent="0.3">
      <c r="A332" t="s">
        <v>34</v>
      </c>
      <c r="B332" t="s">
        <v>28</v>
      </c>
      <c r="C332">
        <v>21.8</v>
      </c>
      <c r="D332">
        <v>8</v>
      </c>
      <c r="E332">
        <v>2690</v>
      </c>
      <c r="F332" t="s">
        <v>23</v>
      </c>
      <c r="G332">
        <v>2211.799544</v>
      </c>
      <c r="H332" t="b">
        <v>0</v>
      </c>
      <c r="I332">
        <v>2217.33081083864</v>
      </c>
      <c r="J332">
        <v>-5.5312668386411596</v>
      </c>
      <c r="K332">
        <v>-0.83824289003108798</v>
      </c>
      <c r="L332">
        <v>-0.85249503427469397</v>
      </c>
      <c r="M332">
        <v>0.91555605510044402</v>
      </c>
      <c r="N332">
        <v>-0.81437717587071901</v>
      </c>
      <c r="O332">
        <v>0.201698513800425</v>
      </c>
      <c r="P332">
        <v>8.8765769355490298E-2</v>
      </c>
    </row>
    <row r="333" spans="1:16" x14ac:dyDescent="0.3">
      <c r="A333" t="s">
        <v>34</v>
      </c>
      <c r="B333" t="s">
        <v>28</v>
      </c>
      <c r="C333">
        <v>21.8</v>
      </c>
      <c r="D333">
        <v>9</v>
      </c>
      <c r="E333">
        <v>3135</v>
      </c>
      <c r="F333" t="s">
        <v>23</v>
      </c>
      <c r="G333">
        <v>2244.7384929999998</v>
      </c>
      <c r="H333" t="b">
        <v>0</v>
      </c>
      <c r="I333">
        <v>2238.1187574097698</v>
      </c>
      <c r="J333">
        <v>6.6197355902333701</v>
      </c>
      <c r="K333">
        <v>1.0644042507424401</v>
      </c>
      <c r="L333">
        <v>0.472789120992267</v>
      </c>
      <c r="M333">
        <v>1.0316996901920801</v>
      </c>
      <c r="N333">
        <v>1.0788448293628401</v>
      </c>
      <c r="O333">
        <v>0.290870488322718</v>
      </c>
      <c r="P333">
        <v>0.232357826396414</v>
      </c>
    </row>
    <row r="334" spans="1:16" x14ac:dyDescent="0.3">
      <c r="A334" t="s">
        <v>34</v>
      </c>
      <c r="B334" t="s">
        <v>28</v>
      </c>
      <c r="C334">
        <v>21.8</v>
      </c>
      <c r="D334">
        <v>10</v>
      </c>
      <c r="E334">
        <v>3580</v>
      </c>
      <c r="F334" t="s">
        <v>23</v>
      </c>
      <c r="G334">
        <v>2250.7162109999999</v>
      </c>
      <c r="H334" t="b">
        <v>0</v>
      </c>
      <c r="I334">
        <v>2258.9067039808901</v>
      </c>
      <c r="J334">
        <v>-8.1904929808918805</v>
      </c>
      <c r="K334">
        <v>-1.4487541472127099</v>
      </c>
      <c r="L334">
        <v>-1.43420015968638</v>
      </c>
      <c r="M334">
        <v>1.20364203449892</v>
      </c>
      <c r="N334">
        <v>-1.64015735986063</v>
      </c>
      <c r="O334">
        <v>0.41401273885350298</v>
      </c>
      <c r="P334">
        <v>0.74145520456136904</v>
      </c>
    </row>
    <row r="335" spans="1:16" x14ac:dyDescent="0.3">
      <c r="A335" t="s">
        <v>34</v>
      </c>
      <c r="B335" t="s">
        <v>28</v>
      </c>
      <c r="C335">
        <v>21.8</v>
      </c>
      <c r="D335">
        <v>2</v>
      </c>
      <c r="E335">
        <v>20</v>
      </c>
      <c r="F335" t="s">
        <v>25</v>
      </c>
      <c r="G335">
        <v>0.438328</v>
      </c>
      <c r="H335" t="b">
        <v>0</v>
      </c>
      <c r="I335">
        <v>0.25710957777777799</v>
      </c>
      <c r="J335">
        <v>0.18121842222222201</v>
      </c>
      <c r="K335">
        <v>1.2449100621679301</v>
      </c>
      <c r="L335">
        <v>0.93197131234318997</v>
      </c>
      <c r="M335">
        <v>1.11575537738696</v>
      </c>
      <c r="N335">
        <v>1.30619321965955</v>
      </c>
      <c r="O335">
        <v>0.37777777777777799</v>
      </c>
      <c r="P335">
        <v>0.47047532266211101</v>
      </c>
    </row>
    <row r="336" spans="1:16" x14ac:dyDescent="0.3">
      <c r="A336" t="s">
        <v>34</v>
      </c>
      <c r="B336" t="s">
        <v>28</v>
      </c>
      <c r="C336">
        <v>21.8</v>
      </c>
      <c r="D336">
        <v>3</v>
      </c>
      <c r="E336">
        <v>465</v>
      </c>
      <c r="F336" t="s">
        <v>25</v>
      </c>
      <c r="G336">
        <v>0.31606800000000002</v>
      </c>
      <c r="H336" t="b">
        <v>0</v>
      </c>
      <c r="I336">
        <v>0.324506627777778</v>
      </c>
      <c r="J336">
        <v>-8.4386277777775496E-3</v>
      </c>
      <c r="K336">
        <v>-5.31974302754257E-2</v>
      </c>
      <c r="L336">
        <v>-0.27439148786003698</v>
      </c>
      <c r="M336">
        <v>0.230645681241652</v>
      </c>
      <c r="N336">
        <v>-4.9261208895813702E-2</v>
      </c>
      <c r="O336">
        <v>0.26111111111111102</v>
      </c>
      <c r="P336">
        <v>5.0003169034478401E-4</v>
      </c>
    </row>
    <row r="337" spans="1:16" x14ac:dyDescent="0.3">
      <c r="A337" t="s">
        <v>34</v>
      </c>
      <c r="B337" t="s">
        <v>28</v>
      </c>
      <c r="C337">
        <v>21.8</v>
      </c>
      <c r="D337">
        <v>4</v>
      </c>
      <c r="E337">
        <v>910</v>
      </c>
      <c r="F337" t="s">
        <v>25</v>
      </c>
      <c r="G337">
        <v>0.22595799999999999</v>
      </c>
      <c r="H337" t="b">
        <v>0</v>
      </c>
      <c r="I337">
        <v>0.39190367777777801</v>
      </c>
      <c r="J337">
        <v>-0.16594567777777799</v>
      </c>
      <c r="K337">
        <v>-0.99169867092925001</v>
      </c>
      <c r="L337">
        <v>-0.57163752516508604</v>
      </c>
      <c r="M337">
        <v>0.99584068551613703</v>
      </c>
      <c r="N337">
        <v>-0.99033511387042905</v>
      </c>
      <c r="O337">
        <v>0.17777777777777801</v>
      </c>
      <c r="P337">
        <v>0.106320676099767</v>
      </c>
    </row>
    <row r="338" spans="1:16" x14ac:dyDescent="0.3">
      <c r="A338" t="s">
        <v>34</v>
      </c>
      <c r="B338" t="s">
        <v>28</v>
      </c>
      <c r="C338">
        <v>21.8</v>
      </c>
      <c r="D338">
        <v>5</v>
      </c>
      <c r="E338">
        <v>1355</v>
      </c>
      <c r="F338" t="s">
        <v>25</v>
      </c>
      <c r="G338">
        <v>0.658111</v>
      </c>
      <c r="H338" t="b">
        <v>0</v>
      </c>
      <c r="I338">
        <v>0.45930072777777797</v>
      </c>
      <c r="J338">
        <v>0.198810272222222</v>
      </c>
      <c r="K338">
        <v>1.1535425996775599</v>
      </c>
      <c r="L338">
        <v>1.4941549086209001</v>
      </c>
      <c r="M338">
        <v>1.0740310049889401</v>
      </c>
      <c r="N338">
        <v>1.1867057079564201</v>
      </c>
      <c r="O338">
        <v>0.12777777777777799</v>
      </c>
      <c r="P338">
        <v>9.7468764882897296E-2</v>
      </c>
    </row>
    <row r="339" spans="1:16" x14ac:dyDescent="0.3">
      <c r="A339" t="s">
        <v>34</v>
      </c>
      <c r="B339" t="s">
        <v>28</v>
      </c>
      <c r="C339">
        <v>21.8</v>
      </c>
      <c r="D339">
        <v>6</v>
      </c>
      <c r="E339">
        <v>1800</v>
      </c>
      <c r="F339" t="s">
        <v>25</v>
      </c>
      <c r="G339">
        <v>0.25759900000000002</v>
      </c>
      <c r="H339" t="b">
        <v>0</v>
      </c>
      <c r="I339">
        <v>0.52669777777777804</v>
      </c>
      <c r="J339">
        <v>-0.26909877777777802</v>
      </c>
      <c r="K339">
        <v>-1.5466654263103501</v>
      </c>
      <c r="L339">
        <v>-1.4941549086209001</v>
      </c>
      <c r="M339">
        <v>1.24365004173616</v>
      </c>
      <c r="N339">
        <v>-1.76491569202972</v>
      </c>
      <c r="O339">
        <v>0.11111111111111099</v>
      </c>
      <c r="P339">
        <v>0.14951087130898599</v>
      </c>
    </row>
    <row r="340" spans="1:16" x14ac:dyDescent="0.3">
      <c r="A340" t="s">
        <v>34</v>
      </c>
      <c r="B340" t="s">
        <v>28</v>
      </c>
      <c r="C340">
        <v>21.8</v>
      </c>
      <c r="D340">
        <v>7</v>
      </c>
      <c r="E340">
        <v>2245</v>
      </c>
      <c r="F340" t="s">
        <v>25</v>
      </c>
      <c r="G340">
        <v>0.39508300000000002</v>
      </c>
      <c r="H340" t="b">
        <v>0</v>
      </c>
      <c r="I340">
        <v>0.594094827777778</v>
      </c>
      <c r="J340">
        <v>-0.19901182777777801</v>
      </c>
      <c r="K340">
        <v>-1.1547120710380501</v>
      </c>
      <c r="L340">
        <v>-0.93197131234318997</v>
      </c>
      <c r="M340">
        <v>1.0745752979843</v>
      </c>
      <c r="N340">
        <v>-1.18819171086886</v>
      </c>
      <c r="O340">
        <v>0.12777777777777799</v>
      </c>
      <c r="P340">
        <v>9.7666494398160802E-2</v>
      </c>
    </row>
    <row r="341" spans="1:16" x14ac:dyDescent="0.3">
      <c r="A341" t="s">
        <v>34</v>
      </c>
      <c r="B341" t="s">
        <v>28</v>
      </c>
      <c r="C341">
        <v>21.8</v>
      </c>
      <c r="D341">
        <v>8</v>
      </c>
      <c r="E341">
        <v>2690</v>
      </c>
      <c r="F341" t="s">
        <v>25</v>
      </c>
      <c r="G341">
        <v>0.78298900000000005</v>
      </c>
      <c r="H341" t="b">
        <v>0</v>
      </c>
      <c r="I341">
        <v>0.66149187777777796</v>
      </c>
      <c r="J341">
        <v>0.121497122222222</v>
      </c>
      <c r="K341">
        <v>0.72607214748223703</v>
      </c>
      <c r="L341">
        <v>0.57163752516508604</v>
      </c>
      <c r="M341">
        <v>0.852098672386149</v>
      </c>
      <c r="N341">
        <v>0.69905068091046596</v>
      </c>
      <c r="O341">
        <v>0.17777777777777801</v>
      </c>
      <c r="P341">
        <v>5.6992514956699103E-2</v>
      </c>
    </row>
    <row r="342" spans="1:16" x14ac:dyDescent="0.3">
      <c r="A342" t="s">
        <v>34</v>
      </c>
      <c r="B342" t="s">
        <v>28</v>
      </c>
      <c r="C342">
        <v>21.8</v>
      </c>
      <c r="D342">
        <v>9</v>
      </c>
      <c r="E342">
        <v>3135</v>
      </c>
      <c r="F342" t="s">
        <v>25</v>
      </c>
      <c r="G342">
        <v>0.77027100000000004</v>
      </c>
      <c r="H342" t="b">
        <v>0</v>
      </c>
      <c r="I342">
        <v>0.72888892777777803</v>
      </c>
      <c r="J342">
        <v>4.1382072222222198E-2</v>
      </c>
      <c r="K342">
        <v>0.26087415628066402</v>
      </c>
      <c r="L342">
        <v>0</v>
      </c>
      <c r="M342">
        <v>0.51075841283395895</v>
      </c>
      <c r="N342">
        <v>0.24270523212324099</v>
      </c>
      <c r="O342">
        <v>0.26111111111111102</v>
      </c>
      <c r="P342">
        <v>1.2024813137263101E-2</v>
      </c>
    </row>
    <row r="343" spans="1:16" x14ac:dyDescent="0.3">
      <c r="A343" t="s">
        <v>34</v>
      </c>
      <c r="B343" t="s">
        <v>28</v>
      </c>
      <c r="C343">
        <v>21.8</v>
      </c>
      <c r="D343">
        <v>10</v>
      </c>
      <c r="E343">
        <v>3580</v>
      </c>
      <c r="F343" t="s">
        <v>25</v>
      </c>
      <c r="G343">
        <v>0.89587300000000003</v>
      </c>
      <c r="H343" t="b">
        <v>0</v>
      </c>
      <c r="I343">
        <v>0.79628597777777799</v>
      </c>
      <c r="J343">
        <v>9.9587022222222196E-2</v>
      </c>
      <c r="K343">
        <v>0.68412959623805103</v>
      </c>
      <c r="L343">
        <v>0.27439148786003698</v>
      </c>
      <c r="M343">
        <v>0.82712127057527096</v>
      </c>
      <c r="N343">
        <v>0.65568013061541597</v>
      </c>
      <c r="O343">
        <v>0.37777777777777799</v>
      </c>
      <c r="P343">
        <v>0.14208153885054001</v>
      </c>
    </row>
    <row r="344" spans="1:16" x14ac:dyDescent="0.3">
      <c r="A344" t="s">
        <v>34</v>
      </c>
      <c r="B344" t="s">
        <v>28</v>
      </c>
      <c r="C344">
        <v>21.8</v>
      </c>
      <c r="D344">
        <v>2</v>
      </c>
      <c r="E344">
        <v>20</v>
      </c>
      <c r="F344" t="s">
        <v>26</v>
      </c>
      <c r="G344">
        <v>0.131137</v>
      </c>
      <c r="H344" t="b">
        <v>0</v>
      </c>
      <c r="I344">
        <v>0.275667733333333</v>
      </c>
      <c r="J344">
        <v>-0.14453073333333299</v>
      </c>
      <c r="K344">
        <v>-0.45783895102426497</v>
      </c>
      <c r="L344">
        <v>-0.57163752516508604</v>
      </c>
      <c r="M344">
        <v>0.67663797633909495</v>
      </c>
      <c r="N344">
        <v>-0.430369228813269</v>
      </c>
      <c r="O344">
        <v>0.37777777777777799</v>
      </c>
      <c r="P344">
        <v>6.3633581897767605E-2</v>
      </c>
    </row>
    <row r="345" spans="1:16" x14ac:dyDescent="0.3">
      <c r="A345" t="s">
        <v>34</v>
      </c>
      <c r="B345" t="s">
        <v>28</v>
      </c>
      <c r="C345">
        <v>21.8</v>
      </c>
      <c r="D345">
        <v>3</v>
      </c>
      <c r="E345">
        <v>465</v>
      </c>
      <c r="F345" t="s">
        <v>26</v>
      </c>
      <c r="G345">
        <v>0.52809700000000004</v>
      </c>
      <c r="H345" t="b">
        <v>0</v>
      </c>
      <c r="I345">
        <v>0.47806188333333299</v>
      </c>
      <c r="J345">
        <v>5.00351166666669E-2</v>
      </c>
      <c r="K345">
        <v>0.14544896635284299</v>
      </c>
      <c r="L345">
        <v>0.27439148786003698</v>
      </c>
      <c r="M345">
        <v>0.38137772136406101</v>
      </c>
      <c r="N345">
        <v>0.13486352303611801</v>
      </c>
      <c r="O345">
        <v>0.26111111111111102</v>
      </c>
      <c r="P345">
        <v>3.7379845308879401E-3</v>
      </c>
    </row>
    <row r="346" spans="1:16" x14ac:dyDescent="0.3">
      <c r="A346" t="s">
        <v>34</v>
      </c>
      <c r="B346" t="s">
        <v>28</v>
      </c>
      <c r="C346">
        <v>21.8</v>
      </c>
      <c r="D346">
        <v>4</v>
      </c>
      <c r="E346">
        <v>910</v>
      </c>
      <c r="F346" t="s">
        <v>26</v>
      </c>
      <c r="G346">
        <v>0.81672100000000003</v>
      </c>
      <c r="H346" t="b">
        <v>0</v>
      </c>
      <c r="I346">
        <v>0.68045603333333304</v>
      </c>
      <c r="J346">
        <v>0.13626496666666599</v>
      </c>
      <c r="K346">
        <v>0.375504287017424</v>
      </c>
      <c r="L346">
        <v>0.57163752516508604</v>
      </c>
      <c r="M346">
        <v>0.61278404598800096</v>
      </c>
      <c r="N346">
        <v>0.35120463041935801</v>
      </c>
      <c r="O346">
        <v>0.17777777777777801</v>
      </c>
      <c r="P346">
        <v>1.52436183317258E-2</v>
      </c>
    </row>
    <row r="347" spans="1:16" x14ac:dyDescent="0.3">
      <c r="A347" t="s">
        <v>34</v>
      </c>
      <c r="B347" t="s">
        <v>28</v>
      </c>
      <c r="C347">
        <v>21.8</v>
      </c>
      <c r="D347">
        <v>5</v>
      </c>
      <c r="E347">
        <v>1355</v>
      </c>
      <c r="F347" t="s">
        <v>26</v>
      </c>
      <c r="G347">
        <v>0.70246799999999998</v>
      </c>
      <c r="H347" t="b">
        <v>0</v>
      </c>
      <c r="I347">
        <v>0.88285018333333298</v>
      </c>
      <c r="J347">
        <v>-0.180382183333333</v>
      </c>
      <c r="K347">
        <v>-0.48262004526303198</v>
      </c>
      <c r="L347">
        <v>-0.93197131234318997</v>
      </c>
      <c r="M347">
        <v>0.69470860456959305</v>
      </c>
      <c r="N347">
        <v>-0.45444402060773598</v>
      </c>
      <c r="O347">
        <v>0.12777777777777799</v>
      </c>
      <c r="P347">
        <v>1.7061173522493301E-2</v>
      </c>
    </row>
    <row r="348" spans="1:16" x14ac:dyDescent="0.3">
      <c r="A348" t="s">
        <v>34</v>
      </c>
      <c r="B348" t="s">
        <v>28</v>
      </c>
      <c r="C348">
        <v>21.8</v>
      </c>
      <c r="D348">
        <v>6</v>
      </c>
      <c r="E348">
        <v>1800</v>
      </c>
      <c r="F348" t="s">
        <v>26</v>
      </c>
      <c r="G348">
        <v>1.7375039999999999</v>
      </c>
      <c r="H348" t="b">
        <v>0</v>
      </c>
      <c r="I348">
        <v>1.0852443333333299</v>
      </c>
      <c r="J348">
        <v>0.65225966666666702</v>
      </c>
      <c r="K348">
        <v>1.7287097275851599</v>
      </c>
      <c r="L348">
        <v>1.4941549086209001</v>
      </c>
      <c r="M348">
        <v>1.3148040643324601</v>
      </c>
      <c r="N348">
        <v>2.11417488767915</v>
      </c>
      <c r="O348">
        <v>0.11111111111111099</v>
      </c>
      <c r="P348">
        <v>0.186777332640473</v>
      </c>
    </row>
    <row r="349" spans="1:16" x14ac:dyDescent="0.3">
      <c r="A349" t="s">
        <v>34</v>
      </c>
      <c r="B349" t="s">
        <v>28</v>
      </c>
      <c r="C349">
        <v>21.8</v>
      </c>
      <c r="D349">
        <v>7</v>
      </c>
      <c r="E349">
        <v>2245</v>
      </c>
      <c r="F349" t="s">
        <v>26</v>
      </c>
      <c r="G349">
        <v>0.55299399999999999</v>
      </c>
      <c r="H349" t="b">
        <v>0</v>
      </c>
      <c r="I349">
        <v>1.2876384833333301</v>
      </c>
      <c r="J349">
        <v>-0.73464448333333299</v>
      </c>
      <c r="K349">
        <v>-1.96557191650896</v>
      </c>
      <c r="L349">
        <v>-1.4941549086209001</v>
      </c>
      <c r="M349">
        <v>1.40198855790943</v>
      </c>
      <c r="N349">
        <v>-2.71856703001699</v>
      </c>
      <c r="O349">
        <v>0.12777777777777799</v>
      </c>
      <c r="P349">
        <v>0.28299324221745198</v>
      </c>
    </row>
    <row r="350" spans="1:16" x14ac:dyDescent="0.3">
      <c r="A350" t="s">
        <v>34</v>
      </c>
      <c r="B350" t="s">
        <v>28</v>
      </c>
      <c r="C350">
        <v>21.8</v>
      </c>
      <c r="D350">
        <v>8</v>
      </c>
      <c r="E350">
        <v>2690</v>
      </c>
      <c r="F350" t="s">
        <v>26</v>
      </c>
      <c r="G350">
        <v>1.7668459999999999</v>
      </c>
      <c r="H350" t="b">
        <v>0</v>
      </c>
      <c r="I350">
        <v>1.49003263333333</v>
      </c>
      <c r="J350">
        <v>0.276813366666667</v>
      </c>
      <c r="K350">
        <v>0.76281239727104899</v>
      </c>
      <c r="L350">
        <v>0.93197131234318997</v>
      </c>
      <c r="M350">
        <v>0.87339131966779304</v>
      </c>
      <c r="N350">
        <v>0.73754673453795705</v>
      </c>
      <c r="O350">
        <v>0.17777777777777801</v>
      </c>
      <c r="P350">
        <v>6.2906243614097704E-2</v>
      </c>
    </row>
    <row r="351" spans="1:16" x14ac:dyDescent="0.3">
      <c r="A351" t="s">
        <v>34</v>
      </c>
      <c r="B351" t="s">
        <v>28</v>
      </c>
      <c r="C351">
        <v>21.8</v>
      </c>
      <c r="D351">
        <v>9</v>
      </c>
      <c r="E351">
        <v>3135</v>
      </c>
      <c r="F351" t="s">
        <v>26</v>
      </c>
      <c r="G351">
        <v>1.6240159999999999</v>
      </c>
      <c r="H351" t="b">
        <v>0</v>
      </c>
      <c r="I351">
        <v>1.69242678333333</v>
      </c>
      <c r="J351">
        <v>-6.8410783333333197E-2</v>
      </c>
      <c r="K351">
        <v>-0.19886588432500699</v>
      </c>
      <c r="L351">
        <v>-0.27439148786003698</v>
      </c>
      <c r="M351">
        <v>0.445943812968637</v>
      </c>
      <c r="N351">
        <v>-0.18463633815443301</v>
      </c>
      <c r="O351">
        <v>0.26111111111111102</v>
      </c>
      <c r="P351">
        <v>6.9877408931325298E-3</v>
      </c>
    </row>
    <row r="352" spans="1:16" x14ac:dyDescent="0.3">
      <c r="A352" t="s">
        <v>34</v>
      </c>
      <c r="B352" t="s">
        <v>28</v>
      </c>
      <c r="C352">
        <v>21.8</v>
      </c>
      <c r="D352">
        <v>10</v>
      </c>
      <c r="E352">
        <v>3580</v>
      </c>
      <c r="F352" t="s">
        <v>26</v>
      </c>
      <c r="G352">
        <v>1.907416</v>
      </c>
      <c r="H352" t="b">
        <v>0</v>
      </c>
      <c r="I352">
        <v>1.8948209333333299</v>
      </c>
      <c r="J352">
        <v>1.25950666666667E-2</v>
      </c>
      <c r="K352">
        <v>3.9898172366205298E-2</v>
      </c>
      <c r="L352">
        <v>0</v>
      </c>
      <c r="M352">
        <v>0.199745268695419</v>
      </c>
      <c r="N352">
        <v>3.6942730717442099E-2</v>
      </c>
      <c r="O352">
        <v>0.37777777777777799</v>
      </c>
      <c r="P352">
        <v>4.8324447658532602E-4</v>
      </c>
    </row>
    <row r="353" spans="1:16" x14ac:dyDescent="0.3">
      <c r="A353" t="s">
        <v>34</v>
      </c>
      <c r="B353" t="s">
        <v>28</v>
      </c>
      <c r="C353">
        <v>21.8</v>
      </c>
      <c r="D353">
        <v>2</v>
      </c>
      <c r="E353">
        <v>20</v>
      </c>
      <c r="F353" t="s">
        <v>27</v>
      </c>
      <c r="G353">
        <v>0.48</v>
      </c>
      <c r="H353" t="b">
        <v>0</v>
      </c>
      <c r="I353">
        <v>0.56124493333333403</v>
      </c>
      <c r="J353">
        <v>-8.1244933333333602E-2</v>
      </c>
      <c r="K353">
        <v>-5.17134228469152E-2</v>
      </c>
      <c r="L353">
        <v>-0.57163752516508604</v>
      </c>
      <c r="M353">
        <v>0.22740585490904799</v>
      </c>
      <c r="N353">
        <v>-4.7886474441390603E-2</v>
      </c>
      <c r="O353">
        <v>0.37777777777777799</v>
      </c>
      <c r="P353">
        <v>8.11834423986526E-4</v>
      </c>
    </row>
    <row r="354" spans="1:16" x14ac:dyDescent="0.3">
      <c r="A354" t="s">
        <v>34</v>
      </c>
      <c r="B354" t="s">
        <v>28</v>
      </c>
      <c r="C354">
        <v>21.8</v>
      </c>
      <c r="D354">
        <v>3</v>
      </c>
      <c r="E354">
        <v>465</v>
      </c>
      <c r="F354" t="s">
        <v>27</v>
      </c>
      <c r="G354">
        <v>1.6689240000000001</v>
      </c>
      <c r="H354" t="b">
        <v>0</v>
      </c>
      <c r="I354">
        <v>1.4980576999999999</v>
      </c>
      <c r="J354">
        <v>0.170866300000001</v>
      </c>
      <c r="K354">
        <v>9.9803691132893294E-2</v>
      </c>
      <c r="L354">
        <v>0</v>
      </c>
      <c r="M354">
        <v>0.315917221963117</v>
      </c>
      <c r="N354">
        <v>9.2466074840431997E-2</v>
      </c>
      <c r="O354">
        <v>0.26111111111111102</v>
      </c>
      <c r="P354">
        <v>1.7599868717904101E-3</v>
      </c>
    </row>
    <row r="355" spans="1:16" x14ac:dyDescent="0.3">
      <c r="A355" t="s">
        <v>34</v>
      </c>
      <c r="B355" t="s">
        <v>28</v>
      </c>
      <c r="C355">
        <v>21.8</v>
      </c>
      <c r="D355">
        <v>4</v>
      </c>
      <c r="E355">
        <v>910</v>
      </c>
      <c r="F355" t="s">
        <v>27</v>
      </c>
      <c r="G355">
        <v>3.036022</v>
      </c>
      <c r="H355" t="b">
        <v>0</v>
      </c>
      <c r="I355">
        <v>2.4348704666666698</v>
      </c>
      <c r="J355">
        <v>0.60115153333333304</v>
      </c>
      <c r="K355">
        <v>0.33286574945751002</v>
      </c>
      <c r="L355">
        <v>0.57163752516508604</v>
      </c>
      <c r="M355">
        <v>0.57694518756768398</v>
      </c>
      <c r="N355">
        <v>0.31064210943889398</v>
      </c>
      <c r="O355">
        <v>0.17777777777777801</v>
      </c>
      <c r="P355">
        <v>1.1978335909395701E-2</v>
      </c>
    </row>
    <row r="356" spans="1:16" x14ac:dyDescent="0.3">
      <c r="A356" t="s">
        <v>34</v>
      </c>
      <c r="B356" t="s">
        <v>28</v>
      </c>
      <c r="C356">
        <v>21.8</v>
      </c>
      <c r="D356">
        <v>5</v>
      </c>
      <c r="E356">
        <v>1355</v>
      </c>
      <c r="F356" t="s">
        <v>27</v>
      </c>
      <c r="G356">
        <v>3.0924640000000001</v>
      </c>
      <c r="H356" t="b">
        <v>0</v>
      </c>
      <c r="I356">
        <v>3.37168323333333</v>
      </c>
      <c r="J356">
        <v>-0.27921923333333298</v>
      </c>
      <c r="K356">
        <v>-0.150110652555627</v>
      </c>
      <c r="L356">
        <v>-0.93197131234318997</v>
      </c>
      <c r="M356">
        <v>0.38744116012064</v>
      </c>
      <c r="N356">
        <v>-0.13919968387721299</v>
      </c>
      <c r="O356">
        <v>0.12777777777777799</v>
      </c>
      <c r="P356">
        <v>1.65052160587756E-3</v>
      </c>
    </row>
    <row r="357" spans="1:16" x14ac:dyDescent="0.3">
      <c r="A357" t="s">
        <v>34</v>
      </c>
      <c r="B357" t="s">
        <v>28</v>
      </c>
      <c r="C357">
        <v>21.8</v>
      </c>
      <c r="D357">
        <v>6</v>
      </c>
      <c r="E357">
        <v>1800</v>
      </c>
      <c r="F357" t="s">
        <v>27</v>
      </c>
      <c r="G357">
        <v>5.8191800000000002</v>
      </c>
      <c r="H357" t="b">
        <v>0</v>
      </c>
      <c r="I357">
        <v>4.3084959999999999</v>
      </c>
      <c r="J357">
        <v>1.5106839999999999</v>
      </c>
      <c r="K357">
        <v>0.80450666614246202</v>
      </c>
      <c r="L357">
        <v>0.93197131234318997</v>
      </c>
      <c r="M357">
        <v>0.89694295590213702</v>
      </c>
      <c r="N357">
        <v>0.78185053827869999</v>
      </c>
      <c r="O357">
        <v>0.11111111111111099</v>
      </c>
      <c r="P357">
        <v>4.0451935991728701E-2</v>
      </c>
    </row>
    <row r="358" spans="1:16" x14ac:dyDescent="0.3">
      <c r="A358" t="s">
        <v>34</v>
      </c>
      <c r="B358" t="s">
        <v>28</v>
      </c>
      <c r="C358">
        <v>21.8</v>
      </c>
      <c r="D358">
        <v>7</v>
      </c>
      <c r="E358">
        <v>2245</v>
      </c>
      <c r="F358" t="s">
        <v>27</v>
      </c>
      <c r="G358">
        <v>0.73451299999999997</v>
      </c>
      <c r="H358" t="b">
        <v>0</v>
      </c>
      <c r="I358">
        <v>5.2453087666666702</v>
      </c>
      <c r="J358">
        <v>-4.5107957666666696</v>
      </c>
      <c r="K358">
        <v>-2.4250424585585302</v>
      </c>
      <c r="L358">
        <v>-1.4941549086209001</v>
      </c>
      <c r="M358">
        <v>1.5572547828016201</v>
      </c>
      <c r="N358">
        <v>-5.6149658799078503</v>
      </c>
      <c r="O358">
        <v>0.12777777777777799</v>
      </c>
      <c r="P358">
        <v>0.43076150093524601</v>
      </c>
    </row>
    <row r="359" spans="1:16" x14ac:dyDescent="0.3">
      <c r="A359" t="s">
        <v>34</v>
      </c>
      <c r="B359" t="s">
        <v>28</v>
      </c>
      <c r="C359">
        <v>21.8</v>
      </c>
      <c r="D359">
        <v>8</v>
      </c>
      <c r="E359">
        <v>2690</v>
      </c>
      <c r="F359" t="s">
        <v>27</v>
      </c>
      <c r="G359">
        <v>8.2646739999999994</v>
      </c>
      <c r="H359" t="b">
        <v>0</v>
      </c>
      <c r="I359">
        <v>6.1821215333333299</v>
      </c>
      <c r="J359">
        <v>2.0825524666666699</v>
      </c>
      <c r="K359">
        <v>1.1531375188511901</v>
      </c>
      <c r="L359">
        <v>1.4941549086209001</v>
      </c>
      <c r="M359">
        <v>1.0738424087598599</v>
      </c>
      <c r="N359">
        <v>1.18619123449646</v>
      </c>
      <c r="O359">
        <v>0.17777777777777801</v>
      </c>
      <c r="P359">
        <v>0.14375417701429999</v>
      </c>
    </row>
    <row r="360" spans="1:16" x14ac:dyDescent="0.3">
      <c r="A360" t="s">
        <v>34</v>
      </c>
      <c r="B360" t="s">
        <v>28</v>
      </c>
      <c r="C360">
        <v>21.8</v>
      </c>
      <c r="D360">
        <v>9</v>
      </c>
      <c r="E360">
        <v>3135</v>
      </c>
      <c r="F360" t="s">
        <v>27</v>
      </c>
      <c r="G360">
        <v>7.6865629999999996</v>
      </c>
      <c r="H360" t="b">
        <v>0</v>
      </c>
      <c r="I360">
        <v>7.1189343000000003</v>
      </c>
      <c r="J360">
        <v>0.56762869999999999</v>
      </c>
      <c r="K360">
        <v>0.33155420028973198</v>
      </c>
      <c r="L360">
        <v>0.27439148786003698</v>
      </c>
      <c r="M360">
        <v>0.57580743334011597</v>
      </c>
      <c r="N360">
        <v>0.30939855789929099</v>
      </c>
      <c r="O360">
        <v>0.26111111111111102</v>
      </c>
      <c r="P360">
        <v>1.9423401591349199E-2</v>
      </c>
    </row>
    <row r="361" spans="1:16" x14ac:dyDescent="0.3">
      <c r="A361" t="s">
        <v>34</v>
      </c>
      <c r="B361" t="s">
        <v>28</v>
      </c>
      <c r="C361">
        <v>21.8</v>
      </c>
      <c r="D361">
        <v>10</v>
      </c>
      <c r="E361">
        <v>3580</v>
      </c>
      <c r="F361" t="s">
        <v>27</v>
      </c>
      <c r="G361">
        <v>7.9941240000000002</v>
      </c>
      <c r="H361" t="b">
        <v>0</v>
      </c>
      <c r="I361">
        <v>8.0557470666666706</v>
      </c>
      <c r="J361">
        <v>-6.1623066666665997E-2</v>
      </c>
      <c r="K361">
        <v>-3.92238576968525E-2</v>
      </c>
      <c r="L361">
        <v>-0.27439148786003698</v>
      </c>
      <c r="M361">
        <v>0.198050139350752</v>
      </c>
      <c r="N361">
        <v>-3.63182272080117E-2</v>
      </c>
      <c r="O361">
        <v>0.37777777777777799</v>
      </c>
      <c r="P361">
        <v>4.6704798597481802E-4</v>
      </c>
    </row>
    <row r="362" spans="1:16" x14ac:dyDescent="0.3">
      <c r="A362" t="s">
        <v>34</v>
      </c>
      <c r="B362" t="s">
        <v>29</v>
      </c>
      <c r="C362">
        <v>21.2</v>
      </c>
      <c r="D362">
        <v>2</v>
      </c>
      <c r="E362">
        <v>20</v>
      </c>
      <c r="F362" t="s">
        <v>23</v>
      </c>
      <c r="G362">
        <v>2080.0425829999999</v>
      </c>
      <c r="H362" t="b">
        <v>0</v>
      </c>
      <c r="I362">
        <v>2089.2280749777801</v>
      </c>
      <c r="J362">
        <v>-9.1854919777774793</v>
      </c>
      <c r="K362">
        <v>-1.2029058770932699</v>
      </c>
      <c r="L362">
        <v>-1.4941549086209001</v>
      </c>
      <c r="M362">
        <v>1.09677065838455</v>
      </c>
      <c r="N362">
        <v>-1.25038211420417</v>
      </c>
      <c r="O362">
        <v>0.37777777777777799</v>
      </c>
      <c r="P362">
        <v>0.43926255956203503</v>
      </c>
    </row>
    <row r="363" spans="1:16" x14ac:dyDescent="0.3">
      <c r="A363" t="s">
        <v>34</v>
      </c>
      <c r="B363" t="s">
        <v>29</v>
      </c>
      <c r="C363">
        <v>21.2</v>
      </c>
      <c r="D363">
        <v>3</v>
      </c>
      <c r="E363">
        <v>465</v>
      </c>
      <c r="F363" t="s">
        <v>23</v>
      </c>
      <c r="G363">
        <v>2108.3674390000001</v>
      </c>
      <c r="H363" t="b">
        <v>0</v>
      </c>
      <c r="I363">
        <v>2113.86909417778</v>
      </c>
      <c r="J363">
        <v>-5.5016551777780398</v>
      </c>
      <c r="K363">
        <v>-0.66115879947708101</v>
      </c>
      <c r="L363">
        <v>-0.27439148786003698</v>
      </c>
      <c r="M363">
        <v>0.813116719467187</v>
      </c>
      <c r="N363">
        <v>-0.63217095515670596</v>
      </c>
      <c r="O363">
        <v>0.26111111111111102</v>
      </c>
      <c r="P363">
        <v>7.7237424932033102E-2</v>
      </c>
    </row>
    <row r="364" spans="1:16" x14ac:dyDescent="0.3">
      <c r="A364" t="s">
        <v>34</v>
      </c>
      <c r="B364" t="s">
        <v>29</v>
      </c>
      <c r="C364">
        <v>21.2</v>
      </c>
      <c r="D364">
        <v>4</v>
      </c>
      <c r="E364">
        <v>910</v>
      </c>
      <c r="F364" t="s">
        <v>23</v>
      </c>
      <c r="G364">
        <v>2140.6294969999999</v>
      </c>
      <c r="H364" t="b">
        <v>0</v>
      </c>
      <c r="I364">
        <v>2138.5101133777798</v>
      </c>
      <c r="J364">
        <v>2.1193836222221498</v>
      </c>
      <c r="K364">
        <v>0.24144429725255001</v>
      </c>
      <c r="L364">
        <v>0.57163752516508604</v>
      </c>
      <c r="M364">
        <v>0.49136981719734302</v>
      </c>
      <c r="N364">
        <v>0.224470622740231</v>
      </c>
      <c r="O364">
        <v>0.17777777777777801</v>
      </c>
      <c r="P364">
        <v>6.3021998568408297E-3</v>
      </c>
    </row>
    <row r="365" spans="1:16" x14ac:dyDescent="0.3">
      <c r="A365" t="s">
        <v>34</v>
      </c>
      <c r="B365" t="s">
        <v>29</v>
      </c>
      <c r="C365">
        <v>21.2</v>
      </c>
      <c r="D365">
        <v>5</v>
      </c>
      <c r="E365">
        <v>1355</v>
      </c>
      <c r="F365" t="s">
        <v>23</v>
      </c>
      <c r="G365">
        <v>2167.2958979999999</v>
      </c>
      <c r="H365" t="b">
        <v>0</v>
      </c>
      <c r="I365">
        <v>2163.1511325777801</v>
      </c>
      <c r="J365">
        <v>4.1447654222221102</v>
      </c>
      <c r="K365">
        <v>0.458446187941074</v>
      </c>
      <c r="L365">
        <v>0.93197131234318997</v>
      </c>
      <c r="M365">
        <v>0.67708654390784795</v>
      </c>
      <c r="N365">
        <v>0.43095768896972098</v>
      </c>
      <c r="O365">
        <v>0.12777777777777799</v>
      </c>
      <c r="P365">
        <v>1.53948307849272E-2</v>
      </c>
    </row>
    <row r="366" spans="1:16" x14ac:dyDescent="0.3">
      <c r="A366" t="s">
        <v>34</v>
      </c>
      <c r="B366" t="s">
        <v>29</v>
      </c>
      <c r="C366">
        <v>21.2</v>
      </c>
      <c r="D366">
        <v>6</v>
      </c>
      <c r="E366">
        <v>1800</v>
      </c>
      <c r="F366" t="s">
        <v>23</v>
      </c>
      <c r="G366">
        <v>2208.587892</v>
      </c>
      <c r="H366" t="b">
        <v>0</v>
      </c>
      <c r="I366">
        <v>2187.79215177778</v>
      </c>
      <c r="J366">
        <v>20.7957402222223</v>
      </c>
      <c r="K366">
        <v>2.27851886241455</v>
      </c>
      <c r="L366">
        <v>1.4941549086209001</v>
      </c>
      <c r="M366">
        <v>1.50947635371163</v>
      </c>
      <c r="N366">
        <v>4.1503697852667596</v>
      </c>
      <c r="O366">
        <v>0.11111111111111099</v>
      </c>
      <c r="P366">
        <v>0.324478012898682</v>
      </c>
    </row>
    <row r="367" spans="1:16" x14ac:dyDescent="0.3">
      <c r="A367" t="s">
        <v>34</v>
      </c>
      <c r="B367" t="s">
        <v>29</v>
      </c>
      <c r="C367">
        <v>21.2</v>
      </c>
      <c r="D367">
        <v>7</v>
      </c>
      <c r="E367">
        <v>2245</v>
      </c>
      <c r="F367" t="s">
        <v>23</v>
      </c>
      <c r="G367">
        <v>2212.331193</v>
      </c>
      <c r="H367" t="b">
        <v>0</v>
      </c>
      <c r="I367">
        <v>2212.4331709777798</v>
      </c>
      <c r="J367">
        <v>-0.101977977777748</v>
      </c>
      <c r="K367">
        <v>-1.12796287373686E-2</v>
      </c>
      <c r="L367">
        <v>0</v>
      </c>
      <c r="M367">
        <v>0.106205596544479</v>
      </c>
      <c r="N367">
        <v>-1.04430019079869E-2</v>
      </c>
      <c r="O367">
        <v>0.12777777777777799</v>
      </c>
      <c r="P367">
        <v>9.3193966955925195E-6</v>
      </c>
    </row>
    <row r="368" spans="1:16" x14ac:dyDescent="0.3">
      <c r="A368" t="s">
        <v>34</v>
      </c>
      <c r="B368" t="s">
        <v>29</v>
      </c>
      <c r="C368">
        <v>21.2</v>
      </c>
      <c r="D368">
        <v>8</v>
      </c>
      <c r="E368">
        <v>2690</v>
      </c>
      <c r="F368" t="s">
        <v>23</v>
      </c>
      <c r="G368">
        <v>2237.908484</v>
      </c>
      <c r="H368" t="b">
        <v>0</v>
      </c>
      <c r="I368">
        <v>2237.0741901777801</v>
      </c>
      <c r="J368">
        <v>0.83429382222231696</v>
      </c>
      <c r="K368">
        <v>9.5044372097868798E-2</v>
      </c>
      <c r="L368">
        <v>0.27439148786003698</v>
      </c>
      <c r="M368">
        <v>0.30829267279302802</v>
      </c>
      <c r="N368">
        <v>8.8050822769819306E-2</v>
      </c>
      <c r="O368">
        <v>0.17777777777777801</v>
      </c>
      <c r="P368">
        <v>9.7658731540304299E-4</v>
      </c>
    </row>
    <row r="369" spans="1:16" x14ac:dyDescent="0.3">
      <c r="A369" t="s">
        <v>34</v>
      </c>
      <c r="B369" t="s">
        <v>29</v>
      </c>
      <c r="C369">
        <v>21.2</v>
      </c>
      <c r="D369">
        <v>9</v>
      </c>
      <c r="E369">
        <v>3135</v>
      </c>
      <c r="F369" t="s">
        <v>23</v>
      </c>
      <c r="G369">
        <v>2255.7249879999999</v>
      </c>
      <c r="H369" t="b">
        <v>0</v>
      </c>
      <c r="I369">
        <v>2261.71520937778</v>
      </c>
      <c r="J369">
        <v>-5.9902213777777797</v>
      </c>
      <c r="K369">
        <v>-0.719872010650626</v>
      </c>
      <c r="L369">
        <v>-0.57163752516508604</v>
      </c>
      <c r="M369">
        <v>0.84845271562452196</v>
      </c>
      <c r="N369">
        <v>-0.69260181674285504</v>
      </c>
      <c r="O369">
        <v>0.26111111111111102</v>
      </c>
      <c r="P369">
        <v>9.1564430265993202E-2</v>
      </c>
    </row>
    <row r="370" spans="1:16" x14ac:dyDescent="0.3">
      <c r="A370" t="s">
        <v>34</v>
      </c>
      <c r="B370" t="s">
        <v>29</v>
      </c>
      <c r="C370">
        <v>21.2</v>
      </c>
      <c r="D370">
        <v>10</v>
      </c>
      <c r="E370">
        <v>3580</v>
      </c>
      <c r="F370" t="s">
        <v>23</v>
      </c>
      <c r="G370">
        <v>2279.2413919999999</v>
      </c>
      <c r="H370" t="b">
        <v>0</v>
      </c>
      <c r="I370">
        <v>2286.3562285777798</v>
      </c>
      <c r="J370">
        <v>-7.1148365777778002</v>
      </c>
      <c r="K370">
        <v>-0.93173874134043699</v>
      </c>
      <c r="L370">
        <v>-0.93197131234318997</v>
      </c>
      <c r="M370">
        <v>0.965266150520382</v>
      </c>
      <c r="N370">
        <v>-0.92166598600360405</v>
      </c>
      <c r="O370">
        <v>0.37777777777777799</v>
      </c>
      <c r="P370">
        <v>0.26354161421337902</v>
      </c>
    </row>
    <row r="371" spans="1:16" x14ac:dyDescent="0.3">
      <c r="A371" t="s">
        <v>34</v>
      </c>
      <c r="B371" t="s">
        <v>29</v>
      </c>
      <c r="C371">
        <v>21.2</v>
      </c>
      <c r="D371">
        <v>2</v>
      </c>
      <c r="E371">
        <v>20</v>
      </c>
      <c r="F371" t="s">
        <v>25</v>
      </c>
      <c r="G371">
        <v>0.52091699999999996</v>
      </c>
      <c r="H371" t="b">
        <v>0</v>
      </c>
      <c r="I371">
        <v>0.81523504444444395</v>
      </c>
      <c r="J371">
        <v>-0.29431804444444398</v>
      </c>
      <c r="K371">
        <v>-1.26682593260911</v>
      </c>
      <c r="L371">
        <v>-0.93197131234318997</v>
      </c>
      <c r="M371">
        <v>1.12553362126998</v>
      </c>
      <c r="N371">
        <v>-1.3359516035049099</v>
      </c>
      <c r="O371">
        <v>0.37777777777777799</v>
      </c>
      <c r="P371">
        <v>0.487185982857606</v>
      </c>
    </row>
    <row r="372" spans="1:16" x14ac:dyDescent="0.3">
      <c r="A372" t="s">
        <v>34</v>
      </c>
      <c r="B372" t="s">
        <v>29</v>
      </c>
      <c r="C372">
        <v>21.2</v>
      </c>
      <c r="D372">
        <v>3</v>
      </c>
      <c r="E372">
        <v>465</v>
      </c>
      <c r="F372" t="s">
        <v>25</v>
      </c>
      <c r="G372">
        <v>0.70941699999999996</v>
      </c>
      <c r="H372" t="b">
        <v>0</v>
      </c>
      <c r="I372">
        <v>0.78231447777777796</v>
      </c>
      <c r="J372">
        <v>-7.2897477777777706E-2</v>
      </c>
      <c r="K372">
        <v>-0.287935855256156</v>
      </c>
      <c r="L372">
        <v>0</v>
      </c>
      <c r="M372">
        <v>0.53659654793537004</v>
      </c>
      <c r="N372">
        <v>-0.26816961494575398</v>
      </c>
      <c r="O372">
        <v>0.26111111111111102</v>
      </c>
      <c r="P372">
        <v>1.46489912288662E-2</v>
      </c>
    </row>
    <row r="373" spans="1:16" x14ac:dyDescent="0.3">
      <c r="A373" t="s">
        <v>34</v>
      </c>
      <c r="B373" t="s">
        <v>29</v>
      </c>
      <c r="C373">
        <v>21.2</v>
      </c>
      <c r="D373">
        <v>4</v>
      </c>
      <c r="E373">
        <v>910</v>
      </c>
      <c r="F373" t="s">
        <v>25</v>
      </c>
      <c r="G373">
        <v>1.1609529999999999</v>
      </c>
      <c r="H373" t="b">
        <v>0</v>
      </c>
      <c r="I373">
        <v>0.74939391111111098</v>
      </c>
      <c r="J373">
        <v>0.41155908888888898</v>
      </c>
      <c r="K373">
        <v>1.5410275627378001</v>
      </c>
      <c r="L373">
        <v>1.4941549086209001</v>
      </c>
      <c r="M373">
        <v>1.24138131238464</v>
      </c>
      <c r="N373">
        <v>1.7551699492680799</v>
      </c>
      <c r="O373">
        <v>0.17777777777777801</v>
      </c>
      <c r="P373">
        <v>0.25673145395865998</v>
      </c>
    </row>
    <row r="374" spans="1:16" x14ac:dyDescent="0.3">
      <c r="A374" t="s">
        <v>34</v>
      </c>
      <c r="B374" t="s">
        <v>29</v>
      </c>
      <c r="C374">
        <v>21.2</v>
      </c>
      <c r="D374">
        <v>5</v>
      </c>
      <c r="E374">
        <v>1355</v>
      </c>
      <c r="F374" t="s">
        <v>25</v>
      </c>
      <c r="G374">
        <v>1.0870299999999999</v>
      </c>
      <c r="H374" t="b">
        <v>0</v>
      </c>
      <c r="I374">
        <v>0.71647334444444399</v>
      </c>
      <c r="J374">
        <v>0.370556655555556</v>
      </c>
      <c r="K374">
        <v>1.3471434968765901</v>
      </c>
      <c r="L374">
        <v>0.93197131234318997</v>
      </c>
      <c r="M374">
        <v>1.1606651097007199</v>
      </c>
      <c r="N374">
        <v>1.44912731865216</v>
      </c>
      <c r="O374">
        <v>0.12777777777777799</v>
      </c>
      <c r="P374">
        <v>0.132930887984295</v>
      </c>
    </row>
    <row r="375" spans="1:16" x14ac:dyDescent="0.3">
      <c r="A375" t="s">
        <v>34</v>
      </c>
      <c r="B375" t="s">
        <v>29</v>
      </c>
      <c r="C375">
        <v>21.2</v>
      </c>
      <c r="D375">
        <v>6</v>
      </c>
      <c r="E375">
        <v>1800</v>
      </c>
      <c r="F375" t="s">
        <v>25</v>
      </c>
      <c r="G375">
        <v>0.45733699999999999</v>
      </c>
      <c r="H375" t="b">
        <v>0</v>
      </c>
      <c r="I375">
        <v>0.68355277777777801</v>
      </c>
      <c r="J375">
        <v>-0.22621577777777799</v>
      </c>
      <c r="K375">
        <v>-0.81465169979829299</v>
      </c>
      <c r="L375">
        <v>-0.57163752516508604</v>
      </c>
      <c r="M375">
        <v>0.90258057800857505</v>
      </c>
      <c r="N375">
        <v>-0.79273542759572002</v>
      </c>
      <c r="O375">
        <v>0.11111111111111099</v>
      </c>
      <c r="P375">
        <v>4.1478586999015403E-2</v>
      </c>
    </row>
    <row r="376" spans="1:16" x14ac:dyDescent="0.3">
      <c r="A376" t="s">
        <v>34</v>
      </c>
      <c r="B376" t="s">
        <v>29</v>
      </c>
      <c r="C376">
        <v>21.2</v>
      </c>
      <c r="D376">
        <v>7</v>
      </c>
      <c r="E376">
        <v>2245</v>
      </c>
      <c r="F376" t="s">
        <v>25</v>
      </c>
      <c r="G376">
        <v>0.72033700000000001</v>
      </c>
      <c r="H376" t="b">
        <v>0</v>
      </c>
      <c r="I376">
        <v>0.65063221111111103</v>
      </c>
      <c r="J376">
        <v>6.9704788888888897E-2</v>
      </c>
      <c r="K376">
        <v>0.25340889617011397</v>
      </c>
      <c r="L376">
        <v>0.27439148786003698</v>
      </c>
      <c r="M376">
        <v>0.50339735415486098</v>
      </c>
      <c r="N376">
        <v>0.23569463919460101</v>
      </c>
      <c r="O376">
        <v>0.12777777777777799</v>
      </c>
      <c r="P376">
        <v>4.7037247743235101E-3</v>
      </c>
    </row>
    <row r="377" spans="1:16" x14ac:dyDescent="0.3">
      <c r="A377" t="s">
        <v>34</v>
      </c>
      <c r="B377" t="s">
        <v>29</v>
      </c>
      <c r="C377">
        <v>21.2</v>
      </c>
      <c r="D377">
        <v>8</v>
      </c>
      <c r="E377">
        <v>2690</v>
      </c>
      <c r="F377" t="s">
        <v>25</v>
      </c>
      <c r="G377">
        <v>0.304894</v>
      </c>
      <c r="H377" t="b">
        <v>0</v>
      </c>
      <c r="I377">
        <v>0.61771164444444404</v>
      </c>
      <c r="J377">
        <v>-0.31281764444444399</v>
      </c>
      <c r="K377">
        <v>-1.17130352655083</v>
      </c>
      <c r="L377">
        <v>-1.4941549086209001</v>
      </c>
      <c r="M377">
        <v>1.0822677702633601</v>
      </c>
      <c r="N377">
        <v>-1.2093894556756499</v>
      </c>
      <c r="O377">
        <v>0.17777777777777801</v>
      </c>
      <c r="P377">
        <v>0.148319129871396</v>
      </c>
    </row>
    <row r="378" spans="1:16" x14ac:dyDescent="0.3">
      <c r="A378" t="s">
        <v>34</v>
      </c>
      <c r="B378" t="s">
        <v>29</v>
      </c>
      <c r="C378">
        <v>21.2</v>
      </c>
      <c r="D378">
        <v>9</v>
      </c>
      <c r="E378">
        <v>3135</v>
      </c>
      <c r="F378" t="s">
        <v>25</v>
      </c>
      <c r="G378">
        <v>0.44886399999999999</v>
      </c>
      <c r="H378" t="b">
        <v>0</v>
      </c>
      <c r="I378">
        <v>0.58479107777777795</v>
      </c>
      <c r="J378">
        <v>-0.13592707777777799</v>
      </c>
      <c r="K378">
        <v>-0.53689483622086998</v>
      </c>
      <c r="L378">
        <v>-0.27439148786003698</v>
      </c>
      <c r="M378">
        <v>0.73273108042505597</v>
      </c>
      <c r="N378">
        <v>-0.507629862654567</v>
      </c>
      <c r="O378">
        <v>0.26111111111111102</v>
      </c>
      <c r="P378">
        <v>5.0932462641164702E-2</v>
      </c>
    </row>
    <row r="379" spans="1:16" x14ac:dyDescent="0.3">
      <c r="A379" t="s">
        <v>34</v>
      </c>
      <c r="B379" t="s">
        <v>29</v>
      </c>
      <c r="C379">
        <v>21.2</v>
      </c>
      <c r="D379">
        <v>10</v>
      </c>
      <c r="E379">
        <v>3580</v>
      </c>
      <c r="F379" t="s">
        <v>25</v>
      </c>
      <c r="G379">
        <v>0.74222600000000005</v>
      </c>
      <c r="H379" t="b">
        <v>0</v>
      </c>
      <c r="I379">
        <v>0.55187051111111096</v>
      </c>
      <c r="J379">
        <v>0.19035548888888901</v>
      </c>
      <c r="K379">
        <v>0.81934245721875298</v>
      </c>
      <c r="L379">
        <v>0.57163752516508604</v>
      </c>
      <c r="M379">
        <v>0.90517537373635704</v>
      </c>
      <c r="N379">
        <v>0.79778265075456201</v>
      </c>
      <c r="O379">
        <v>0.37777777777777799</v>
      </c>
      <c r="P379">
        <v>0.20379419745395499</v>
      </c>
    </row>
    <row r="380" spans="1:16" x14ac:dyDescent="0.3">
      <c r="A380" t="s">
        <v>34</v>
      </c>
      <c r="B380" t="s">
        <v>29</v>
      </c>
      <c r="C380">
        <v>21.2</v>
      </c>
      <c r="D380">
        <v>2</v>
      </c>
      <c r="E380">
        <v>20</v>
      </c>
      <c r="F380" t="s">
        <v>26</v>
      </c>
      <c r="G380">
        <v>7.7024999999999996E-2</v>
      </c>
      <c r="H380" t="b">
        <v>0</v>
      </c>
      <c r="I380">
        <v>9.3841777777777705E-2</v>
      </c>
      <c r="J380">
        <v>-1.6816777777777701E-2</v>
      </c>
      <c r="K380">
        <v>-0.180183238561198</v>
      </c>
      <c r="L380">
        <v>0.27439148786003698</v>
      </c>
      <c r="M380">
        <v>0.424479962496698</v>
      </c>
      <c r="N380">
        <v>-0.167205464007776</v>
      </c>
      <c r="O380">
        <v>0.37777777777777799</v>
      </c>
      <c r="P380">
        <v>9.8557498355862395E-3</v>
      </c>
    </row>
    <row r="381" spans="1:16" x14ac:dyDescent="0.3">
      <c r="A381" t="s">
        <v>34</v>
      </c>
      <c r="B381" t="s">
        <v>29</v>
      </c>
      <c r="C381">
        <v>21.2</v>
      </c>
      <c r="D381">
        <v>3</v>
      </c>
      <c r="E381">
        <v>465</v>
      </c>
      <c r="F381" t="s">
        <v>26</v>
      </c>
      <c r="G381">
        <v>0.61185299999999998</v>
      </c>
      <c r="H381" t="b">
        <v>0</v>
      </c>
      <c r="I381">
        <v>0.40370119444444402</v>
      </c>
      <c r="J381">
        <v>0.20815180555555601</v>
      </c>
      <c r="K381">
        <v>2.04660945648101</v>
      </c>
      <c r="L381">
        <v>1.4941549086209001</v>
      </c>
      <c r="M381">
        <v>1.4305975871925001</v>
      </c>
      <c r="N381">
        <v>2.98985464025824</v>
      </c>
      <c r="O381">
        <v>0.26111111111111102</v>
      </c>
      <c r="P381">
        <v>0.74009279160076102</v>
      </c>
    </row>
    <row r="382" spans="1:16" x14ac:dyDescent="0.3">
      <c r="A382" t="s">
        <v>34</v>
      </c>
      <c r="B382" t="s">
        <v>29</v>
      </c>
      <c r="C382">
        <v>21.2</v>
      </c>
      <c r="D382">
        <v>4</v>
      </c>
      <c r="E382">
        <v>910</v>
      </c>
      <c r="F382" t="s">
        <v>26</v>
      </c>
      <c r="G382">
        <v>0.67804399999999998</v>
      </c>
      <c r="H382" t="b">
        <v>0</v>
      </c>
      <c r="I382">
        <v>0.71356061111111102</v>
      </c>
      <c r="J382">
        <v>-3.5516611111111297E-2</v>
      </c>
      <c r="K382">
        <v>-0.33104061249592698</v>
      </c>
      <c r="L382">
        <v>0</v>
      </c>
      <c r="M382">
        <v>0.57536128866645697</v>
      </c>
      <c r="N382">
        <v>-0.30891166140792198</v>
      </c>
      <c r="O382">
        <v>0.17777777777777801</v>
      </c>
      <c r="P382">
        <v>1.1847339148289501E-2</v>
      </c>
    </row>
    <row r="383" spans="1:16" x14ac:dyDescent="0.3">
      <c r="A383" t="s">
        <v>34</v>
      </c>
      <c r="B383" t="s">
        <v>29</v>
      </c>
      <c r="C383">
        <v>21.2</v>
      </c>
      <c r="D383">
        <v>5</v>
      </c>
      <c r="E383">
        <v>1355</v>
      </c>
      <c r="F383" t="s">
        <v>26</v>
      </c>
      <c r="G383">
        <v>0.88467399999999996</v>
      </c>
      <c r="H383" t="b">
        <v>0</v>
      </c>
      <c r="I383">
        <v>1.0234200277777801</v>
      </c>
      <c r="J383">
        <v>-0.138746027777778</v>
      </c>
      <c r="K383">
        <v>-1.2556001147324201</v>
      </c>
      <c r="L383">
        <v>-1.4941549086209001</v>
      </c>
      <c r="M383">
        <v>1.12053563742186</v>
      </c>
      <c r="N383">
        <v>-1.32065207115037</v>
      </c>
      <c r="O383">
        <v>0.12777777777777799</v>
      </c>
      <c r="P383">
        <v>0.115478432823789</v>
      </c>
    </row>
    <row r="384" spans="1:16" x14ac:dyDescent="0.3">
      <c r="A384" t="s">
        <v>34</v>
      </c>
      <c r="B384" t="s">
        <v>29</v>
      </c>
      <c r="C384">
        <v>21.2</v>
      </c>
      <c r="D384">
        <v>6</v>
      </c>
      <c r="E384">
        <v>1800</v>
      </c>
      <c r="F384" t="s">
        <v>26</v>
      </c>
      <c r="G384">
        <v>1.2497579999999999</v>
      </c>
      <c r="H384" t="b">
        <v>0</v>
      </c>
      <c r="I384">
        <v>1.33327944444444</v>
      </c>
      <c r="J384">
        <v>-8.3521444444444704E-2</v>
      </c>
      <c r="K384">
        <v>-0.74871859580894395</v>
      </c>
      <c r="L384">
        <v>-0.93197131234318997</v>
      </c>
      <c r="M384">
        <v>0.86528526845713905</v>
      </c>
      <c r="N384">
        <v>-0.72272129806016205</v>
      </c>
      <c r="O384">
        <v>0.11111111111111099</v>
      </c>
      <c r="P384">
        <v>3.5036220981882298E-2</v>
      </c>
    </row>
    <row r="385" spans="1:16" x14ac:dyDescent="0.3">
      <c r="A385" t="s">
        <v>34</v>
      </c>
      <c r="B385" t="s">
        <v>29</v>
      </c>
      <c r="C385">
        <v>21.2</v>
      </c>
      <c r="D385">
        <v>7</v>
      </c>
      <c r="E385">
        <v>2245</v>
      </c>
      <c r="F385" t="s">
        <v>26</v>
      </c>
      <c r="G385">
        <v>1.660377</v>
      </c>
      <c r="H385" t="b">
        <v>0</v>
      </c>
      <c r="I385">
        <v>1.64313886111111</v>
      </c>
      <c r="J385">
        <v>1.7238138888888699E-2</v>
      </c>
      <c r="K385">
        <v>0.155998766331015</v>
      </c>
      <c r="L385">
        <v>0.57163752516508604</v>
      </c>
      <c r="M385">
        <v>0.39496679142810798</v>
      </c>
      <c r="N385">
        <v>0.144678500959526</v>
      </c>
      <c r="O385">
        <v>0.12777777777777799</v>
      </c>
      <c r="P385">
        <v>1.7825450548610399E-3</v>
      </c>
    </row>
    <row r="386" spans="1:16" x14ac:dyDescent="0.3">
      <c r="A386" t="s">
        <v>34</v>
      </c>
      <c r="B386" t="s">
        <v>29</v>
      </c>
      <c r="C386">
        <v>21.2</v>
      </c>
      <c r="D386">
        <v>8</v>
      </c>
      <c r="E386">
        <v>2690</v>
      </c>
      <c r="F386" t="s">
        <v>26</v>
      </c>
      <c r="G386">
        <v>1.9171499999999999</v>
      </c>
      <c r="H386" t="b">
        <v>0</v>
      </c>
      <c r="I386">
        <v>1.9529982777777799</v>
      </c>
      <c r="J386">
        <v>-3.5848277777777798E-2</v>
      </c>
      <c r="K386">
        <v>-0.334131986730205</v>
      </c>
      <c r="L386">
        <v>-0.27439148786003698</v>
      </c>
      <c r="M386">
        <v>0.57804150952176803</v>
      </c>
      <c r="N386">
        <v>-0.31184292260329</v>
      </c>
      <c r="O386">
        <v>0.17777777777777801</v>
      </c>
      <c r="P386">
        <v>1.20696415736512E-2</v>
      </c>
    </row>
    <row r="387" spans="1:16" x14ac:dyDescent="0.3">
      <c r="A387" t="s">
        <v>34</v>
      </c>
      <c r="B387" t="s">
        <v>29</v>
      </c>
      <c r="C387">
        <v>21.2</v>
      </c>
      <c r="D387">
        <v>9</v>
      </c>
      <c r="E387">
        <v>3135</v>
      </c>
      <c r="F387" t="s">
        <v>26</v>
      </c>
      <c r="G387">
        <v>2.2012269999999998</v>
      </c>
      <c r="H387" t="b">
        <v>0</v>
      </c>
      <c r="I387">
        <v>2.2628576944444401</v>
      </c>
      <c r="J387">
        <v>-6.1630694444444099E-2</v>
      </c>
      <c r="K387">
        <v>-0.60597102063486896</v>
      </c>
      <c r="L387">
        <v>-0.57163752516508604</v>
      </c>
      <c r="M387">
        <v>0.77844140475367096</v>
      </c>
      <c r="N387">
        <v>-0.57634039291532801</v>
      </c>
      <c r="O387">
        <v>0.26111111111111102</v>
      </c>
      <c r="P387">
        <v>6.4881358116223406E-2</v>
      </c>
    </row>
    <row r="388" spans="1:16" x14ac:dyDescent="0.3">
      <c r="A388" t="s">
        <v>34</v>
      </c>
      <c r="B388" t="s">
        <v>29</v>
      </c>
      <c r="C388">
        <v>21.2</v>
      </c>
      <c r="D388">
        <v>10</v>
      </c>
      <c r="E388">
        <v>3580</v>
      </c>
      <c r="F388" t="s">
        <v>26</v>
      </c>
      <c r="G388">
        <v>2.7194069999999999</v>
      </c>
      <c r="H388" t="b">
        <v>0</v>
      </c>
      <c r="I388">
        <v>2.57271711111111</v>
      </c>
      <c r="J388">
        <v>0.14668988888888901</v>
      </c>
      <c r="K388">
        <v>1.5717077072344601</v>
      </c>
      <c r="L388">
        <v>0.93197131234318997</v>
      </c>
      <c r="M388">
        <v>1.25367767278294</v>
      </c>
      <c r="N388">
        <v>1.8088852434196201</v>
      </c>
      <c r="O388">
        <v>0.37777777777777799</v>
      </c>
      <c r="P388">
        <v>0.74990191051184696</v>
      </c>
    </row>
    <row r="389" spans="1:16" x14ac:dyDescent="0.3">
      <c r="A389" t="s">
        <v>34</v>
      </c>
      <c r="B389" t="s">
        <v>29</v>
      </c>
      <c r="C389">
        <v>21.2</v>
      </c>
      <c r="D389">
        <v>2</v>
      </c>
      <c r="E389">
        <v>20</v>
      </c>
      <c r="F389" t="s">
        <v>27</v>
      </c>
      <c r="G389">
        <v>0</v>
      </c>
      <c r="H389" t="b">
        <v>0</v>
      </c>
      <c r="I389">
        <v>0.57489097777777798</v>
      </c>
      <c r="J389">
        <v>-0.57489097777777798</v>
      </c>
      <c r="K389">
        <v>-0.54476109782266202</v>
      </c>
      <c r="L389">
        <v>-0.57163752516508604</v>
      </c>
      <c r="M389">
        <v>0.73807933030444794</v>
      </c>
      <c r="N389">
        <v>-0.51539414182147603</v>
      </c>
      <c r="O389">
        <v>0.37777777777777799</v>
      </c>
      <c r="P389">
        <v>9.0089269873503394E-2</v>
      </c>
    </row>
    <row r="390" spans="1:16" x14ac:dyDescent="0.3">
      <c r="A390" t="s">
        <v>34</v>
      </c>
      <c r="B390" t="s">
        <v>29</v>
      </c>
      <c r="C390">
        <v>21.2</v>
      </c>
      <c r="D390">
        <v>3</v>
      </c>
      <c r="E390">
        <v>465</v>
      </c>
      <c r="F390" t="s">
        <v>27</v>
      </c>
      <c r="G390">
        <v>0.63548700000000002</v>
      </c>
      <c r="H390" t="b">
        <v>0</v>
      </c>
      <c r="I390">
        <v>1.8446022611111099</v>
      </c>
      <c r="J390">
        <v>-1.20911526111111</v>
      </c>
      <c r="K390">
        <v>-1.0514085080817299</v>
      </c>
      <c r="L390">
        <v>-0.93197131234318997</v>
      </c>
      <c r="M390">
        <v>1.0253821278341699</v>
      </c>
      <c r="N390">
        <v>-1.06077224312387</v>
      </c>
      <c r="O390">
        <v>0.26111111111111102</v>
      </c>
      <c r="P390">
        <v>0.19532561274711399</v>
      </c>
    </row>
    <row r="391" spans="1:16" x14ac:dyDescent="0.3">
      <c r="A391" t="s">
        <v>34</v>
      </c>
      <c r="B391" t="s">
        <v>29</v>
      </c>
      <c r="C391">
        <v>21.2</v>
      </c>
      <c r="D391">
        <v>4</v>
      </c>
      <c r="E391">
        <v>910</v>
      </c>
      <c r="F391" t="s">
        <v>27</v>
      </c>
      <c r="G391">
        <v>2.8755099999999998</v>
      </c>
      <c r="H391" t="b">
        <v>0</v>
      </c>
      <c r="I391">
        <v>3.1143135444444399</v>
      </c>
      <c r="J391">
        <v>-0.23880354444444499</v>
      </c>
      <c r="K391">
        <v>-0.196851856796455</v>
      </c>
      <c r="L391">
        <v>-0.27439148786003698</v>
      </c>
      <c r="M391">
        <v>0.44367990353007303</v>
      </c>
      <c r="N391">
        <v>-0.182755958634123</v>
      </c>
      <c r="O391">
        <v>0.17777777777777801</v>
      </c>
      <c r="P391">
        <v>4.1892598404553302E-3</v>
      </c>
    </row>
    <row r="392" spans="1:16" x14ac:dyDescent="0.3">
      <c r="A392" t="s">
        <v>34</v>
      </c>
      <c r="B392" t="s">
        <v>29</v>
      </c>
      <c r="C392">
        <v>21.2</v>
      </c>
      <c r="D392">
        <v>5</v>
      </c>
      <c r="E392">
        <v>1355</v>
      </c>
      <c r="F392" t="s">
        <v>27</v>
      </c>
      <c r="G392">
        <v>5.0214129999999999</v>
      </c>
      <c r="H392" t="b">
        <v>0</v>
      </c>
      <c r="I392">
        <v>4.3840248277777798</v>
      </c>
      <c r="J392">
        <v>0.63738817222222199</v>
      </c>
      <c r="K392">
        <v>0.51013342312853005</v>
      </c>
      <c r="L392">
        <v>0.93197131234318997</v>
      </c>
      <c r="M392">
        <v>0.71423625162023896</v>
      </c>
      <c r="N392">
        <v>0.48132349627461701</v>
      </c>
      <c r="O392">
        <v>0.12777777777777799</v>
      </c>
      <c r="P392">
        <v>1.90618806243157E-2</v>
      </c>
    </row>
    <row r="393" spans="1:16" x14ac:dyDescent="0.3">
      <c r="A393" t="s">
        <v>34</v>
      </c>
      <c r="B393" t="s">
        <v>29</v>
      </c>
      <c r="C393">
        <v>21.2</v>
      </c>
      <c r="D393">
        <v>6</v>
      </c>
      <c r="E393">
        <v>1800</v>
      </c>
      <c r="F393" t="s">
        <v>27</v>
      </c>
      <c r="G393">
        <v>8.5924150000000008</v>
      </c>
      <c r="H393" t="b">
        <v>0</v>
      </c>
      <c r="I393">
        <v>5.65373611111111</v>
      </c>
      <c r="J393">
        <v>2.93867888888889</v>
      </c>
      <c r="K393">
        <v>2.3298166601557999</v>
      </c>
      <c r="L393">
        <v>1.4941549086209001</v>
      </c>
      <c r="M393">
        <v>1.5263736961032199</v>
      </c>
      <c r="N393">
        <v>4.5517396098915501</v>
      </c>
      <c r="O393">
        <v>0.11111111111111099</v>
      </c>
      <c r="P393">
        <v>0.33925285437121999</v>
      </c>
    </row>
    <row r="394" spans="1:16" x14ac:dyDescent="0.3">
      <c r="A394" t="s">
        <v>34</v>
      </c>
      <c r="B394" t="s">
        <v>29</v>
      </c>
      <c r="C394">
        <v>21.2</v>
      </c>
      <c r="D394">
        <v>7</v>
      </c>
      <c r="E394">
        <v>2245</v>
      </c>
      <c r="F394" t="s">
        <v>27</v>
      </c>
      <c r="G394">
        <v>6.8485110000000002</v>
      </c>
      <c r="H394" t="b">
        <v>0</v>
      </c>
      <c r="I394">
        <v>6.9234473944444499</v>
      </c>
      <c r="J394">
        <v>-7.4936394444444901E-2</v>
      </c>
      <c r="K394">
        <v>-5.9975319720125903E-2</v>
      </c>
      <c r="L394">
        <v>0.27439148786003698</v>
      </c>
      <c r="M394">
        <v>0.24489859068628</v>
      </c>
      <c r="N394">
        <v>-5.5540628449817699E-2</v>
      </c>
      <c r="O394">
        <v>0.12777777777777799</v>
      </c>
      <c r="P394">
        <v>2.6347737718859999E-4</v>
      </c>
    </row>
    <row r="395" spans="1:16" x14ac:dyDescent="0.3">
      <c r="A395" t="s">
        <v>34</v>
      </c>
      <c r="B395" t="s">
        <v>29</v>
      </c>
      <c r="C395">
        <v>21.2</v>
      </c>
      <c r="D395">
        <v>8</v>
      </c>
      <c r="E395">
        <v>2690</v>
      </c>
      <c r="F395" t="s">
        <v>27</v>
      </c>
      <c r="G395">
        <v>8.1918480000000002</v>
      </c>
      <c r="H395" t="b">
        <v>0</v>
      </c>
      <c r="I395">
        <v>8.1931586777777792</v>
      </c>
      <c r="J395">
        <v>-1.3106777777782701E-3</v>
      </c>
      <c r="K395">
        <v>-1.0804251453542699E-3</v>
      </c>
      <c r="L395">
        <v>0.57163752516508604</v>
      </c>
      <c r="M395">
        <v>3.2869821194437099E-2</v>
      </c>
      <c r="N395">
        <v>-1.0002793992718499E-3</v>
      </c>
      <c r="O395">
        <v>0.17777777777777801</v>
      </c>
      <c r="P395">
        <v>1.2619659402311199E-7</v>
      </c>
    </row>
    <row r="396" spans="1:16" x14ac:dyDescent="0.3">
      <c r="A396" t="s">
        <v>34</v>
      </c>
      <c r="B396" t="s">
        <v>29</v>
      </c>
      <c r="C396">
        <v>21.2</v>
      </c>
      <c r="D396">
        <v>9</v>
      </c>
      <c r="E396">
        <v>3135</v>
      </c>
      <c r="F396" t="s">
        <v>27</v>
      </c>
      <c r="G396">
        <v>9.2444000000000006</v>
      </c>
      <c r="H396" t="b">
        <v>0</v>
      </c>
      <c r="I396">
        <v>9.4628699611111102</v>
      </c>
      <c r="J396">
        <v>-0.218469961111111</v>
      </c>
      <c r="K396">
        <v>-0.18997458990090299</v>
      </c>
      <c r="L396">
        <v>0</v>
      </c>
      <c r="M396">
        <v>0.43586074599681901</v>
      </c>
      <c r="N396">
        <v>-0.17633745833422501</v>
      </c>
      <c r="O396">
        <v>0.26111111111111102</v>
      </c>
      <c r="P396">
        <v>6.3768654360029002E-3</v>
      </c>
    </row>
    <row r="397" spans="1:16" x14ac:dyDescent="0.3">
      <c r="A397" t="s">
        <v>34</v>
      </c>
      <c r="B397" t="s">
        <v>29</v>
      </c>
      <c r="C397">
        <v>21.2</v>
      </c>
      <c r="D397">
        <v>10</v>
      </c>
      <c r="E397">
        <v>3580</v>
      </c>
      <c r="F397" t="s">
        <v>27</v>
      </c>
      <c r="G397">
        <v>9.4740409999999997</v>
      </c>
      <c r="H397" t="b">
        <v>0</v>
      </c>
      <c r="I397">
        <v>10.7325812444444</v>
      </c>
      <c r="J397">
        <v>-1.25854024444444</v>
      </c>
      <c r="K397">
        <v>-1.19258049216172</v>
      </c>
      <c r="L397">
        <v>-1.4941549086209001</v>
      </c>
      <c r="M397">
        <v>1.09205333759928</v>
      </c>
      <c r="N397">
        <v>-1.23689756591983</v>
      </c>
      <c r="O397">
        <v>0.37777777777777799</v>
      </c>
      <c r="P397">
        <v>0.43175392705071203</v>
      </c>
    </row>
    <row r="398" spans="1:16" x14ac:dyDescent="0.3">
      <c r="A398" t="s">
        <v>34</v>
      </c>
      <c r="B398" t="s">
        <v>32</v>
      </c>
      <c r="C398">
        <v>17.5</v>
      </c>
      <c r="D398">
        <v>2</v>
      </c>
      <c r="E398">
        <v>20</v>
      </c>
      <c r="F398" t="s">
        <v>23</v>
      </c>
      <c r="G398">
        <v>2116.3747539999999</v>
      </c>
      <c r="H398" t="b">
        <v>0</v>
      </c>
      <c r="I398">
        <v>2115.81930458333</v>
      </c>
      <c r="J398">
        <v>0.55544941666707104</v>
      </c>
      <c r="K398">
        <v>0.28366295392548302</v>
      </c>
      <c r="L398">
        <v>-0.15250597424624401</v>
      </c>
      <c r="M398">
        <v>0.53260018205543602</v>
      </c>
      <c r="N398">
        <v>0.26070167101233299</v>
      </c>
      <c r="O398">
        <v>0.41666666666666702</v>
      </c>
      <c r="P398">
        <v>2.87373826534753E-2</v>
      </c>
    </row>
    <row r="399" spans="1:16" x14ac:dyDescent="0.3">
      <c r="A399" t="s">
        <v>34</v>
      </c>
      <c r="B399" t="s">
        <v>32</v>
      </c>
      <c r="C399">
        <v>17.5</v>
      </c>
      <c r="D399">
        <v>3</v>
      </c>
      <c r="E399">
        <v>345</v>
      </c>
      <c r="F399" t="s">
        <v>23</v>
      </c>
      <c r="G399">
        <v>2131.6549909999999</v>
      </c>
      <c r="H399" t="b">
        <v>0</v>
      </c>
      <c r="I399">
        <v>2135.0354659881</v>
      </c>
      <c r="J399">
        <v>-3.38047498809562</v>
      </c>
      <c r="K399">
        <v>-1.5472801555345801</v>
      </c>
      <c r="L399">
        <v>-0.85249503427469397</v>
      </c>
      <c r="M399">
        <v>1.2438971643727501</v>
      </c>
      <c r="N399">
        <v>-1.8219886446431901</v>
      </c>
      <c r="O399">
        <v>0.273809523809524</v>
      </c>
      <c r="P399">
        <v>0.45134217404389698</v>
      </c>
    </row>
    <row r="400" spans="1:16" x14ac:dyDescent="0.3">
      <c r="A400" t="s">
        <v>34</v>
      </c>
      <c r="B400" t="s">
        <v>32</v>
      </c>
      <c r="C400">
        <v>17.5</v>
      </c>
      <c r="D400">
        <v>4</v>
      </c>
      <c r="E400">
        <v>670</v>
      </c>
      <c r="F400" t="s">
        <v>23</v>
      </c>
      <c r="G400">
        <v>2155.3094150000002</v>
      </c>
      <c r="H400" t="b">
        <v>0</v>
      </c>
      <c r="I400">
        <v>2154.25162739286</v>
      </c>
      <c r="J400">
        <v>1.0577876071427901</v>
      </c>
      <c r="K400">
        <v>0.45522916214514098</v>
      </c>
      <c r="L400">
        <v>0.15250597424624401</v>
      </c>
      <c r="M400">
        <v>0.67470672306205803</v>
      </c>
      <c r="N400">
        <v>0.42293348346957199</v>
      </c>
      <c r="O400">
        <v>0.17857142857142899</v>
      </c>
      <c r="P400">
        <v>2.2525390224713799E-2</v>
      </c>
    </row>
    <row r="401" spans="1:16" x14ac:dyDescent="0.3">
      <c r="A401" t="s">
        <v>34</v>
      </c>
      <c r="B401" t="s">
        <v>32</v>
      </c>
      <c r="C401">
        <v>17.5</v>
      </c>
      <c r="D401">
        <v>5</v>
      </c>
      <c r="E401">
        <v>995</v>
      </c>
      <c r="F401" t="s">
        <v>23</v>
      </c>
      <c r="G401">
        <v>2173.2864460000001</v>
      </c>
      <c r="H401" t="b">
        <v>0</v>
      </c>
      <c r="I401">
        <v>2173.46778879762</v>
      </c>
      <c r="J401">
        <v>-0.18134279761917399</v>
      </c>
      <c r="K401">
        <v>-7.5874357665988795E-2</v>
      </c>
      <c r="L401">
        <v>-0.472789120992267</v>
      </c>
      <c r="M401">
        <v>0.275453004459906</v>
      </c>
      <c r="N401">
        <v>-6.9296748003601805E-2</v>
      </c>
      <c r="O401">
        <v>0.13095238095238099</v>
      </c>
      <c r="P401">
        <v>4.3374040865404301E-4</v>
      </c>
    </row>
    <row r="402" spans="1:16" x14ac:dyDescent="0.3">
      <c r="A402" t="s">
        <v>34</v>
      </c>
      <c r="B402" t="s">
        <v>32</v>
      </c>
      <c r="C402">
        <v>17.5</v>
      </c>
      <c r="D402">
        <v>6</v>
      </c>
      <c r="E402">
        <v>1320</v>
      </c>
      <c r="F402" t="s">
        <v>23</v>
      </c>
      <c r="G402">
        <v>2194.3538910000002</v>
      </c>
      <c r="H402" t="b">
        <v>0</v>
      </c>
      <c r="I402">
        <v>2192.6839502023799</v>
      </c>
      <c r="J402">
        <v>1.6699407976191001</v>
      </c>
      <c r="K402">
        <v>0.69870812087979495</v>
      </c>
      <c r="L402">
        <v>0.85249503427469397</v>
      </c>
      <c r="M402">
        <v>0.83588762455236498</v>
      </c>
      <c r="N402">
        <v>0.66547813927393995</v>
      </c>
      <c r="O402">
        <v>0.13095238095238099</v>
      </c>
      <c r="P402">
        <v>3.6781667260391199E-2</v>
      </c>
    </row>
    <row r="403" spans="1:16" x14ac:dyDescent="0.3">
      <c r="A403" t="s">
        <v>34</v>
      </c>
      <c r="B403" t="s">
        <v>32</v>
      </c>
      <c r="C403">
        <v>17.5</v>
      </c>
      <c r="D403">
        <v>7</v>
      </c>
      <c r="E403">
        <v>1645</v>
      </c>
      <c r="F403" t="s">
        <v>23</v>
      </c>
      <c r="G403">
        <v>2214.640832</v>
      </c>
      <c r="H403" t="b">
        <v>0</v>
      </c>
      <c r="I403">
        <v>2211.9001116071399</v>
      </c>
      <c r="J403">
        <v>2.74072039285709</v>
      </c>
      <c r="K403">
        <v>1.1794956186757599</v>
      </c>
      <c r="L403">
        <v>1.43420015968638</v>
      </c>
      <c r="M403">
        <v>1.08604586398354</v>
      </c>
      <c r="N403">
        <v>1.2285359518683101</v>
      </c>
      <c r="O403">
        <v>0.17857142857142899</v>
      </c>
      <c r="P403">
        <v>0.151218468964709</v>
      </c>
    </row>
    <row r="404" spans="1:16" x14ac:dyDescent="0.3">
      <c r="A404" t="s">
        <v>34</v>
      </c>
      <c r="B404" t="s">
        <v>32</v>
      </c>
      <c r="C404">
        <v>17.5</v>
      </c>
      <c r="D404">
        <v>8</v>
      </c>
      <c r="E404">
        <v>1970</v>
      </c>
      <c r="F404" t="s">
        <v>23</v>
      </c>
      <c r="G404">
        <v>2232.4561469999999</v>
      </c>
      <c r="H404" t="b">
        <v>0</v>
      </c>
      <c r="I404">
        <v>2231.1162730118999</v>
      </c>
      <c r="J404">
        <v>1.3398739880955199</v>
      </c>
      <c r="K404">
        <v>0.61327489184148098</v>
      </c>
      <c r="L404">
        <v>0.472789120992267</v>
      </c>
      <c r="M404">
        <v>0.78311869588299399</v>
      </c>
      <c r="N404">
        <v>0.57825796976049704</v>
      </c>
      <c r="O404">
        <v>0.273809523809524</v>
      </c>
      <c r="P404">
        <v>7.0905247034042093E-2</v>
      </c>
    </row>
    <row r="405" spans="1:16" x14ac:dyDescent="0.3">
      <c r="A405" t="s">
        <v>34</v>
      </c>
      <c r="B405" t="s">
        <v>32</v>
      </c>
      <c r="C405">
        <v>17.5</v>
      </c>
      <c r="D405">
        <v>9</v>
      </c>
      <c r="E405">
        <v>2295</v>
      </c>
      <c r="F405" t="s">
        <v>23</v>
      </c>
      <c r="G405">
        <v>2246.5304799999999</v>
      </c>
      <c r="H405" t="b">
        <v>0</v>
      </c>
      <c r="I405">
        <v>2250.3324344166699</v>
      </c>
      <c r="J405">
        <v>-3.8019544166667698</v>
      </c>
      <c r="K405">
        <v>-1.9416234641005199</v>
      </c>
      <c r="L405">
        <v>-1.43420015968638</v>
      </c>
      <c r="M405">
        <v>1.3934214954924899</v>
      </c>
      <c r="N405">
        <v>-2.9072876822775</v>
      </c>
      <c r="O405">
        <v>0.41666666666666702</v>
      </c>
      <c r="P405">
        <v>1.3463934558377599</v>
      </c>
    </row>
    <row r="406" spans="1:16" x14ac:dyDescent="0.3">
      <c r="A406" t="s">
        <v>34</v>
      </c>
      <c r="B406" t="s">
        <v>32</v>
      </c>
      <c r="C406">
        <v>17.5</v>
      </c>
      <c r="D406">
        <v>2</v>
      </c>
      <c r="E406">
        <v>20</v>
      </c>
      <c r="F406" t="s">
        <v>25</v>
      </c>
      <c r="G406">
        <v>0.58234399999999997</v>
      </c>
      <c r="H406" t="b">
        <v>0</v>
      </c>
      <c r="I406">
        <v>1.5507045833333299</v>
      </c>
      <c r="J406">
        <v>-0.96836058333333297</v>
      </c>
      <c r="K406">
        <v>-1.36029408242419</v>
      </c>
      <c r="L406">
        <v>-1.43420015968638</v>
      </c>
      <c r="M406">
        <v>1.1663164589527999</v>
      </c>
      <c r="N406">
        <v>-1.4931886942143899</v>
      </c>
      <c r="O406">
        <v>0.41666666666666702</v>
      </c>
      <c r="P406">
        <v>0.660857139527955</v>
      </c>
    </row>
    <row r="407" spans="1:16" x14ac:dyDescent="0.3">
      <c r="A407" t="s">
        <v>34</v>
      </c>
      <c r="B407" t="s">
        <v>32</v>
      </c>
      <c r="C407">
        <v>17.5</v>
      </c>
      <c r="D407">
        <v>3</v>
      </c>
      <c r="E407">
        <v>345</v>
      </c>
      <c r="F407" t="s">
        <v>25</v>
      </c>
      <c r="G407">
        <v>3.279731</v>
      </c>
      <c r="H407" t="b">
        <v>0</v>
      </c>
      <c r="I407">
        <v>1.3672220238095201</v>
      </c>
      <c r="J407">
        <v>1.9125089761904801</v>
      </c>
      <c r="K407">
        <v>2.40786597622089</v>
      </c>
      <c r="L407">
        <v>1.43420015968638</v>
      </c>
      <c r="M407">
        <v>1.55172999462564</v>
      </c>
      <c r="N407">
        <v>11.9742044455115</v>
      </c>
      <c r="O407">
        <v>0.273809523809524</v>
      </c>
      <c r="P407">
        <v>1.09303136776369</v>
      </c>
    </row>
    <row r="408" spans="1:16" x14ac:dyDescent="0.3">
      <c r="A408" t="s">
        <v>34</v>
      </c>
      <c r="B408" t="s">
        <v>32</v>
      </c>
      <c r="C408">
        <v>17.5</v>
      </c>
      <c r="D408">
        <v>4</v>
      </c>
      <c r="E408">
        <v>670</v>
      </c>
      <c r="F408" t="s">
        <v>25</v>
      </c>
      <c r="G408">
        <v>0.78852900000000004</v>
      </c>
      <c r="H408" t="b">
        <v>0</v>
      </c>
      <c r="I408">
        <v>1.18373946428571</v>
      </c>
      <c r="J408">
        <v>-0.39521046428571399</v>
      </c>
      <c r="K408">
        <v>-0.46784030628894402</v>
      </c>
      <c r="L408">
        <v>-0.472789120992267</v>
      </c>
      <c r="M408">
        <v>0.68398852789278897</v>
      </c>
      <c r="N408">
        <v>-0.43508733414352302</v>
      </c>
      <c r="O408">
        <v>0.17857142857142899</v>
      </c>
      <c r="P408">
        <v>2.3790712194405799E-2</v>
      </c>
    </row>
    <row r="409" spans="1:16" x14ac:dyDescent="0.3">
      <c r="A409" t="s">
        <v>34</v>
      </c>
      <c r="B409" t="s">
        <v>32</v>
      </c>
      <c r="C409">
        <v>17.5</v>
      </c>
      <c r="D409">
        <v>5</v>
      </c>
      <c r="E409">
        <v>995</v>
      </c>
      <c r="F409" t="s">
        <v>25</v>
      </c>
      <c r="G409">
        <v>0.75467499999999998</v>
      </c>
      <c r="H409" t="b">
        <v>0</v>
      </c>
      <c r="I409">
        <v>1.0002569047619001</v>
      </c>
      <c r="J409">
        <v>-0.245581904761905</v>
      </c>
      <c r="K409">
        <v>-0.28263678142204901</v>
      </c>
      <c r="L409">
        <v>-0.15250597424624401</v>
      </c>
      <c r="M409">
        <v>0.53163594820332505</v>
      </c>
      <c r="N409">
        <v>-0.25974581339195302</v>
      </c>
      <c r="O409">
        <v>0.13095238095238099</v>
      </c>
      <c r="P409">
        <v>6.0186236461559298E-3</v>
      </c>
    </row>
    <row r="410" spans="1:16" x14ac:dyDescent="0.3">
      <c r="A410" t="s">
        <v>34</v>
      </c>
      <c r="B410" t="s">
        <v>32</v>
      </c>
      <c r="C410">
        <v>17.5</v>
      </c>
      <c r="D410">
        <v>6</v>
      </c>
      <c r="E410">
        <v>1320</v>
      </c>
      <c r="F410" t="s">
        <v>25</v>
      </c>
      <c r="G410">
        <v>0.36911500000000003</v>
      </c>
      <c r="H410" t="b">
        <v>0</v>
      </c>
      <c r="I410">
        <v>0.816774345238095</v>
      </c>
      <c r="J410">
        <v>-0.44765934523809497</v>
      </c>
      <c r="K410">
        <v>-0.51520488300742295</v>
      </c>
      <c r="L410">
        <v>-0.85249503427469397</v>
      </c>
      <c r="M410">
        <v>0.71777773928105504</v>
      </c>
      <c r="N410">
        <v>-0.48107719867881099</v>
      </c>
      <c r="O410">
        <v>0.13095238095238099</v>
      </c>
      <c r="P410">
        <v>1.9998608124805601E-2</v>
      </c>
    </row>
    <row r="411" spans="1:16" x14ac:dyDescent="0.3">
      <c r="A411" t="s">
        <v>34</v>
      </c>
      <c r="B411" t="s">
        <v>32</v>
      </c>
      <c r="C411">
        <v>17.5</v>
      </c>
      <c r="D411">
        <v>7</v>
      </c>
      <c r="E411">
        <v>1645</v>
      </c>
      <c r="F411" t="s">
        <v>25</v>
      </c>
      <c r="G411">
        <v>0.50081100000000001</v>
      </c>
      <c r="H411" t="b">
        <v>0</v>
      </c>
      <c r="I411">
        <v>0.63329178571428602</v>
      </c>
      <c r="J411">
        <v>-0.13248078571428601</v>
      </c>
      <c r="K411">
        <v>-0.15682745515858501</v>
      </c>
      <c r="L411">
        <v>0.15250597424624401</v>
      </c>
      <c r="M411">
        <v>0.396014463319946</v>
      </c>
      <c r="N411">
        <v>-0.14345755306882199</v>
      </c>
      <c r="O411">
        <v>0.17857142857142899</v>
      </c>
      <c r="P411">
        <v>2.6733533360345698E-3</v>
      </c>
    </row>
    <row r="412" spans="1:16" x14ac:dyDescent="0.3">
      <c r="A412" t="s">
        <v>34</v>
      </c>
      <c r="B412" t="s">
        <v>32</v>
      </c>
      <c r="C412">
        <v>17.5</v>
      </c>
      <c r="D412">
        <v>8</v>
      </c>
      <c r="E412">
        <v>1970</v>
      </c>
      <c r="F412" t="s">
        <v>25</v>
      </c>
      <c r="G412">
        <v>0.31959900000000002</v>
      </c>
      <c r="H412" t="b">
        <v>0</v>
      </c>
      <c r="I412">
        <v>0.44980922619047597</v>
      </c>
      <c r="J412">
        <v>-0.13021022619047601</v>
      </c>
      <c r="K412">
        <v>-0.163935844120633</v>
      </c>
      <c r="L412">
        <v>0.472789120992267</v>
      </c>
      <c r="M412">
        <v>0.40488991605204599</v>
      </c>
      <c r="N412">
        <v>-0.14998855472226599</v>
      </c>
      <c r="O412">
        <v>0.273809523809524</v>
      </c>
      <c r="P412">
        <v>5.06659100584856E-3</v>
      </c>
    </row>
    <row r="413" spans="1:16" x14ac:dyDescent="0.3">
      <c r="A413" t="s">
        <v>34</v>
      </c>
      <c r="B413" t="s">
        <v>32</v>
      </c>
      <c r="C413">
        <v>17.5</v>
      </c>
      <c r="D413">
        <v>9</v>
      </c>
      <c r="E413">
        <v>2295</v>
      </c>
      <c r="F413" t="s">
        <v>25</v>
      </c>
      <c r="G413">
        <v>0.67332099999999995</v>
      </c>
      <c r="H413" t="b">
        <v>0</v>
      </c>
      <c r="I413">
        <v>0.26632666666666699</v>
      </c>
      <c r="J413">
        <v>0.40699433333333401</v>
      </c>
      <c r="K413">
        <v>0.57172089895251299</v>
      </c>
      <c r="L413">
        <v>0.85249503427469397</v>
      </c>
      <c r="M413">
        <v>0.75612227777821295</v>
      </c>
      <c r="N413">
        <v>0.536732017314418</v>
      </c>
      <c r="O413">
        <v>0.41666666666666702</v>
      </c>
      <c r="P413">
        <v>0.116737423678239</v>
      </c>
    </row>
    <row r="414" spans="1:16" x14ac:dyDescent="0.3">
      <c r="A414" t="s">
        <v>34</v>
      </c>
      <c r="B414" t="s">
        <v>32</v>
      </c>
      <c r="C414">
        <v>17.5</v>
      </c>
      <c r="D414">
        <v>2</v>
      </c>
      <c r="E414">
        <v>20</v>
      </c>
      <c r="F414" t="s">
        <v>26</v>
      </c>
      <c r="G414">
        <v>0.91581100000000004</v>
      </c>
      <c r="H414" t="b">
        <v>0</v>
      </c>
      <c r="I414">
        <v>0.81046925000000003</v>
      </c>
      <c r="J414">
        <v>0.10534175</v>
      </c>
      <c r="K414">
        <v>0.35414500472758198</v>
      </c>
      <c r="L414">
        <v>0.15250597424624401</v>
      </c>
      <c r="M414">
        <v>0.59510083576447903</v>
      </c>
      <c r="N414">
        <v>0.32672146120809598</v>
      </c>
      <c r="O414">
        <v>0.41666666666666702</v>
      </c>
      <c r="P414">
        <v>4.4792387276249603E-2</v>
      </c>
    </row>
    <row r="415" spans="1:16" x14ac:dyDescent="0.3">
      <c r="A415" t="s">
        <v>34</v>
      </c>
      <c r="B415" t="s">
        <v>32</v>
      </c>
      <c r="C415">
        <v>17.5</v>
      </c>
      <c r="D415">
        <v>3</v>
      </c>
      <c r="E415">
        <v>345</v>
      </c>
      <c r="F415" t="s">
        <v>26</v>
      </c>
      <c r="G415">
        <v>1.469522</v>
      </c>
      <c r="H415" t="b">
        <v>0</v>
      </c>
      <c r="I415">
        <v>1.14468428571429</v>
      </c>
      <c r="J415">
        <v>0.32483771428571501</v>
      </c>
      <c r="K415">
        <v>0.97876889687923596</v>
      </c>
      <c r="L415">
        <v>0.85249503427469397</v>
      </c>
      <c r="M415">
        <v>0.98932749728249003</v>
      </c>
      <c r="N415">
        <v>0.97468267939573805</v>
      </c>
      <c r="O415">
        <v>0.273809523809524</v>
      </c>
      <c r="P415">
        <v>0.18060439942998799</v>
      </c>
    </row>
    <row r="416" spans="1:16" x14ac:dyDescent="0.3">
      <c r="A416" t="s">
        <v>34</v>
      </c>
      <c r="B416" t="s">
        <v>32</v>
      </c>
      <c r="C416">
        <v>17.5</v>
      </c>
      <c r="D416">
        <v>4</v>
      </c>
      <c r="E416">
        <v>670</v>
      </c>
      <c r="F416" t="s">
        <v>26</v>
      </c>
      <c r="G416">
        <v>1.26227</v>
      </c>
      <c r="H416" t="b">
        <v>0</v>
      </c>
      <c r="I416">
        <v>1.4788993214285699</v>
      </c>
      <c r="J416">
        <v>-0.216629321428571</v>
      </c>
      <c r="K416">
        <v>-0.61372148259937398</v>
      </c>
      <c r="L416">
        <v>-0.472789120992267</v>
      </c>
      <c r="M416">
        <v>0.78340378005175204</v>
      </c>
      <c r="N416">
        <v>-0.57870725488441099</v>
      </c>
      <c r="O416">
        <v>0.17857142857142899</v>
      </c>
      <c r="P416">
        <v>4.0940658500431902E-2</v>
      </c>
    </row>
    <row r="417" spans="1:16" x14ac:dyDescent="0.3">
      <c r="A417" t="s">
        <v>34</v>
      </c>
      <c r="B417" t="s">
        <v>32</v>
      </c>
      <c r="C417">
        <v>17.5</v>
      </c>
      <c r="D417">
        <v>5</v>
      </c>
      <c r="E417">
        <v>995</v>
      </c>
      <c r="F417" t="s">
        <v>26</v>
      </c>
      <c r="G417">
        <v>1.2541450000000001</v>
      </c>
      <c r="H417" t="b">
        <v>0</v>
      </c>
      <c r="I417">
        <v>1.8131143571428601</v>
      </c>
      <c r="J417">
        <v>-0.558969357142857</v>
      </c>
      <c r="K417">
        <v>-1.53959042648336</v>
      </c>
      <c r="L417">
        <v>-1.43420015968638</v>
      </c>
      <c r="M417">
        <v>1.24080233175287</v>
      </c>
      <c r="N417">
        <v>-1.8069958388238201</v>
      </c>
      <c r="O417">
        <v>0.13095238095238099</v>
      </c>
      <c r="P417">
        <v>0.17858716092131</v>
      </c>
    </row>
    <row r="418" spans="1:16" x14ac:dyDescent="0.3">
      <c r="A418" t="s">
        <v>34</v>
      </c>
      <c r="B418" t="s">
        <v>32</v>
      </c>
      <c r="C418">
        <v>17.5</v>
      </c>
      <c r="D418">
        <v>6</v>
      </c>
      <c r="E418">
        <v>1320</v>
      </c>
      <c r="F418" t="s">
        <v>26</v>
      </c>
      <c r="G418">
        <v>2.4314390000000001</v>
      </c>
      <c r="H418" t="b">
        <v>0</v>
      </c>
      <c r="I418">
        <v>2.1473293928571402</v>
      </c>
      <c r="J418">
        <v>0.28410960714285699</v>
      </c>
      <c r="K418">
        <v>0.78253382880396405</v>
      </c>
      <c r="L418">
        <v>0.472789120992267</v>
      </c>
      <c r="M418">
        <v>0.88460942161157397</v>
      </c>
      <c r="N418">
        <v>0.75385671284686495</v>
      </c>
      <c r="O418">
        <v>0.13095238095238099</v>
      </c>
      <c r="P418">
        <v>4.6136651544167899E-2</v>
      </c>
    </row>
    <row r="419" spans="1:16" x14ac:dyDescent="0.3">
      <c r="A419" t="s">
        <v>34</v>
      </c>
      <c r="B419" t="s">
        <v>32</v>
      </c>
      <c r="C419">
        <v>17.5</v>
      </c>
      <c r="D419">
        <v>7</v>
      </c>
      <c r="E419">
        <v>1645</v>
      </c>
      <c r="F419" t="s">
        <v>26</v>
      </c>
      <c r="G419">
        <v>2.1332049999999998</v>
      </c>
      <c r="H419" t="b">
        <v>0</v>
      </c>
      <c r="I419">
        <v>2.4815444285714299</v>
      </c>
      <c r="J419">
        <v>-0.34833942857142902</v>
      </c>
      <c r="K419">
        <v>-0.98686267002487005</v>
      </c>
      <c r="L419">
        <v>-0.85249503427469397</v>
      </c>
      <c r="M419">
        <v>0.99340961844793396</v>
      </c>
      <c r="N419">
        <v>-0.98429679595986097</v>
      </c>
      <c r="O419">
        <v>0.17857142857142899</v>
      </c>
      <c r="P419">
        <v>0.105858470596589</v>
      </c>
    </row>
    <row r="420" spans="1:16" x14ac:dyDescent="0.3">
      <c r="A420" t="s">
        <v>34</v>
      </c>
      <c r="B420" t="s">
        <v>32</v>
      </c>
      <c r="C420">
        <v>17.5</v>
      </c>
      <c r="D420">
        <v>8</v>
      </c>
      <c r="E420">
        <v>1970</v>
      </c>
      <c r="F420" t="s">
        <v>26</v>
      </c>
      <c r="G420">
        <v>3.2927149999999998</v>
      </c>
      <c r="H420" t="b">
        <v>0</v>
      </c>
      <c r="I420">
        <v>2.8157594642857098</v>
      </c>
      <c r="J420">
        <v>0.47695553571428601</v>
      </c>
      <c r="K420">
        <v>1.4371152825589399</v>
      </c>
      <c r="L420">
        <v>1.43420015968638</v>
      </c>
      <c r="M420">
        <v>1.1987974318286401</v>
      </c>
      <c r="N420">
        <v>1.6200216399334799</v>
      </c>
      <c r="O420">
        <v>0.273809523809524</v>
      </c>
      <c r="P420">
        <v>0.38935989929002301</v>
      </c>
    </row>
    <row r="421" spans="1:16" x14ac:dyDescent="0.3">
      <c r="A421" t="s">
        <v>34</v>
      </c>
      <c r="B421" t="s">
        <v>32</v>
      </c>
      <c r="C421">
        <v>17.5</v>
      </c>
      <c r="D421">
        <v>9</v>
      </c>
      <c r="E421">
        <v>2295</v>
      </c>
      <c r="F421" t="s">
        <v>26</v>
      </c>
      <c r="G421">
        <v>3.082668</v>
      </c>
      <c r="H421" t="b">
        <v>0</v>
      </c>
      <c r="I421">
        <v>3.1499744999999999</v>
      </c>
      <c r="J421">
        <v>-6.7306499999999603E-2</v>
      </c>
      <c r="K421">
        <v>-0.226275534255857</v>
      </c>
      <c r="L421">
        <v>-0.15250597424624401</v>
      </c>
      <c r="M421">
        <v>0.475684280017594</v>
      </c>
      <c r="N421">
        <v>-0.20744737304826899</v>
      </c>
      <c r="O421">
        <v>0.41666666666666702</v>
      </c>
      <c r="P421">
        <v>1.8285934786704799E-2</v>
      </c>
    </row>
    <row r="422" spans="1:16" x14ac:dyDescent="0.3">
      <c r="A422" t="s">
        <v>34</v>
      </c>
      <c r="B422" t="s">
        <v>32</v>
      </c>
      <c r="C422">
        <v>17.5</v>
      </c>
      <c r="D422">
        <v>2</v>
      </c>
      <c r="E422">
        <v>20</v>
      </c>
      <c r="F422" t="s">
        <v>27</v>
      </c>
      <c r="G422">
        <v>1.43</v>
      </c>
      <c r="H422" t="b">
        <v>0</v>
      </c>
      <c r="I422">
        <v>0.76915750000000105</v>
      </c>
      <c r="J422">
        <v>0.660842499999999</v>
      </c>
      <c r="K422">
        <v>1.13137116455019</v>
      </c>
      <c r="L422">
        <v>0.85249503427469397</v>
      </c>
      <c r="M422">
        <v>1.06365932729901</v>
      </c>
      <c r="N422">
        <v>1.16444543115313</v>
      </c>
      <c r="O422">
        <v>0.41666666666666702</v>
      </c>
      <c r="P422">
        <v>0.45714311141987402</v>
      </c>
    </row>
    <row r="423" spans="1:16" x14ac:dyDescent="0.3">
      <c r="A423" t="s">
        <v>34</v>
      </c>
      <c r="B423" t="s">
        <v>32</v>
      </c>
      <c r="C423">
        <v>17.5</v>
      </c>
      <c r="D423">
        <v>3</v>
      </c>
      <c r="E423">
        <v>345</v>
      </c>
      <c r="F423" t="s">
        <v>27</v>
      </c>
      <c r="G423">
        <v>2.2568109999999999</v>
      </c>
      <c r="H423" t="b">
        <v>0</v>
      </c>
      <c r="I423">
        <v>2.18563978571428</v>
      </c>
      <c r="J423">
        <v>7.11712142857161E-2</v>
      </c>
      <c r="K423">
        <v>0.10920553183331699</v>
      </c>
      <c r="L423">
        <v>0.15250597424624401</v>
      </c>
      <c r="M423">
        <v>0.33046260277574002</v>
      </c>
      <c r="N423">
        <v>9.9789777789969406E-2</v>
      </c>
      <c r="O423">
        <v>0.273809523809524</v>
      </c>
      <c r="P423">
        <v>2.2483156410569101E-3</v>
      </c>
    </row>
    <row r="424" spans="1:16" x14ac:dyDescent="0.3">
      <c r="A424" t="s">
        <v>34</v>
      </c>
      <c r="B424" t="s">
        <v>32</v>
      </c>
      <c r="C424">
        <v>17.5</v>
      </c>
      <c r="D424">
        <v>4</v>
      </c>
      <c r="E424">
        <v>670</v>
      </c>
      <c r="F424" t="s">
        <v>27</v>
      </c>
      <c r="G424">
        <v>2.750661</v>
      </c>
      <c r="H424" t="b">
        <v>0</v>
      </c>
      <c r="I424">
        <v>3.6021220714285702</v>
      </c>
      <c r="J424">
        <v>-0.85146107142857197</v>
      </c>
      <c r="K424">
        <v>-1.2284159073309999</v>
      </c>
      <c r="L424">
        <v>-0.85249503427469397</v>
      </c>
      <c r="M424">
        <v>1.10833925642422</v>
      </c>
      <c r="N424">
        <v>-1.2961616840711301</v>
      </c>
      <c r="O424">
        <v>0.17857142857142899</v>
      </c>
      <c r="P424">
        <v>0.16402235232433099</v>
      </c>
    </row>
    <row r="425" spans="1:16" x14ac:dyDescent="0.3">
      <c r="A425" t="s">
        <v>34</v>
      </c>
      <c r="B425" t="s">
        <v>32</v>
      </c>
      <c r="C425">
        <v>17.5</v>
      </c>
      <c r="D425">
        <v>5</v>
      </c>
      <c r="E425">
        <v>995</v>
      </c>
      <c r="F425" t="s">
        <v>27</v>
      </c>
      <c r="G425">
        <v>4.0786319999999998</v>
      </c>
      <c r="H425" t="b">
        <v>0</v>
      </c>
      <c r="I425">
        <v>5.01860435714286</v>
      </c>
      <c r="J425">
        <v>-0.93997235714285798</v>
      </c>
      <c r="K425">
        <v>-1.3184353293834701</v>
      </c>
      <c r="L425">
        <v>-1.43420015968638</v>
      </c>
      <c r="M425">
        <v>1.14823139191692</v>
      </c>
      <c r="N425">
        <v>-1.4280748009539099</v>
      </c>
      <c r="O425">
        <v>0.13095238095238099</v>
      </c>
      <c r="P425">
        <v>0.13096567736596901</v>
      </c>
    </row>
    <row r="426" spans="1:16" x14ac:dyDescent="0.3">
      <c r="A426" t="s">
        <v>34</v>
      </c>
      <c r="B426" t="s">
        <v>32</v>
      </c>
      <c r="C426">
        <v>17.5</v>
      </c>
      <c r="D426">
        <v>6</v>
      </c>
      <c r="E426">
        <v>1320</v>
      </c>
      <c r="F426" t="s">
        <v>27</v>
      </c>
      <c r="G426">
        <v>7.5278489999999998</v>
      </c>
      <c r="H426" t="b">
        <v>0</v>
      </c>
      <c r="I426">
        <v>6.43508664285714</v>
      </c>
      <c r="J426">
        <v>1.09276235714286</v>
      </c>
      <c r="K426">
        <v>1.5327434762621801</v>
      </c>
      <c r="L426">
        <v>1.43420015968638</v>
      </c>
      <c r="M426">
        <v>1.2380401755444701</v>
      </c>
      <c r="N426">
        <v>1.7937691811495799</v>
      </c>
      <c r="O426">
        <v>0.13095238095238099</v>
      </c>
      <c r="P426">
        <v>0.17700224797443201</v>
      </c>
    </row>
    <row r="427" spans="1:16" x14ac:dyDescent="0.3">
      <c r="A427" t="s">
        <v>34</v>
      </c>
      <c r="B427" t="s">
        <v>32</v>
      </c>
      <c r="C427">
        <v>17.5</v>
      </c>
      <c r="D427">
        <v>7</v>
      </c>
      <c r="E427">
        <v>1645</v>
      </c>
      <c r="F427" t="s">
        <v>27</v>
      </c>
      <c r="G427">
        <v>7.5064270000000004</v>
      </c>
      <c r="H427" t="b">
        <v>0</v>
      </c>
      <c r="I427">
        <v>7.8515689285714299</v>
      </c>
      <c r="J427">
        <v>-0.345141928571428</v>
      </c>
      <c r="K427">
        <v>-0.49794153787054102</v>
      </c>
      <c r="L427">
        <v>-0.472789120992267</v>
      </c>
      <c r="M427">
        <v>0.70564972746437105</v>
      </c>
      <c r="N427">
        <v>-0.46424995753519099</v>
      </c>
      <c r="O427">
        <v>0.17857142857142899</v>
      </c>
      <c r="P427">
        <v>2.69506277322695E-2</v>
      </c>
    </row>
    <row r="428" spans="1:16" x14ac:dyDescent="0.3">
      <c r="A428" t="s">
        <v>34</v>
      </c>
      <c r="B428" t="s">
        <v>32</v>
      </c>
      <c r="C428">
        <v>17.5</v>
      </c>
      <c r="D428">
        <v>8</v>
      </c>
      <c r="E428">
        <v>1970</v>
      </c>
      <c r="F428" t="s">
        <v>27</v>
      </c>
      <c r="G428">
        <v>9.6443180000000002</v>
      </c>
      <c r="H428" t="b">
        <v>0</v>
      </c>
      <c r="I428">
        <v>9.2680512142857108</v>
      </c>
      <c r="J428">
        <v>0.37626678571428601</v>
      </c>
      <c r="K428">
        <v>0.57734597979717095</v>
      </c>
      <c r="L428">
        <v>0.472789120992267</v>
      </c>
      <c r="M428">
        <v>0.75983286306737896</v>
      </c>
      <c r="N428">
        <v>0.54232187835607104</v>
      </c>
      <c r="O428">
        <v>0.273809523809524</v>
      </c>
      <c r="P428">
        <v>6.2840596302647295E-2</v>
      </c>
    </row>
    <row r="429" spans="1:16" x14ac:dyDescent="0.3">
      <c r="A429" t="s">
        <v>34</v>
      </c>
      <c r="B429" t="s">
        <v>32</v>
      </c>
      <c r="C429">
        <v>17.5</v>
      </c>
      <c r="D429">
        <v>9</v>
      </c>
      <c r="E429">
        <v>2295</v>
      </c>
      <c r="F429" t="s">
        <v>27</v>
      </c>
      <c r="G429">
        <v>10.620066</v>
      </c>
      <c r="H429" t="b">
        <v>0</v>
      </c>
      <c r="I429">
        <v>10.684533500000001</v>
      </c>
      <c r="J429">
        <v>-6.4467500000000594E-2</v>
      </c>
      <c r="K429">
        <v>-0.110369218914704</v>
      </c>
      <c r="L429">
        <v>-0.15250597424624401</v>
      </c>
      <c r="M429">
        <v>0.33221863119744399</v>
      </c>
      <c r="N429">
        <v>-0.100855283019504</v>
      </c>
      <c r="O429">
        <v>0.41666666666666702</v>
      </c>
      <c r="P429">
        <v>4.35048731565777E-3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2B40-E84D-4061-8645-E3F42D043955}">
  <dimension ref="A1:W25"/>
  <sheetViews>
    <sheetView tabSelected="1" zoomScale="85" zoomScaleNormal="85" workbookViewId="0">
      <selection activeCell="G28" sqref="G28"/>
    </sheetView>
  </sheetViews>
  <sheetFormatPr defaultRowHeight="14.4" x14ac:dyDescent="0.3"/>
  <sheetData>
    <row r="1" spans="1:23" s="3" customFormat="1" x14ac:dyDescent="0.3">
      <c r="A1" s="3" t="s">
        <v>48</v>
      </c>
      <c r="B1" s="3" t="s">
        <v>52</v>
      </c>
      <c r="C1" s="3" t="s">
        <v>21</v>
      </c>
      <c r="D1" s="3" t="s">
        <v>49</v>
      </c>
      <c r="E1" s="3" t="s">
        <v>50</v>
      </c>
      <c r="F1" s="3" t="s">
        <v>33</v>
      </c>
      <c r="G1" s="3" t="s">
        <v>49</v>
      </c>
      <c r="H1" s="3" t="s">
        <v>50</v>
      </c>
      <c r="I1" s="3" t="s">
        <v>34</v>
      </c>
      <c r="J1" s="3" t="s">
        <v>49</v>
      </c>
      <c r="K1" s="3" t="s">
        <v>50</v>
      </c>
      <c r="M1" s="4" t="s">
        <v>51</v>
      </c>
      <c r="N1" s="3" t="s">
        <v>52</v>
      </c>
      <c r="O1" s="3" t="s">
        <v>21</v>
      </c>
      <c r="P1" s="3" t="s">
        <v>49</v>
      </c>
      <c r="Q1" s="3" t="s">
        <v>50</v>
      </c>
      <c r="R1" s="3" t="s">
        <v>33</v>
      </c>
      <c r="S1" s="3" t="s">
        <v>49</v>
      </c>
      <c r="T1" s="3" t="s">
        <v>50</v>
      </c>
      <c r="U1" s="3" t="s">
        <v>34</v>
      </c>
      <c r="V1" s="3" t="s">
        <v>49</v>
      </c>
      <c r="W1" s="3" t="s">
        <v>50</v>
      </c>
    </row>
    <row r="2" spans="1:23" x14ac:dyDescent="0.3">
      <c r="A2" t="s">
        <v>23</v>
      </c>
      <c r="B2" t="s">
        <v>22</v>
      </c>
      <c r="C2">
        <v>57.737341829522101</v>
      </c>
      <c r="D2">
        <f>AVERAGE(C2:C7)</f>
        <v>49.480599843033552</v>
      </c>
      <c r="E2">
        <f>_xlfn.STDEV.P(C2:C7)</f>
        <v>15.576491280413622</v>
      </c>
      <c r="F2">
        <v>15.647687923592599</v>
      </c>
      <c r="G2">
        <f>AVERAGE(F2:F6)</f>
        <v>10.964554007257936</v>
      </c>
      <c r="H2">
        <f>_xlfn.STDEV.P(F2:F6)</f>
        <v>4.8398317311161128</v>
      </c>
      <c r="I2">
        <v>14.664611657545301</v>
      </c>
      <c r="J2">
        <f>AVERAGE(I2:I4)</f>
        <v>15.4896068265046</v>
      </c>
      <c r="K2">
        <f>_xlfn.STDEV.P(I2:I6)</f>
        <v>1.0049359989790148</v>
      </c>
      <c r="M2" s="2" t="s">
        <v>23</v>
      </c>
      <c r="N2" t="s">
        <v>22</v>
      </c>
      <c r="O2">
        <v>57.737341829522101</v>
      </c>
      <c r="P2" s="1">
        <f>AVERAGE(O2:O7)</f>
        <v>49.480599843033552</v>
      </c>
      <c r="Q2" s="1">
        <f>_xlfn.STDEV.P(O2:O7)</f>
        <v>15.576491280413622</v>
      </c>
      <c r="R2">
        <v>15.647687923592599</v>
      </c>
      <c r="S2" s="1">
        <f>AVERAGE(R2:R6)</f>
        <v>13.819809997765699</v>
      </c>
      <c r="T2" s="1">
        <f>_xlfn.STDEV.P(R2:R6)</f>
        <v>1.8278779258269007</v>
      </c>
      <c r="U2">
        <v>14.664611657545301</v>
      </c>
      <c r="V2" s="1">
        <f>AVERAGE(U2:U4)</f>
        <v>15.4896068265046</v>
      </c>
      <c r="W2" s="1">
        <f>_xlfn.STDEV.P(U2:U6)</f>
        <v>1.0049359989790148</v>
      </c>
    </row>
    <row r="3" spans="1:23" x14ac:dyDescent="0.3">
      <c r="B3" t="s">
        <v>28</v>
      </c>
      <c r="C3">
        <v>72.750284823486197</v>
      </c>
      <c r="F3">
        <v>9.6321927681768091</v>
      </c>
      <c r="I3">
        <v>16.9042929019685</v>
      </c>
      <c r="M3" s="2"/>
      <c r="N3" t="s">
        <v>28</v>
      </c>
      <c r="O3">
        <v>72.750284823486197</v>
      </c>
      <c r="U3">
        <v>16.9042929019685</v>
      </c>
    </row>
    <row r="4" spans="1:23" x14ac:dyDescent="0.3">
      <c r="B4" t="s">
        <v>29</v>
      </c>
      <c r="C4">
        <v>59.025444850795203</v>
      </c>
      <c r="F4">
        <v>11.9919320719388</v>
      </c>
      <c r="I4">
        <v>14.89991592</v>
      </c>
      <c r="M4" s="2"/>
      <c r="N4" t="s">
        <v>29</v>
      </c>
      <c r="O4">
        <v>59.025444850795203</v>
      </c>
      <c r="R4">
        <v>11.9919320719388</v>
      </c>
      <c r="U4">
        <v>14.89991592</v>
      </c>
    </row>
    <row r="5" spans="1:23" x14ac:dyDescent="0.3">
      <c r="B5" t="s">
        <v>30</v>
      </c>
      <c r="C5">
        <v>24.6303100495149</v>
      </c>
      <c r="F5">
        <v>2.3422322345692801</v>
      </c>
      <c r="M5" s="2"/>
      <c r="N5" t="s">
        <v>30</v>
      </c>
      <c r="O5">
        <v>24.6303100495149</v>
      </c>
    </row>
    <row r="6" spans="1:23" x14ac:dyDescent="0.3">
      <c r="B6" t="s">
        <v>31</v>
      </c>
      <c r="C6">
        <v>39.651191094921899</v>
      </c>
      <c r="F6">
        <v>15.208725038012201</v>
      </c>
      <c r="M6" s="2"/>
      <c r="N6" t="s">
        <v>31</v>
      </c>
      <c r="O6">
        <v>39.651191094921899</v>
      </c>
    </row>
    <row r="7" spans="1:23" x14ac:dyDescent="0.3">
      <c r="B7" t="s">
        <v>32</v>
      </c>
      <c r="C7">
        <v>43.089026409961001</v>
      </c>
      <c r="M7" s="2"/>
      <c r="N7" t="s">
        <v>32</v>
      </c>
      <c r="O7">
        <v>43.089026409961001</v>
      </c>
    </row>
    <row r="8" spans="1:23" s="5" customFormat="1" x14ac:dyDescent="0.3">
      <c r="A8" s="5" t="s">
        <v>27</v>
      </c>
      <c r="B8" s="5" t="s">
        <v>22</v>
      </c>
      <c r="C8" s="5">
        <v>2.3985290271762101</v>
      </c>
      <c r="D8" s="5">
        <f>AVERAGE(C8:C13)</f>
        <v>6.8160623785979899</v>
      </c>
      <c r="E8" s="5">
        <f>_xlfn.STDEV.P(C8:C13)</f>
        <v>6.6279141530157366</v>
      </c>
      <c r="F8" s="5">
        <v>0.57807914571066299</v>
      </c>
      <c r="G8" s="5">
        <f>AVERAGE(F8:F12)</f>
        <v>0.42624445150957763</v>
      </c>
      <c r="H8" s="5">
        <f>_xlfn.STDEV.P(F8:F12)</f>
        <v>0.20112633479120851</v>
      </c>
      <c r="I8" s="5">
        <v>0.66086351395955101</v>
      </c>
      <c r="J8" s="5">
        <f>AVERAGE(I8:I10)</f>
        <v>0.87674418649057861</v>
      </c>
      <c r="K8" s="5">
        <f>_xlfn.STDEV.P(I8:I12)</f>
        <v>0.17863565488974409</v>
      </c>
      <c r="M8" s="6" t="s">
        <v>27</v>
      </c>
      <c r="N8" s="5" t="s">
        <v>22</v>
      </c>
      <c r="P8" s="5">
        <f>AVERAGE(O8:O13)</f>
        <v>9.5702578535061598</v>
      </c>
      <c r="Q8" s="5">
        <f>_xlfn.STDEV.P(O8:O13)</f>
        <v>1.845130750415638</v>
      </c>
      <c r="R8" s="5">
        <v>0.57807914571066299</v>
      </c>
      <c r="S8" s="5">
        <f>AVERAGE(R8:R12)</f>
        <v>0.46614295789977972</v>
      </c>
      <c r="T8" s="5">
        <f>_xlfn.STDEV.P(R8:R12)</f>
        <v>0.22784315259930576</v>
      </c>
      <c r="U8" s="5">
        <v>0.66086351395955101</v>
      </c>
      <c r="V8" s="5">
        <f>AVERAGE(U8:U10)</f>
        <v>0.87674418649057861</v>
      </c>
      <c r="W8" s="5">
        <f>_xlfn.STDEV.P(U8:U12)</f>
        <v>0.17863565488974409</v>
      </c>
    </row>
    <row r="9" spans="1:23" x14ac:dyDescent="0.3">
      <c r="B9" t="s">
        <v>28</v>
      </c>
      <c r="C9">
        <v>-6.2650087061140294E-2</v>
      </c>
      <c r="F9">
        <v>0.67184540240736002</v>
      </c>
      <c r="I9">
        <v>0.87105047320449502</v>
      </c>
      <c r="M9" s="2"/>
      <c r="N9" t="s">
        <v>28</v>
      </c>
      <c r="R9">
        <v>0.67184540240736002</v>
      </c>
      <c r="U9">
        <v>0.87105047320449502</v>
      </c>
    </row>
    <row r="10" spans="1:23" x14ac:dyDescent="0.3">
      <c r="B10" t="s">
        <v>29</v>
      </c>
      <c r="C10">
        <v>0.821391563917651</v>
      </c>
      <c r="F10">
        <v>0.49789255703471702</v>
      </c>
      <c r="I10">
        <v>1.09831857230769</v>
      </c>
      <c r="M10" s="2"/>
      <c r="N10" t="s">
        <v>29</v>
      </c>
      <c r="U10">
        <v>1.09831857230769</v>
      </c>
    </row>
    <row r="11" spans="1:23" x14ac:dyDescent="0.3">
      <c r="B11" t="s">
        <v>30</v>
      </c>
      <c r="C11">
        <v>18.598588060542902</v>
      </c>
      <c r="F11">
        <v>0.14850432558131599</v>
      </c>
      <c r="M11" s="2"/>
      <c r="N11" t="s">
        <v>30</v>
      </c>
      <c r="R11">
        <v>0.14850432558131599</v>
      </c>
    </row>
    <row r="12" spans="1:23" x14ac:dyDescent="0.3">
      <c r="B12" t="s">
        <v>31</v>
      </c>
      <c r="C12">
        <v>7.7251271030905198</v>
      </c>
      <c r="F12">
        <v>0.23490082681383201</v>
      </c>
      <c r="M12" s="2"/>
      <c r="N12" t="s">
        <v>31</v>
      </c>
      <c r="O12">
        <v>7.7251271030905198</v>
      </c>
    </row>
    <row r="13" spans="1:23" x14ac:dyDescent="0.3">
      <c r="B13" t="s">
        <v>32</v>
      </c>
      <c r="C13">
        <v>11.4153886039218</v>
      </c>
      <c r="M13" s="2"/>
      <c r="N13" t="s">
        <v>32</v>
      </c>
      <c r="O13">
        <v>11.4153886039218</v>
      </c>
    </row>
    <row r="14" spans="1:23" s="5" customFormat="1" x14ac:dyDescent="0.3">
      <c r="A14" s="5" t="s">
        <v>25</v>
      </c>
      <c r="B14" s="5" t="s">
        <v>22</v>
      </c>
      <c r="C14" s="5">
        <v>-0.33344800006780101</v>
      </c>
      <c r="D14" s="5">
        <f>AVERAGE(C14:C19)</f>
        <v>-3.6209701821246963E-2</v>
      </c>
      <c r="E14" s="5">
        <f>_xlfn.STDEV.P(C14:C19)</f>
        <v>0.1408376276251995</v>
      </c>
      <c r="F14" s="5">
        <v>1.5670057483793001</v>
      </c>
      <c r="G14" s="5">
        <f>AVERAGE(F14:F18)</f>
        <v>0.74232020367687779</v>
      </c>
      <c r="H14" s="5">
        <f>_xlfn.STDEV.P(F14:F18)</f>
        <v>0.6460293078672219</v>
      </c>
      <c r="I14" s="5">
        <v>4.7544453788763999E-2</v>
      </c>
      <c r="J14" s="5">
        <f>AVERAGE(I14:I16)</f>
        <v>-3.9103116192912769E-2</v>
      </c>
      <c r="K14" s="5">
        <f>_xlfn.STDEV.P(I14:I18)</f>
        <v>7.8366634547576738E-2</v>
      </c>
      <c r="M14" s="6" t="s">
        <v>25</v>
      </c>
      <c r="N14" s="5" t="s">
        <v>22</v>
      </c>
      <c r="O14" s="5">
        <v>-0.33344800006780101</v>
      </c>
      <c r="P14" s="5">
        <f>AVERAGE(O14:O19)</f>
        <v>-0.33344800006780101</v>
      </c>
      <c r="Q14" s="5">
        <f>_xlfn.STDEV.P(O14:O19)</f>
        <v>0</v>
      </c>
      <c r="S14" s="5">
        <v>0</v>
      </c>
      <c r="T14" s="5">
        <v>0</v>
      </c>
      <c r="U14" s="5">
        <v>4.7544453788763999E-2</v>
      </c>
      <c r="V14" s="5">
        <f>AVERAGE(U14:U16)</f>
        <v>4.7544453788763999E-2</v>
      </c>
      <c r="W14" s="5">
        <f>_xlfn.STDEV.P(U14:U18)</f>
        <v>0</v>
      </c>
    </row>
    <row r="15" spans="1:23" x14ac:dyDescent="0.3">
      <c r="B15" t="s">
        <v>28</v>
      </c>
      <c r="C15">
        <v>7.9728648480982003E-2</v>
      </c>
      <c r="F15">
        <v>0.70347971965105205</v>
      </c>
      <c r="I15">
        <v>-2.2584248521348299E-2</v>
      </c>
      <c r="M15" s="2"/>
      <c r="N15" t="s">
        <v>28</v>
      </c>
    </row>
    <row r="16" spans="1:23" x14ac:dyDescent="0.3">
      <c r="B16" t="s">
        <v>29</v>
      </c>
      <c r="C16">
        <v>5.4959245623421103E-2</v>
      </c>
      <c r="F16">
        <v>3.7341085770736603E-2</v>
      </c>
      <c r="I16">
        <v>-0.142269553846154</v>
      </c>
      <c r="M16" s="2"/>
      <c r="N16" t="s">
        <v>29</v>
      </c>
    </row>
    <row r="17" spans="1:23" x14ac:dyDescent="0.3">
      <c r="B17" t="s">
        <v>30</v>
      </c>
      <c r="C17">
        <v>1.0964518109600301E-2</v>
      </c>
      <c r="F17">
        <v>1.3745272902880199</v>
      </c>
      <c r="M17" s="2"/>
      <c r="N17" t="s">
        <v>30</v>
      </c>
    </row>
    <row r="18" spans="1:23" x14ac:dyDescent="0.3">
      <c r="B18" t="s">
        <v>31</v>
      </c>
      <c r="C18">
        <v>-6.8393638231578999E-2</v>
      </c>
      <c r="F18">
        <v>2.92471742952802E-2</v>
      </c>
      <c r="M18" s="2"/>
      <c r="N18" t="s">
        <v>31</v>
      </c>
    </row>
    <row r="19" spans="1:23" x14ac:dyDescent="0.3">
      <c r="B19" t="s">
        <v>32</v>
      </c>
      <c r="C19">
        <v>3.8931015157894801E-2</v>
      </c>
      <c r="M19" s="2"/>
      <c r="N19" t="s">
        <v>32</v>
      </c>
    </row>
    <row r="20" spans="1:23" s="5" customFormat="1" x14ac:dyDescent="0.3">
      <c r="A20" s="5" t="s">
        <v>26</v>
      </c>
      <c r="B20" s="5" t="s">
        <v>22</v>
      </c>
      <c r="C20" s="5">
        <v>-0.14575076287425401</v>
      </c>
      <c r="D20" s="5">
        <f>AVERAGE(C20:C25)</f>
        <v>-3.5746690983558572E-2</v>
      </c>
      <c r="E20" s="5">
        <f>_xlfn.STDEV.P(C20:C25)</f>
        <v>0.14121650762758894</v>
      </c>
      <c r="F20" s="5">
        <v>1.1226495996806001</v>
      </c>
      <c r="G20" s="5">
        <f>AVERAGE(F20:F24)</f>
        <v>1.4645022039551219</v>
      </c>
      <c r="H20" s="5">
        <f>_xlfn.STDEV.P(F20:F24)</f>
        <v>0.42472759452905645</v>
      </c>
      <c r="I20" s="5">
        <v>0.142776565321348</v>
      </c>
      <c r="J20" s="5">
        <f>AVERAGE(I20:I22)</f>
        <v>0.2048307617369057</v>
      </c>
      <c r="K20" s="5">
        <f>_xlfn.STDEV.P(I20:I24)</f>
        <v>4.7821491215635489E-2</v>
      </c>
      <c r="M20" s="6" t="s">
        <v>26</v>
      </c>
      <c r="N20" s="5" t="s">
        <v>22</v>
      </c>
      <c r="R20" s="5">
        <v>1.1226495996806001</v>
      </c>
      <c r="S20" s="7">
        <f>AVERAGE(R20:R24)</f>
        <v>1.4645022039551219</v>
      </c>
      <c r="T20" s="7">
        <f>_xlfn.STDEV.P(R20:R24)</f>
        <v>0.42472759452905645</v>
      </c>
      <c r="U20" s="5">
        <v>0.142776565321348</v>
      </c>
      <c r="V20" s="7">
        <f>AVERAGE(U20:U22)</f>
        <v>0.2048307617369057</v>
      </c>
      <c r="W20" s="7">
        <f>_xlfn.STDEV.P(U20:U24)</f>
        <v>4.7821491215635489E-2</v>
      </c>
    </row>
    <row r="21" spans="1:23" x14ac:dyDescent="0.3">
      <c r="B21" t="s">
        <v>28</v>
      </c>
      <c r="C21">
        <v>-0.13388889642253099</v>
      </c>
      <c r="F21">
        <v>2.2181960890338899</v>
      </c>
      <c r="I21">
        <v>0.212570522966292</v>
      </c>
      <c r="M21" s="2"/>
      <c r="N21" t="s">
        <v>28</v>
      </c>
      <c r="R21">
        <v>2.2181960890338899</v>
      </c>
      <c r="U21">
        <v>0.212570522966292</v>
      </c>
    </row>
    <row r="22" spans="1:23" x14ac:dyDescent="0.3">
      <c r="B22" t="s">
        <v>29</v>
      </c>
      <c r="C22">
        <v>0.19820753865120799</v>
      </c>
      <c r="F22">
        <v>1.3760638403216301</v>
      </c>
      <c r="I22">
        <v>0.25914519692307703</v>
      </c>
      <c r="M22" s="2"/>
      <c r="N22" t="s">
        <v>29</v>
      </c>
      <c r="R22">
        <v>1.3760638403216301</v>
      </c>
      <c r="U22">
        <v>0.25914519692307703</v>
      </c>
    </row>
    <row r="23" spans="1:23" x14ac:dyDescent="0.3">
      <c r="B23" t="s">
        <v>30</v>
      </c>
      <c r="C23">
        <v>3.6337835320465903E-2</v>
      </c>
      <c r="F23">
        <v>1.5829202776576099</v>
      </c>
      <c r="M23" s="2"/>
      <c r="N23" t="s">
        <v>30</v>
      </c>
      <c r="R23">
        <v>1.5829202776576099</v>
      </c>
    </row>
    <row r="24" spans="1:23" x14ac:dyDescent="0.3">
      <c r="B24" t="s">
        <v>31</v>
      </c>
      <c r="C24">
        <v>4.4143389625262701E-2</v>
      </c>
      <c r="F24">
        <v>1.0226812130818801</v>
      </c>
      <c r="M24" s="2"/>
      <c r="N24" t="s">
        <v>31</v>
      </c>
      <c r="R24">
        <v>1.0226812130818801</v>
      </c>
    </row>
    <row r="25" spans="1:23" x14ac:dyDescent="0.3">
      <c r="B25" t="s">
        <v>32</v>
      </c>
      <c r="C25">
        <v>-0.21352925020150301</v>
      </c>
      <c r="M25" s="2"/>
      <c r="N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S8a</vt:lpstr>
      <vt:lpstr>S8b</vt:lpstr>
      <vt:lpstr>S8c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cawittig</dc:creator>
  <cp:lastModifiedBy>Cathrin Wittig</cp:lastModifiedBy>
  <dcterms:created xsi:type="dcterms:W3CDTF">2026-04-21T09:31:54Z</dcterms:created>
  <dcterms:modified xsi:type="dcterms:W3CDTF">2026-05-18T09:40:36Z</dcterms:modified>
</cp:coreProperties>
</file>